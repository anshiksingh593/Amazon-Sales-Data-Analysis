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5840d769d95cdc6/Desktop/"/>
    </mc:Choice>
  </mc:AlternateContent>
  <xr:revisionPtr revIDLastSave="1" documentId="13_ncr:1_{70CC8CFA-F3A0-4ADD-8ADE-3AEF77E85D55}" xr6:coauthVersionLast="47" xr6:coauthVersionMax="47" xr10:uidLastSave="{526DB3B0-6FF9-4DFC-A6DF-B01B35368105}"/>
  <bookViews>
    <workbookView minimized="1" xWindow="1536" yWindow="1536" windowWidth="17280" windowHeight="8880" activeTab="2" xr2:uid="{00000000-000D-0000-FFFF-FFFF00000000}"/>
  </bookViews>
  <sheets>
    <sheet name="Sheet2" sheetId="2" r:id="rId1"/>
    <sheet name="Dashboard" sheetId="3" r:id="rId2"/>
    <sheet name="Sheet1" sheetId="1" r:id="rId3"/>
  </sheets>
  <definedNames>
    <definedName name="Slicer_category">#N/A</definedName>
    <definedName name="Slicer_customer_type">#N/A</definedName>
    <definedName name="Slicer_geography">#N/A</definedName>
    <definedName name="Slicer_high_value_order">#N/A</definedName>
    <definedName name="Slicer_loss_flag">#N/A</definedName>
    <definedName name="Slicer_ord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2" l="1"/>
  <c r="D3" i="2"/>
  <c r="N9" i="2"/>
  <c r="N14" i="2"/>
  <c r="N4" i="2"/>
</calcChain>
</file>

<file path=xl/sharedStrings.xml><?xml version="1.0" encoding="utf-8"?>
<sst xmlns="http://schemas.openxmlformats.org/spreadsheetml/2006/main" count="20094" uniqueCount="3824">
  <si>
    <t>order_id</t>
  </si>
  <si>
    <t>order_date</t>
  </si>
  <si>
    <t>ship_date</t>
  </si>
  <si>
    <t>email_id</t>
  </si>
  <si>
    <t>geography</t>
  </si>
  <si>
    <t>category</t>
  </si>
  <si>
    <t>product_name</t>
  </si>
  <si>
    <t>sales</t>
  </si>
  <si>
    <t>quantity</t>
  </si>
  <si>
    <t>profit</t>
  </si>
  <si>
    <t>order_year</t>
  </si>
  <si>
    <t>order_month</t>
  </si>
  <si>
    <t>month_name</t>
  </si>
  <si>
    <t>order_day</t>
  </si>
  <si>
    <t>shipping_days</t>
  </si>
  <si>
    <t>profit_margin</t>
  </si>
  <si>
    <t>avg_price_per_unit</t>
  </si>
  <si>
    <t>customer_type</t>
  </si>
  <si>
    <t>loss_flag</t>
  </si>
  <si>
    <t>high_value_order</t>
  </si>
  <si>
    <t>CA-2013-138688</t>
  </si>
  <si>
    <t>DarrinVanHuff@gmail.com</t>
  </si>
  <si>
    <t>United States,Los Angeles,California</t>
  </si>
  <si>
    <t>Labels</t>
  </si>
  <si>
    <t>Self-Adhesive Address Labels for Typewriters by Universal</t>
  </si>
  <si>
    <t>June</t>
  </si>
  <si>
    <t>repeat</t>
  </si>
  <si>
    <t>CA-2011-115812</t>
  </si>
  <si>
    <t>BrosinaHoffman@gmail.com</t>
  </si>
  <si>
    <t>Furnishings</t>
  </si>
  <si>
    <t>Eldon Expressions Wood and Plastic Desk Accessories, Cherry Wood</t>
  </si>
  <si>
    <t>Art</t>
  </si>
  <si>
    <t>Newell 322</t>
  </si>
  <si>
    <t>Binders</t>
  </si>
  <si>
    <t>DXL Angle-View Binders with Locking Rings by Samsill</t>
  </si>
  <si>
    <t>Appliances</t>
  </si>
  <si>
    <t>Belkin F5C206VTEL 6 Outlet Surge</t>
  </si>
  <si>
    <t>CA-2013-161389</t>
  </si>
  <si>
    <t>IreneMaddox@gmail.com</t>
  </si>
  <si>
    <t>United States,Seattle,Washington</t>
  </si>
  <si>
    <t>Fellowes PB200 Plastic Comb Binding Machine</t>
  </si>
  <si>
    <t>December</t>
  </si>
  <si>
    <t>CA-2011-167164</t>
  </si>
  <si>
    <t>AlejandroGrove@gmail.com</t>
  </si>
  <si>
    <t>United States,West Jordan,Utah</t>
  </si>
  <si>
    <t>Storage</t>
  </si>
  <si>
    <t>Fellowes Super Stor/Drawer</t>
  </si>
  <si>
    <t>May</t>
  </si>
  <si>
    <t>new</t>
  </si>
  <si>
    <t>CA-2011-143336</t>
  </si>
  <si>
    <t>ZuschussDonatelli@gmail.com</t>
  </si>
  <si>
    <t>United States,San Francisco,California</t>
  </si>
  <si>
    <t>Newell 341</t>
  </si>
  <si>
    <t>August</t>
  </si>
  <si>
    <t>Phones</t>
  </si>
  <si>
    <t>Cisco SPA 501G IP Phone</t>
  </si>
  <si>
    <t>Wilson Jones Hanging View Binder, White, 1"</t>
  </si>
  <si>
    <t>CA-2013-121755</t>
  </si>
  <si>
    <t>EricHoffmann@gmail.com</t>
  </si>
  <si>
    <t>Wilson Jones Active Use Binders</t>
  </si>
  <si>
    <t>January</t>
  </si>
  <si>
    <t>Accessories</t>
  </si>
  <si>
    <t>ImationÂ 8GB Mini TravelDrive USB 2.0Â Flash Drive</t>
  </si>
  <si>
    <t>CA-2013-101343</t>
  </si>
  <si>
    <t>RubenAusman@gmail.com</t>
  </si>
  <si>
    <t>Eldon Base for stackable storage shelf, platinum</t>
  </si>
  <si>
    <t>July</t>
  </si>
  <si>
    <t>CA-2012-135545</t>
  </si>
  <si>
    <t>KunstMiller@gmail.com</t>
  </si>
  <si>
    <t>Verbatim 25 GB 6x Blu-ray Single Layer Recordable Disc, 3/Pack</t>
  </si>
  <si>
    <t>November</t>
  </si>
  <si>
    <t>Acco PRESSTEX Data Binder with Storage Hooks, Dark Blue, 14 7/8" X 11"</t>
  </si>
  <si>
    <t>Paper</t>
  </si>
  <si>
    <t>Xerox 1943</t>
  </si>
  <si>
    <t>Luxo Economy Swing Arm Lamp</t>
  </si>
  <si>
    <t>CA-2011-106376</t>
  </si>
  <si>
    <t>BrendanSweed@gmail.com</t>
  </si>
  <si>
    <t>United States,Gilbert,Arizona</t>
  </si>
  <si>
    <t>netTALK DUO VoIP Telephone Service</t>
  </si>
  <si>
    <t>CA-2011-139451</t>
  </si>
  <si>
    <t>DuaneNoonan@gmail.com</t>
  </si>
  <si>
    <t>Premium Writing Pencils, Soft, #2 by Central Association for the Blind</t>
  </si>
  <si>
    <t>October</t>
  </si>
  <si>
    <t>Sortfiler Multipurpose Personal File Organizer, Black</t>
  </si>
  <si>
    <t>CA-2013-109806</t>
  </si>
  <si>
    <t>JimSink@gmail.com</t>
  </si>
  <si>
    <t>Turquoise Lead Holder with Pocket Clip</t>
  </si>
  <si>
    <t>September</t>
  </si>
  <si>
    <t>Panasonic Kx-TS550</t>
  </si>
  <si>
    <t>Xerox 1995</t>
  </si>
  <si>
    <t>US-2014-109484</t>
  </si>
  <si>
    <t>RogerBarcio@gmail.com</t>
  </si>
  <si>
    <t>United States,Portland,Oregon</t>
  </si>
  <si>
    <t>Flexible Leather- Look Classic Collection Ring Binder</t>
  </si>
  <si>
    <t>CA-2014-157833</t>
  </si>
  <si>
    <t>KatherineDucich@gmail.com</t>
  </si>
  <si>
    <t>Trimflex Flexible Post Binders</t>
  </si>
  <si>
    <t>US-2012-156867</t>
  </si>
  <si>
    <t>LenaCacioppo@gmail.com</t>
  </si>
  <si>
    <t>United States,Aurora,Colorado</t>
  </si>
  <si>
    <t>Logitech K350 2.4Ghz Wireless Keyboard</t>
  </si>
  <si>
    <t>Deflect-o DuraMat Lighweight, Studded, Beveled Mat for Low Pile Carpeting</t>
  </si>
  <si>
    <t>Avery Trapezoid Ring Binder, 3" Capacity, Black, 1040 sheets</t>
  </si>
  <si>
    <t>US-2014-107272</t>
  </si>
  <si>
    <t>TroyStaebel@gmail.com</t>
  </si>
  <si>
    <t>United States,Phoenix,Arizona</t>
  </si>
  <si>
    <t>Avery Durable Slant Ring Binders, No Labels</t>
  </si>
  <si>
    <t>Trav-L-File Heavy-Duty Shuttle II, Black</t>
  </si>
  <si>
    <t>US-2013-125969</t>
  </si>
  <si>
    <t>LindsayShagiari@gmail.com</t>
  </si>
  <si>
    <t>Chairs</t>
  </si>
  <si>
    <t>Global Task Chair, Black</t>
  </si>
  <si>
    <t>Eldon Cleatmat Plus Chair Mats for High Pile Carpets</t>
  </si>
  <si>
    <t>CA-2013-145583</t>
  </si>
  <si>
    <t>LenaCreighton@gmail.com</t>
  </si>
  <si>
    <t>United States,Roseville,California</t>
  </si>
  <si>
    <t>Xerox 195</t>
  </si>
  <si>
    <t>Xerox 1880</t>
  </si>
  <si>
    <t>Sanford Colorific Colored Pencils, 12/Box</t>
  </si>
  <si>
    <t>Fasteners</t>
  </si>
  <si>
    <t>Ideal Clamps</t>
  </si>
  <si>
    <t>GBC Wire Binding Strips</t>
  </si>
  <si>
    <t>Supplies</t>
  </si>
  <si>
    <t>Fiskars Softgrip Scissors</t>
  </si>
  <si>
    <t>Longer-Life Soft White Bulbs</t>
  </si>
  <si>
    <t>CA-2014-106180</t>
  </si>
  <si>
    <t>SallyHughsby@gmail.com</t>
  </si>
  <si>
    <t>Newell 343</t>
  </si>
  <si>
    <t>Envelopes</t>
  </si>
  <si>
    <t>Convenience Packs of Business Envelopes</t>
  </si>
  <si>
    <t>Xerox 1911</t>
  </si>
  <si>
    <t>CA-2013-158834</t>
  </si>
  <si>
    <t>TamaraWillingham@gmail.com</t>
  </si>
  <si>
    <t>United States,Scottsdale,Arizona</t>
  </si>
  <si>
    <t>Belkin 7 Outlet SurgeMaster Surge Protector with Phone Protection</t>
  </si>
  <si>
    <t>March</t>
  </si>
  <si>
    <t>Jabra BIZ 2300 Duo QD Duo CordedÂ Headset</t>
  </si>
  <si>
    <t>CA-2012-124919</t>
  </si>
  <si>
    <t>StephaniePhelps@gmail.com</t>
  </si>
  <si>
    <t>United States,San Jose,California</t>
  </si>
  <si>
    <t>Southworth 25% Cotton Antique Laid Paper &amp; Envelopes</t>
  </si>
  <si>
    <t>Xerox 1883</t>
  </si>
  <si>
    <t>Tenex Personal Project File with Scoop Front Design, Black</t>
  </si>
  <si>
    <t>CA-2012-118948</t>
  </si>
  <si>
    <t>NeilKnudson@gmail.com</t>
  </si>
  <si>
    <t>Newell 311</t>
  </si>
  <si>
    <t>CA-2011-104269</t>
  </si>
  <si>
    <t>DaveBrooks@gmail.com</t>
  </si>
  <si>
    <t>Global Deluxe High-Back Manager's Chair</t>
  </si>
  <si>
    <t>CA-2013-162733</t>
  </si>
  <si>
    <t>TedTrevino@gmail.com</t>
  </si>
  <si>
    <t>Xerox 1920</t>
  </si>
  <si>
    <t>CA-2013-154508</t>
  </si>
  <si>
    <t>RubenDartt@gmail.com</t>
  </si>
  <si>
    <t>United States,Carlsbad,New Mexico</t>
  </si>
  <si>
    <t>Staples</t>
  </si>
  <si>
    <t>CA-2013-113817</t>
  </si>
  <si>
    <t>MaxJones@gmail.com</t>
  </si>
  <si>
    <t>Wilson Jones International Size A4 Ring Binders</t>
  </si>
  <si>
    <t>CA-2011-118962</t>
  </si>
  <si>
    <t>ChadSievert@gmail.com</t>
  </si>
  <si>
    <t>Adams Phone Message Book, Professional, 400 Message Capacity, 5 3/6Â” x 11Â”</t>
  </si>
  <si>
    <t>Xerox 1913</t>
  </si>
  <si>
    <t>Global Value Steno Chair, Gray</t>
  </si>
  <si>
    <t>CA-2011-123260</t>
  </si>
  <si>
    <t>FrankMerwin@gmail.com</t>
  </si>
  <si>
    <t>SanDisk Ultra 32 GB MicroSDHC Class 10 Memory Card</t>
  </si>
  <si>
    <t>CA-2012-131457</t>
  </si>
  <si>
    <t>MaryZewe@gmail.com</t>
  </si>
  <si>
    <t>United States,Redlands,California</t>
  </si>
  <si>
    <t>Poly String Tie Envelopes</t>
  </si>
  <si>
    <t>CA-2011-133690</t>
  </si>
  <si>
    <t>BruceStewart@gmail.com</t>
  </si>
  <si>
    <t>United States,Denver,Colorado</t>
  </si>
  <si>
    <t>Tables</t>
  </si>
  <si>
    <t>BoxOffice By Design Rectangular and Half-Moon Meeting Room Tables</t>
  </si>
  <si>
    <t>Bravo II Megaboss 12-Amp Hard Body Upright, Replacement Belts, 2 Belts per Pack</t>
  </si>
  <si>
    <t>CA-2014-108329</t>
  </si>
  <si>
    <t>LaurelElliston@gmail.com</t>
  </si>
  <si>
    <t>United States,Whittier,California</t>
  </si>
  <si>
    <t>Nortel Business Series Terminal T7208 Digital phone</t>
  </si>
  <si>
    <t>CA-2013-130162</t>
  </si>
  <si>
    <t>JonathanHowell@gmail.com</t>
  </si>
  <si>
    <t>Personal Filing Tote with Lid, Black/Gray</t>
  </si>
  <si>
    <t>Adtran 1202752G1</t>
  </si>
  <si>
    <t>CA-2014-160514</t>
  </si>
  <si>
    <t>DavidBremer@gmail.com</t>
  </si>
  <si>
    <t>United States,Santa Clara,California</t>
  </si>
  <si>
    <t>Xerox 4200 Series MultiUse Premium Copy Paper (20Lb. and 84 Bright)</t>
  </si>
  <si>
    <t>CA-2013-154739</t>
  </si>
  <si>
    <t>LoganHaushalter@gmail.com</t>
  </si>
  <si>
    <t>Global Leather Highback Executive Chair with Pneumatic Height Adjustment, Black</t>
  </si>
  <si>
    <t>CA-2013-145625</t>
  </si>
  <si>
    <t>KellyCollister@gmail.com</t>
  </si>
  <si>
    <t>United States,San Diego,California</t>
  </si>
  <si>
    <t>Wirebound Message Books, Two 4 1/4" x 5" Forms per Page</t>
  </si>
  <si>
    <t>CA-2012-155040</t>
  </si>
  <si>
    <t>AlanHwang@gmail.com</t>
  </si>
  <si>
    <t>United States,Brentwood,California</t>
  </si>
  <si>
    <t>Microsoft Sculpt Comfort Mouse</t>
  </si>
  <si>
    <t>CA-2012-155334</t>
  </si>
  <si>
    <t>HelenAndreada@gmail.com</t>
  </si>
  <si>
    <t>Logitech 910-002974 M325 Wireless Mouse for Web Scrolling</t>
  </si>
  <si>
    <t>Regeneration Desk Collection</t>
  </si>
  <si>
    <t>Presstex Flexible Ring Binders</t>
  </si>
  <si>
    <t>CA-2014-118136</t>
  </si>
  <si>
    <t>BarryBlumstein@gmail.com</t>
  </si>
  <si>
    <t>United States,Inglewood,California</t>
  </si>
  <si>
    <t>Ampad Gold Fibre Wirebound Steno Books, 6" x 9", Gregg Ruled</t>
  </si>
  <si>
    <t>Newell 330</t>
  </si>
  <si>
    <t>CA-2012-130883</t>
  </si>
  <si>
    <t>TracyBlumstein@gmail.com</t>
  </si>
  <si>
    <t>Microsoft Arc Touch Mouse</t>
  </si>
  <si>
    <t>Xerox 216</t>
  </si>
  <si>
    <t>CA-2011-111451</t>
  </si>
  <si>
    <t>KellyLampkin@gmail.com</t>
  </si>
  <si>
    <t>United States,Colorado Springs,Colorado</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</si>
  <si>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</si>
  <si>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</si>
  <si>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</si>
  <si>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</si>
  <si>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</si>
  <si>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</si>
  <si>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BenPeterman@gmail.com</t>
  </si>
  <si>
    <t>United States,Arvada,Colorado</t>
  </si>
  <si>
    <t>C-Line Cubicle Keepers Polyproplyene Holder With Velcro Backings</t>
  </si>
  <si>
    <t>Hon 4070 Series Pagoda Armless Upholstered Stacking Chairs</t>
  </si>
  <si>
    <t>Eldon Expressions Desk Accessory, Wood Photo Frame, Mahogany</t>
  </si>
  <si>
    <t>Avery 509</t>
  </si>
  <si>
    <t>CA-2011-156601</t>
  </si>
  <si>
    <t>FrankAtkinson@gmail.com</t>
  </si>
  <si>
    <t>United States,Long Beach,California</t>
  </si>
  <si>
    <t>OIC Binder Clips</t>
  </si>
  <si>
    <t>CA-2013-162138</t>
  </si>
  <si>
    <t>GraceKelly@gmail.com</t>
  </si>
  <si>
    <t>United States,Hesperia,California</t>
  </si>
  <si>
    <t>April</t>
  </si>
  <si>
    <t>Logitech Wireless Headset h800</t>
  </si>
  <si>
    <t>CA-2012-137946</t>
  </si>
  <si>
    <t>DougBickford@gmail.com</t>
  </si>
  <si>
    <t>Storex Dura Pro Binders</t>
  </si>
  <si>
    <t>Avery Non-Stick Binders</t>
  </si>
  <si>
    <t>CA-2011-129924</t>
  </si>
  <si>
    <t>AlyssaCrouse@gmail.com</t>
  </si>
  <si>
    <t>Tuff Stuff Recycled Round Ring Binders</t>
  </si>
  <si>
    <t>CA-2012-128167</t>
  </si>
  <si>
    <t>KenLonsdale@gmail.com</t>
  </si>
  <si>
    <t>United States,Layton,Utah</t>
  </si>
  <si>
    <t>OIC Binder Clips, Mini, 1/4" Capacity, Black</t>
  </si>
  <si>
    <t>CA-2014-169901</t>
  </si>
  <si>
    <t>ClayCheatham@gmail.com</t>
  </si>
  <si>
    <t>Anker 36W 4-Port USB Wall Charger Travel Power Adapter for iPhone 5s 5c 5</t>
  </si>
  <si>
    <t>CA-2011-123344</t>
  </si>
  <si>
    <t>JuliaDunbar@gmail.com</t>
  </si>
  <si>
    <t>Gould Plastics 9-Pocket Panel Bin, 18-3/8w x 5-1/4d x 20-1/2h, Black</t>
  </si>
  <si>
    <t>US-2011-119137</t>
  </si>
  <si>
    <t>ArthurGainer@gmail.com</t>
  </si>
  <si>
    <t>United States,Tucson,Arizona</t>
  </si>
  <si>
    <t>Wilson Jones Custom Binder Spines &amp; Labels</t>
  </si>
  <si>
    <t>Newell 324</t>
  </si>
  <si>
    <t>Microsoft Natural Keyboard Elite</t>
  </si>
  <si>
    <t>CA-2013-134775</t>
  </si>
  <si>
    <t>AlejandroSavely@gmail.com</t>
  </si>
  <si>
    <t>Southworth Structures Collection</t>
  </si>
  <si>
    <t>Square Ring Data Binders, Rigid 75 Pt. Covers, 11" x 14-7/8"</t>
  </si>
  <si>
    <t>US-2011-135972</t>
  </si>
  <si>
    <t>JackGarza@gmail.com</t>
  </si>
  <si>
    <t>United States,Des Moines,Washington</t>
  </si>
  <si>
    <t>Nortel Meridian M3904 Professional Digital phone</t>
  </si>
  <si>
    <t>CA-2014-102946</t>
  </si>
  <si>
    <t>VictorPreis@gmail.com</t>
  </si>
  <si>
    <t>United States,Las Vegas,Nevada</t>
  </si>
  <si>
    <t>Tuf-Vin Binders</t>
  </si>
  <si>
    <t>CA-2014-117457</t>
  </si>
  <si>
    <t>KeithHerrera@gmail.com</t>
  </si>
  <si>
    <t>Sony 64GB Class 10 Micro SDHC R40 Memory Card</t>
  </si>
  <si>
    <t>Wirebound Message Book, 4 per Page</t>
  </si>
  <si>
    <t>Wirebound Service Call Books, 5 1/2" x 4"</t>
  </si>
  <si>
    <t>Self-Adhesive Removable Labels</t>
  </si>
  <si>
    <t>Xerox 1908</t>
  </si>
  <si>
    <t>Novimex High-Tech Fabric Mesh Task Chair</t>
  </si>
  <si>
    <t>CA-2014-142636</t>
  </si>
  <si>
    <t>KimberlyCarter@gmail.com</t>
  </si>
  <si>
    <t>Xerox 191</t>
  </si>
  <si>
    <t>CA-2014-122105</t>
  </si>
  <si>
    <t>CarolineJumper@gmail.com</t>
  </si>
  <si>
    <t>United States,Huntington Beach,California</t>
  </si>
  <si>
    <t>Bulldog Vacuum Base Pencil Sharpener</t>
  </si>
  <si>
    <t>CA-2013-148796</t>
  </si>
  <si>
    <t>PhilipBrown@gmail.com</t>
  </si>
  <si>
    <t>Bevis Steel Folding Chairs</t>
  </si>
  <si>
    <t>CA-2014-110478</t>
  </si>
  <si>
    <t>SungPak@gmail.com</t>
  </si>
  <si>
    <t>American Pencil</t>
  </si>
  <si>
    <t>White Envelopes, White Envelopes with Clear Poly Window</t>
  </si>
  <si>
    <t>CA-2011-142048</t>
  </si>
  <si>
    <t>JoelEaton@gmail.com</t>
  </si>
  <si>
    <t>United States,Louisville,Colorado</t>
  </si>
  <si>
    <t>KeyTronicÂ 6101 Series -Â KeyboardÂ - Black</t>
  </si>
  <si>
    <t>US-2011-110674</t>
  </si>
  <si>
    <t>SanjitChand@gmail.com</t>
  </si>
  <si>
    <t>United States,Concord,California</t>
  </si>
  <si>
    <t>Global Geo Office Task Chair, Gray</t>
  </si>
  <si>
    <t>February</t>
  </si>
  <si>
    <t>CA-2012-109638</t>
  </si>
  <si>
    <t>JosephHolt@gmail.com</t>
  </si>
  <si>
    <t>3M Office Air Cleaner</t>
  </si>
  <si>
    <t>Acco D-Ring Binder w/DublLock</t>
  </si>
  <si>
    <t>CA-2013-109869</t>
  </si>
  <si>
    <t>TanjaNorvell@gmail.com</t>
  </si>
  <si>
    <t>Eldon Wave Desk Accessories</t>
  </si>
  <si>
    <t>Poly Designer Cover &amp; Back</t>
  </si>
  <si>
    <t>Premier Electric Letter Opener</t>
  </si>
  <si>
    <t>Fellowes Premier Superior Surge Suppressor, 10-Outlet, With Phone and Remote</t>
  </si>
  <si>
    <t>CA-2011-144666</t>
  </si>
  <si>
    <t>JeremyPistek@gmail.com</t>
  </si>
  <si>
    <t>SAFCO Boltless Steel Shelving</t>
  </si>
  <si>
    <t>Bookcases</t>
  </si>
  <si>
    <t>Sauder Mission Library with Doors, Fruitwood Finish</t>
  </si>
  <si>
    <t>Decoflex Hanging Personal Folder File, Blue</t>
  </si>
  <si>
    <t>Recycled Desk Saver Line "While You Were Out" Book, 5 1/2" X 4"</t>
  </si>
  <si>
    <t>Xerox 1912</t>
  </si>
  <si>
    <t>CA-2013-103891</t>
  </si>
  <si>
    <t>KristenHastings@gmail.com</t>
  </si>
  <si>
    <t>Cisco SPA525G2 IP Phone - Wireless</t>
  </si>
  <si>
    <t>CA-2011-134677</t>
  </si>
  <si>
    <t>XylonaPreis@gmail.com</t>
  </si>
  <si>
    <t>ImationÂ USB 2.0 SwivelÂ Flash DriveÂ USBÂ flash driveÂ - 4 GB - Pink</t>
  </si>
  <si>
    <t>CA-2014-140963</t>
  </si>
  <si>
    <t>MichelleTran@gmail.com</t>
  </si>
  <si>
    <t>Alphabetical Labels for Top Tab Filing</t>
  </si>
  <si>
    <t>iHome FM Clock Radio with Lightning Dock</t>
  </si>
  <si>
    <t>CA-2013-169166</t>
  </si>
  <si>
    <t>SoniaSunley@gmail.com</t>
  </si>
  <si>
    <t>Sony Micro Vault Click 8 GB USB 2.0 Flash Drive</t>
  </si>
  <si>
    <t>CA-2013-126158</t>
  </si>
  <si>
    <t>United States,Costa Mesa,California</t>
  </si>
  <si>
    <t>Clear Mylar Reinforcing Strips</t>
  </si>
  <si>
    <t>Howard Miller 14-1/2" Diameter Chrome Round Wall Clock</t>
  </si>
  <si>
    <t>DMI Arturo Collection Mission-style Design Wood Chair</t>
  </si>
  <si>
    <t>Deflect-O Glasstique Clear Desk Accessories</t>
  </si>
  <si>
    <t>US-2013-105578</t>
  </si>
  <si>
    <t>MaribethYedwab@gmail.com</t>
  </si>
  <si>
    <t>United States,Parker,Colorado</t>
  </si>
  <si>
    <t>Vinyl Sectional Post Binders</t>
  </si>
  <si>
    <t>GBC Standard Therm-A-Bind Covers</t>
  </si>
  <si>
    <t>Storex Flexible Poly Binders with Double Pockets</t>
  </si>
  <si>
    <t>White Dual Perf Computer Printout Paper, 2700 Sheets, 1 Part, Heavyweight, 20 lbs., 14 7/8 x 11</t>
  </si>
  <si>
    <t>CA-2014-163405</t>
  </si>
  <si>
    <t>BradleyNguyen@gmail.com</t>
  </si>
  <si>
    <t>Newell 327</t>
  </si>
  <si>
    <t>Newell 317</t>
  </si>
  <si>
    <t>CA-2014-127432</t>
  </si>
  <si>
    <t>AlanDominguez@gmail.com</t>
  </si>
  <si>
    <t>United States,Great Falls,Montana</t>
  </si>
  <si>
    <t>Advantus Rolling Storage Box</t>
  </si>
  <si>
    <t>Great White Multi-Use Recycled Paper (20Lb. and 84 Bright)</t>
  </si>
  <si>
    <t>US-2013-139486</t>
  </si>
  <si>
    <t>Motorola HK250 Universal Bluetooth Headset</t>
  </si>
  <si>
    <t>ImationÂ 16GB Mini TravelDrive USB 2.0Â Flash Drive</t>
  </si>
  <si>
    <t>CA-2012-102848</t>
  </si>
  <si>
    <t>KarenBern@gmail.com</t>
  </si>
  <si>
    <t>Safco Contoured Stacking Chairs</t>
  </si>
  <si>
    <t>US-2014-129441</t>
  </si>
  <si>
    <t>JasperCacioppo@gmail.com</t>
  </si>
  <si>
    <t>Tenex Chairmats For Use With Carpeted Floors</t>
  </si>
  <si>
    <t>CA-2013-126613</t>
  </si>
  <si>
    <t>AllenArmold@gmail.com</t>
  </si>
  <si>
    <t>United States,Mesa,Arizona</t>
  </si>
  <si>
    <t>Sterilite Officeware Hinged File Box</t>
  </si>
  <si>
    <t>CA-2013-136924</t>
  </si>
  <si>
    <t>ErinSmith@gmail.com</t>
  </si>
  <si>
    <t>LG Electronics Tone+ HBS-730 Bluetooth Headset</t>
  </si>
  <si>
    <t>CA-2013-113243</t>
  </si>
  <si>
    <t>OlveraToch@gmail.com</t>
  </si>
  <si>
    <t>Avery 473</t>
  </si>
  <si>
    <t>Xerox 226</t>
  </si>
  <si>
    <t>CA-2014-118731</t>
  </si>
  <si>
    <t>LizPelletier@gmail.com</t>
  </si>
  <si>
    <t>Coloredge Poster Frame</t>
  </si>
  <si>
    <t>GBC Prepunched Paper, 19-Hole, for Binding Systems, 24-lb</t>
  </si>
  <si>
    <t>CA-2012-130736</t>
  </si>
  <si>
    <t>JeremyFarry@gmail.com</t>
  </si>
  <si>
    <t>Alliance Big Bands Rubber Bands, 12/Pack</t>
  </si>
  <si>
    <t>CA-2014-137099</t>
  </si>
  <si>
    <t>FrankPreis@gmail.com</t>
  </si>
  <si>
    <t>Cisco SPA301</t>
  </si>
  <si>
    <t>CA-2014-156951</t>
  </si>
  <si>
    <t>EllisBallard@gmail.com</t>
  </si>
  <si>
    <t>Personal Creations Ink Jet Cards and Labels</t>
  </si>
  <si>
    <t>GBC White Gloss Covers, Plain Front</t>
  </si>
  <si>
    <t>Xerox 222</t>
  </si>
  <si>
    <t>Hon Every-Day Series Multi-Task Chairs</t>
  </si>
  <si>
    <t>CA-2013-127250</t>
  </si>
  <si>
    <t>SarahFoster@gmail.com</t>
  </si>
  <si>
    <t>United States,Marysville,Washington</t>
  </si>
  <si>
    <t>Newell 332</t>
  </si>
  <si>
    <t>CA-2012-149713</t>
  </si>
  <si>
    <t>TrudyGlocke@gmail.com</t>
  </si>
  <si>
    <t>Rediform S.O.S. Phone Message Books</t>
  </si>
  <si>
    <t>Acme Value Line Scissors</t>
  </si>
  <si>
    <t>CA-2012-132906</t>
  </si>
  <si>
    <t>CharlesCrestani@gmail.com</t>
  </si>
  <si>
    <t>Martin-Yale Premier Letter Opener</t>
  </si>
  <si>
    <t>CA-2014-145233</t>
  </si>
  <si>
    <t>DiannaVittorini@gmail.com</t>
  </si>
  <si>
    <t>GE 30524EE4</t>
  </si>
  <si>
    <t>AT&amp;T SB67148 SynJ</t>
  </si>
  <si>
    <t>Fellowes Basic Home/Office Series Surge Protectors</t>
  </si>
  <si>
    <t>Recycled Pressboard Report Cover with Reinforced Top Hinge</t>
  </si>
  <si>
    <t>US-2013-156986</t>
  </si>
  <si>
    <t>ZuschussCarroll@gmail.com</t>
  </si>
  <si>
    <t>United States,Salem,Oregon</t>
  </si>
  <si>
    <t>i.Sound Portable Power - 8000 mAh</t>
  </si>
  <si>
    <t>Xerox 225</t>
  </si>
  <si>
    <t>Xerox 1894</t>
  </si>
  <si>
    <t>CA-2011-131450</t>
  </si>
  <si>
    <t>LenaRadford@gmail.com</t>
  </si>
  <si>
    <t>Fellowes Superior 10 Outlet Split Surge Protector</t>
  </si>
  <si>
    <t>AT&amp;T 1070 Corded Phone</t>
  </si>
  <si>
    <t>Dana Halogen Swing-Arm Architect Lamp</t>
  </si>
  <si>
    <t>CA-2014-153787</t>
  </si>
  <si>
    <t>AnnieThurman@gmail.com</t>
  </si>
  <si>
    <t>Belkin Premiere Surge Master II 8-outlet surge protector</t>
  </si>
  <si>
    <t>CA-2014-133431</t>
  </si>
  <si>
    <t>LoganCurrie@gmail.com</t>
  </si>
  <si>
    <t>Acco Pressboard Covers with Storage Hooks, 9 1/2" x 11", Executive Red</t>
  </si>
  <si>
    <t>US-2013-135720</t>
  </si>
  <si>
    <t>FredMcMath@gmail.com</t>
  </si>
  <si>
    <t>Tennsco Regal Shelving Units</t>
  </si>
  <si>
    <t>ImationÂ 32GB Pocket Pro USB 3.0Â Flash DriveÂ - 32 GB - Black - 1 P ...</t>
  </si>
  <si>
    <t>Jabra SPEAK 410</t>
  </si>
  <si>
    <t>US-2013-123470</t>
  </si>
  <si>
    <t>MaxEngle@gmail.com</t>
  </si>
  <si>
    <t>Premium Transparent Presentation Covers by GBC</t>
  </si>
  <si>
    <t>Tripp Lite TLP810NET Broadband Surge for Modem/Fax</t>
  </si>
  <si>
    <t>CA-2013-115917</t>
  </si>
  <si>
    <t>RickBensley@gmail.com</t>
  </si>
  <si>
    <t>United States,Vallejo,California</t>
  </si>
  <si>
    <t>Wilson Jones Turn Tabs Binder Tool for Ring Binders</t>
  </si>
  <si>
    <t>CA-2014-167913</t>
  </si>
  <si>
    <t>JohnLee@gmail.com</t>
  </si>
  <si>
    <t>United States,Mission Viejo,California</t>
  </si>
  <si>
    <t>Economy Rollaway Files</t>
  </si>
  <si>
    <t>Avery 480</t>
  </si>
  <si>
    <t>CA-2013-103947</t>
  </si>
  <si>
    <t>United States,Sierra Vista,Arizona</t>
  </si>
  <si>
    <t>Belkin F9H710-06 7 Outlet SurgeMaster Surge Protector</t>
  </si>
  <si>
    <t>CA-2013-160745</t>
  </si>
  <si>
    <t>AnthonyRawles@gmail.com</t>
  </si>
  <si>
    <t>United States,Vancouver,Washington</t>
  </si>
  <si>
    <t>3M Hangers With Command Adhesive</t>
  </si>
  <si>
    <t>AT&amp;T TR1909W</t>
  </si>
  <si>
    <t>First Data FD10 PIN Pad</t>
  </si>
  <si>
    <t>CA-2012-131534</t>
  </si>
  <si>
    <t>AlanBarnes@gmail.com</t>
  </si>
  <si>
    <t>Imation Bio 8GB USBÂ Flash Drive ImationÂ Corp</t>
  </si>
  <si>
    <t>Xerox 1977</t>
  </si>
  <si>
    <t>CA-2013-163755</t>
  </si>
  <si>
    <t>Tenex "The Solids" Textured Chair Mats</t>
  </si>
  <si>
    <t>CA-2012-142027</t>
  </si>
  <si>
    <t>JayKimmel@gmail.com</t>
  </si>
  <si>
    <t>Laminate Occasional Tables</t>
  </si>
  <si>
    <t>CA-2011-153150</t>
  </si>
  <si>
    <t>Dorrisliebe@gmail.com</t>
  </si>
  <si>
    <t>Cardinal Holdit Business Card Pockets</t>
  </si>
  <si>
    <t>CA-2011-104472</t>
  </si>
  <si>
    <t>ChristineKargatis@gmail.com</t>
  </si>
  <si>
    <t>United States,Orem,Utah</t>
  </si>
  <si>
    <t>Aluminum Document Frame</t>
  </si>
  <si>
    <t>CA-2013-112942</t>
  </si>
  <si>
    <t>RossDeVincentis@gmail.com</t>
  </si>
  <si>
    <t>Tops Green Bar Computer Printout Paper</t>
  </si>
  <si>
    <t>CA-2014-131954</t>
  </si>
  <si>
    <t>DarrinSayre@gmail.com</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</si>
  <si>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</si>
  <si>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</si>
  <si>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</si>
  <si>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</si>
  <si>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</si>
  <si>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</si>
  <si>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</si>
  <si>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GaryZandusky@gmail.com</t>
  </si>
  <si>
    <t>Logitech Wireless Touch Keyboard K400</t>
  </si>
  <si>
    <t>CA-2011-124429</t>
  </si>
  <si>
    <t>MayaHerman@gmail.com</t>
  </si>
  <si>
    <t>Fellowes Officeware Wire Shelving</t>
  </si>
  <si>
    <t>CA-2012-135272</t>
  </si>
  <si>
    <t>MelanieSeite@gmail.com</t>
  </si>
  <si>
    <t>12-1/2 Diameter Round Wall Clock</t>
  </si>
  <si>
    <t>CA-2012-112319</t>
  </si>
  <si>
    <t>AndrewRoberts@gmail.com</t>
  </si>
  <si>
    <t>CA-2012-144267</t>
  </si>
  <si>
    <t>NickZandusky@gmail.com</t>
  </si>
  <si>
    <t>Xerox 1974</t>
  </si>
  <si>
    <t>Xerox 1927</t>
  </si>
  <si>
    <t>CA-2014-129567</t>
  </si>
  <si>
    <t>ClayLudtke@gmail.com</t>
  </si>
  <si>
    <t>United States,Lancaster,California</t>
  </si>
  <si>
    <t>Heavy-Duty E-Z-D Binders</t>
  </si>
  <si>
    <t>CA-2012-154620</t>
  </si>
  <si>
    <t>LizThompson@gmail.com</t>
  </si>
  <si>
    <t>Lifetime Advantage Folding Chairs, 4/Carton</t>
  </si>
  <si>
    <t>CA-2011-156433</t>
  </si>
  <si>
    <t>EricaSmith@gmail.com</t>
  </si>
  <si>
    <t>Avery 499</t>
  </si>
  <si>
    <t>CA-2012-101910</t>
  </si>
  <si>
    <t>CarlosDaly@gmail.com</t>
  </si>
  <si>
    <t>United States,Lake Elsinore,California</t>
  </si>
  <si>
    <t>Situations Contoured Folding Chairs, 4/Set</t>
  </si>
  <si>
    <t>CA-2014-105809</t>
  </si>
  <si>
    <t>HelenWasserman@gmail.com</t>
  </si>
  <si>
    <t>Executive Impressions 14" Contract Wall Clock</t>
  </si>
  <si>
    <t>Logitech Mobile Speakerphone P710e -Â speaker phone</t>
  </si>
  <si>
    <t>CA-2014-135783</t>
  </si>
  <si>
    <t>GaryMcGarr@gmail.com</t>
  </si>
  <si>
    <t>Eldon Stackable Tray, Side-Load, Legal, Smoke</t>
  </si>
  <si>
    <t>CA-2011-134313</t>
  </si>
  <si>
    <t>RussellApplegate@gmail.com</t>
  </si>
  <si>
    <t>Model L Table or Wall-Mount Pencil Sharpener</t>
  </si>
  <si>
    <t>CA-2011-151995</t>
  </si>
  <si>
    <t>United States,Edmonds,Washington</t>
  </si>
  <si>
    <t>Newell 32</t>
  </si>
  <si>
    <t>Belkin F9G930V10-GRY 9 Outlet Surge</t>
  </si>
  <si>
    <t>Sony 16GB Class 10 Micro SDHC R40 Memory Card</t>
  </si>
  <si>
    <t>CA-2014-143686</t>
  </si>
  <si>
    <t>PaulineJohnson@gmail.com</t>
  </si>
  <si>
    <t>United States,Santa Ana,California</t>
  </si>
  <si>
    <t>US-2011-102071</t>
  </si>
  <si>
    <t>PatrickGardner@gmail.com</t>
  </si>
  <si>
    <t>Kingston Digital DataTraveler 32GB USB 2.0</t>
  </si>
  <si>
    <t>Sony Micro Vault Click 16 GB USB 2.0 Flash Drive</t>
  </si>
  <si>
    <t>CA-2013-161669</t>
  </si>
  <si>
    <t>EudokiaMartin@gmail.com</t>
  </si>
  <si>
    <t>Fellowes Binding Cases</t>
  </si>
  <si>
    <t>Ibico Plastic and Wire Spiral Binding Combs</t>
  </si>
  <si>
    <t>Acme Preferred Stainless Steel Scissors</t>
  </si>
  <si>
    <t>Avery 486</t>
  </si>
  <si>
    <t>CA-2013-152534</t>
  </si>
  <si>
    <t>DavePoirier@gmail.com</t>
  </si>
  <si>
    <t>United States,Salinas,California</t>
  </si>
  <si>
    <t>DIXON Oriole Pencils</t>
  </si>
  <si>
    <t>Xerox 202</t>
  </si>
  <si>
    <t>CA-2011-133851</t>
  </si>
  <si>
    <t>ChuckMagee@gmail.com</t>
  </si>
  <si>
    <t>Deluxe Chalkboard Eraser Cleaner</t>
  </si>
  <si>
    <t>US-2014-123463</t>
  </si>
  <si>
    <t>Binney &amp; Smith Crayola Metallic Crayons, 16-Color Pack</t>
  </si>
  <si>
    <t>CA-2012-143602</t>
  </si>
  <si>
    <t>JillStevenson@gmail.com</t>
  </si>
  <si>
    <t>Fellowes Black Plastic Comb Bindings</t>
  </si>
  <si>
    <t>CA-2014-115364</t>
  </si>
  <si>
    <t>Eldon Shelf Savers Cubes and Bins</t>
  </si>
  <si>
    <t>CA-2011-104976</t>
  </si>
  <si>
    <t>CymaKinney@gmail.com</t>
  </si>
  <si>
    <t>Xerox 1987</t>
  </si>
  <si>
    <t>CA-2013-105494</t>
  </si>
  <si>
    <t>PamelaCoakley@gmail.com</t>
  </si>
  <si>
    <t>File Shuttle I and Handi-File</t>
  </si>
  <si>
    <t>Binding Machine Supplies</t>
  </si>
  <si>
    <t>CA-2013-130477</t>
  </si>
  <si>
    <t>Xerox 1923</t>
  </si>
  <si>
    <t>Fellowes Neat Ideas Storage Cubes</t>
  </si>
  <si>
    <t>Xerox 1931</t>
  </si>
  <si>
    <t>US-2014-111745</t>
  </si>
  <si>
    <t>United States,Farmington,New Mexico</t>
  </si>
  <si>
    <t>NETGEAR AC1750 Dual Band GigabitÂ Smart WiFi Router</t>
  </si>
  <si>
    <t>CA-2012-148250</t>
  </si>
  <si>
    <t>RachelPayne@gmail.com</t>
  </si>
  <si>
    <t>United States,Riverside,California</t>
  </si>
  <si>
    <t>Xerox 213</t>
  </si>
  <si>
    <t>Fellowes 8 Outlet Superior Workstation Surge Protector w/o Phone/Fax/Modem Protection</t>
  </si>
  <si>
    <t>CA-2013-105760</t>
  </si>
  <si>
    <t>KarenCarlisle@gmail.com</t>
  </si>
  <si>
    <t>Message Book, Standard Line "While You Were Out", 5 1/2" X 4", 200 Sets/Book</t>
  </si>
  <si>
    <t>CA-2013-142958</t>
  </si>
  <si>
    <t>RobWilliams@gmail.com</t>
  </si>
  <si>
    <t>United States,Torrance,California</t>
  </si>
  <si>
    <t>Acco Pressboard Covers with Storage Hooks, 14 7/8" x 11", Dark Blue</t>
  </si>
  <si>
    <t>CA-2012-120880</t>
  </si>
  <si>
    <t>JohnLucas@gmail.com</t>
  </si>
  <si>
    <t>Avery Trapezoid Extra Heavy Duty 4" Binders</t>
  </si>
  <si>
    <t>US-2012-140200</t>
  </si>
  <si>
    <t>CynthiaArntzen@gmail.com</t>
  </si>
  <si>
    <t>Bevis Boat-Shaped Conference Table</t>
  </si>
  <si>
    <t>CA-2014-102414</t>
  </si>
  <si>
    <t>JosephAirdo@gmail.com</t>
  </si>
  <si>
    <t>Logitech B530 USBÂ HeadsetÂ -Â headsetÂ - Full size, Binaural</t>
  </si>
  <si>
    <t>Avery Durable Slant Ring Binders</t>
  </si>
  <si>
    <t>Universal Ultra Bright White Copier/Laser Paper, 8 1/2" x 11", Ream</t>
  </si>
  <si>
    <t>CA-2012-112571</t>
  </si>
  <si>
    <t>DanielLacy@gmail.com</t>
  </si>
  <si>
    <t>United States,Oceanside,California</t>
  </si>
  <si>
    <t>Luxo Professional Combination Clamp-On Lamps</t>
  </si>
  <si>
    <t>CA-2014-152142</t>
  </si>
  <si>
    <t>LindsayWilliams@gmail.com</t>
  </si>
  <si>
    <t>CA-2013-120859</t>
  </si>
  <si>
    <t>CynthiaVoltz@gmail.com</t>
  </si>
  <si>
    <t>White Business Envelopes with Contemporary Seam, Recycled White Business Envelopes</t>
  </si>
  <si>
    <t>US-2014-100209</t>
  </si>
  <si>
    <t>TamaraDahlen@gmail.com</t>
  </si>
  <si>
    <t>Wilson Jones Easy Flow II Sheet Lifters</t>
  </si>
  <si>
    <t>CA-2011-163419</t>
  </si>
  <si>
    <t>TracyZic@gmail.com</t>
  </si>
  <si>
    <t>BIC Brite Liner Grip Highlighters, Assorted, 5/Pack</t>
  </si>
  <si>
    <t>CA-2013-105585</t>
  </si>
  <si>
    <t>RolandFjeld@gmail.com</t>
  </si>
  <si>
    <t>Advantus SlideClip Paper Clips</t>
  </si>
  <si>
    <t>Xerox 1979</t>
  </si>
  <si>
    <t>CA-2013-155488</t>
  </si>
  <si>
    <t>Boston 16801 Nautilus Battery Pencil Sharpener</t>
  </si>
  <si>
    <t>CA-2012-126445</t>
  </si>
  <si>
    <t>RyanAkin@gmail.com</t>
  </si>
  <si>
    <t>United States,Murrieta,California</t>
  </si>
  <si>
    <t>Fellowes Super Stor/Drawer Files</t>
  </si>
  <si>
    <t>CA-2012-105312</t>
  </si>
  <si>
    <t>MegTillman@gmail.com</t>
  </si>
  <si>
    <t>Redi-Strip #10 Envelopes, 4 1/8 x 9 1/2</t>
  </si>
  <si>
    <t>UniKeep View Case Binders</t>
  </si>
  <si>
    <t>CA-2011-158540</t>
  </si>
  <si>
    <t>VivekGonzalez@gmail.com</t>
  </si>
  <si>
    <t>Eldon Delta Triangular Chair Mat, 52" x 58", Clear</t>
  </si>
  <si>
    <t>CA-2014-118437</t>
  </si>
  <si>
    <t>PhilipFox@gmail.com</t>
  </si>
  <si>
    <t>United States,Olympia,Washington</t>
  </si>
  <si>
    <t>Howard Miller 13-3/4" Diameter Brushed Chrome Round Wall Clock</t>
  </si>
  <si>
    <t>Project Tote Personal File</t>
  </si>
  <si>
    <t>US-2012-126214</t>
  </si>
  <si>
    <t>JohnStevenson@gmail.com</t>
  </si>
  <si>
    <t>Enermax Acrylux Wireless Keyboard</t>
  </si>
  <si>
    <t>CA-2012-133025</t>
  </si>
  <si>
    <t>MegO'Connel@gmail.com</t>
  </si>
  <si>
    <t>CA-2014-106964</t>
  </si>
  <si>
    <t>HallieRedmond@gmail.com</t>
  </si>
  <si>
    <t>GBC Plastic Binding Combs</t>
  </si>
  <si>
    <t>CA-2012-127418</t>
  </si>
  <si>
    <t>JenniferJackson@gmail.com</t>
  </si>
  <si>
    <t>Aluminum Screw Posts</t>
  </si>
  <si>
    <t>CA-2011-139192</t>
  </si>
  <si>
    <t>Logitech Wireless Performance Mouse MX for PC and Mac</t>
  </si>
  <si>
    <t>CA-2014-167150</t>
  </si>
  <si>
    <t>Avery Hole Reinforcements</t>
  </si>
  <si>
    <t>Wilson Jones Ledger-Size, Piano-Hinge Binder, 2", Blue</t>
  </si>
  <si>
    <t>CA-2013-157686</t>
  </si>
  <si>
    <t>BrianDeCherney@gmail.com</t>
  </si>
  <si>
    <t>Global Value Mid-Back Manager's Chair, Gray</t>
  </si>
  <si>
    <t>CA-2012-144652</t>
  </si>
  <si>
    <t>SkyeNorling@gmail.com</t>
  </si>
  <si>
    <t>Newell 333</t>
  </si>
  <si>
    <t>CA-2013-152814</t>
  </si>
  <si>
    <t>EricaHernandez@gmail.com</t>
  </si>
  <si>
    <t>Xerox 1881</t>
  </si>
  <si>
    <t>CA-2013-134348</t>
  </si>
  <si>
    <t>MauriceSatty@gmail.com</t>
  </si>
  <si>
    <t>Avery Durable Slant Ring Binders With Label Holder</t>
  </si>
  <si>
    <t>Round Ring Binders</t>
  </si>
  <si>
    <t>Micropad Numeric Keypads</t>
  </si>
  <si>
    <t>CA-2014-132521</t>
  </si>
  <si>
    <t>DonWeiss@gmail.com</t>
  </si>
  <si>
    <t>Belkin 8 Outlet SurgeMaster II Gold Surge Protector</t>
  </si>
  <si>
    <t>Avery Printable Repositionable Plastic Tabs</t>
  </si>
  <si>
    <t>CA-2013-166163</t>
  </si>
  <si>
    <t>CraigYedwab@gmail.com</t>
  </si>
  <si>
    <t>United States,Oakland,California</t>
  </si>
  <si>
    <t>Nokia Lumia 521 (T-Mobile)</t>
  </si>
  <si>
    <t>Avery 488</t>
  </si>
  <si>
    <t>CA-2012-143490</t>
  </si>
  <si>
    <t>NaresjPatel@gmail.com</t>
  </si>
  <si>
    <t>Stanley Contemporary Battery Pencil Sharpeners</t>
  </si>
  <si>
    <t>AT&amp;T 1080 Corded phone</t>
  </si>
  <si>
    <t>CA-2011-159338</t>
  </si>
  <si>
    <t>NoelStaavos@gmail.com</t>
  </si>
  <si>
    <t>Hon 4060 Series Tables</t>
  </si>
  <si>
    <t>CA-2013-107216</t>
  </si>
  <si>
    <t>PaulVanHugh@gmail.com</t>
  </si>
  <si>
    <t>Newell 326</t>
  </si>
  <si>
    <t>GE General Purpose, Extra Long Life, Showcase &amp; Floodlight Incandescent Bulbs</t>
  </si>
  <si>
    <t>Logitech ClearChat Comfort/USB Headset H390</t>
  </si>
  <si>
    <t>Newell 346</t>
  </si>
  <si>
    <t>CA-2013-112340</t>
  </si>
  <si>
    <t>NeomaMurray@gmail.com</t>
  </si>
  <si>
    <t>Rediform Wirebound "Phone Memo" Message Book, 11 x 5-3/4</t>
  </si>
  <si>
    <t>CA-2014-140585</t>
  </si>
  <si>
    <t>United States,Encinitas,California</t>
  </si>
  <si>
    <t>Bush Saratoga Collection 5-Shelf Bookcase, Hanover Cherry, *Special Order</t>
  </si>
  <si>
    <t>CA-2013-144855</t>
  </si>
  <si>
    <t>DionisLloyd@gmail.com</t>
  </si>
  <si>
    <t>US-2013-114776</t>
  </si>
  <si>
    <t>GregGuthrie@gmail.com</t>
  </si>
  <si>
    <t>United States,Antioch,California</t>
  </si>
  <si>
    <t>CA-2011-146969</t>
  </si>
  <si>
    <t>ArthurPrichep@gmail.com</t>
  </si>
  <si>
    <t>Stockwell Push Pins</t>
  </si>
  <si>
    <t>Xerox 223</t>
  </si>
  <si>
    <t>Fellowes Mobile File Cart, Black</t>
  </si>
  <si>
    <t>CA-2014-160395</t>
  </si>
  <si>
    <t>United States,Reno,Nevada</t>
  </si>
  <si>
    <t>Crayola Anti Dust Chalk, 12/Pack</t>
  </si>
  <si>
    <t>Lock-Up Easel 'Spel-Binder'</t>
  </si>
  <si>
    <t>CA-2013-149314</t>
  </si>
  <si>
    <t>GeorgeBell@gmail.com</t>
  </si>
  <si>
    <t>Hon Deluxe Fabric Upholstered Stacking Chairs</t>
  </si>
  <si>
    <t>CA-2011-126522</t>
  </si>
  <si>
    <t>LarryTron@gmail.com</t>
  </si>
  <si>
    <t>United States,Escondido,California</t>
  </si>
  <si>
    <t>BOSTON Model 1800 Electric Pencil Sharpeners, Putty/Woodgrain</t>
  </si>
  <si>
    <t>CA-2012-125416</t>
  </si>
  <si>
    <t>CA-2011-158064</t>
  </si>
  <si>
    <t>ACCOHIDE Binder by Acco</t>
  </si>
  <si>
    <t>CA-2011-120243</t>
  </si>
  <si>
    <t>AlyssaTate@gmail.com</t>
  </si>
  <si>
    <t>CA-2011-127131</t>
  </si>
  <si>
    <t>HaroldRyan@gmail.com</t>
  </si>
  <si>
    <t>Peel &amp; Stick Add-On Corner Pockets</t>
  </si>
  <si>
    <t>Carina 42"Hx23 3/4"W Media Storage Unit</t>
  </si>
  <si>
    <t>Xerox 220</t>
  </si>
  <si>
    <t>Recycled Data-Pak for Archival Bound Computer Printouts, 12-1/2 x 12-1/2 x 16</t>
  </si>
  <si>
    <t>CA-2014-117212</t>
  </si>
  <si>
    <t>BradleyTalbott@gmail.com</t>
  </si>
  <si>
    <t>Kensington 6 Outlet Guardian Standard Surge Protector</t>
  </si>
  <si>
    <t>Xerox 1924</t>
  </si>
  <si>
    <t>CA-2013-114727</t>
  </si>
  <si>
    <t>LindaSouthworth@gmail.com</t>
  </si>
  <si>
    <t>Fellowes Strictly Business Drawer File, Letter/Legal Size</t>
  </si>
  <si>
    <t>CA-2011-110184</t>
  </si>
  <si>
    <t>BenFerrer@gmail.com</t>
  </si>
  <si>
    <t>GE DSL Phone Line Filter</t>
  </si>
  <si>
    <t>CA-2014-100013</t>
  </si>
  <si>
    <t>#10- 4 1/8" x 9 1/2" Security-Tint Envelopes</t>
  </si>
  <si>
    <t>Dax Clear Box Frame</t>
  </si>
  <si>
    <t>SANFORD Liquid Accent Tank-Style Highlighters</t>
  </si>
  <si>
    <t>CA-2011-127012</t>
  </si>
  <si>
    <t>GregMatthias@gmail.com</t>
  </si>
  <si>
    <t>Eldon Image Series Desk Accessories, Ebony</t>
  </si>
  <si>
    <t>Sanford 52201 APSCO Electric Pencil Sharpener</t>
  </si>
  <si>
    <t>CA-2011-168494</t>
  </si>
  <si>
    <t>NoraPreis@gmail.com</t>
  </si>
  <si>
    <t>United States,Fresno,California</t>
  </si>
  <si>
    <t>Bestar Classic Bookcase</t>
  </si>
  <si>
    <t>CA-2014-110380</t>
  </si>
  <si>
    <t>PhillipFlathmann@gmail.com</t>
  </si>
  <si>
    <t>Pencil and Crayon Sharpener</t>
  </si>
  <si>
    <t>US-2011-167738</t>
  </si>
  <si>
    <t>JulieCreighton@gmail.com</t>
  </si>
  <si>
    <t>Letter Size Cart</t>
  </si>
  <si>
    <t>CA-2014-121412</t>
  </si>
  <si>
    <t>BrookeGillingham@gmail.com</t>
  </si>
  <si>
    <t>CA-2013-163384</t>
  </si>
  <si>
    <t>ChuckClark@gmail.com</t>
  </si>
  <si>
    <t>ACCOHIDE 3-Ring Binder, Blue, 1"</t>
  </si>
  <si>
    <t>Xerox 1996</t>
  </si>
  <si>
    <t>CA-2012-101707</t>
  </si>
  <si>
    <t>Xerox 1973</t>
  </si>
  <si>
    <t>Avery 511</t>
  </si>
  <si>
    <t>CA-2014-115427</t>
  </si>
  <si>
    <t>EricaBern@gmail.com</t>
  </si>
  <si>
    <t>United States,Fairfield,California</t>
  </si>
  <si>
    <t>Cardinal Slant-D Ring Binder, Heavy Gauge Vinyl</t>
  </si>
  <si>
    <t>GBC Binding covers</t>
  </si>
  <si>
    <t>CA-2012-121391</t>
  </si>
  <si>
    <t>AlexAvila@gmail.com</t>
  </si>
  <si>
    <t>CA-2013-141397</t>
  </si>
  <si>
    <t>RoyCollins@gmail.com</t>
  </si>
  <si>
    <t>United States,Pasadena,California</t>
  </si>
  <si>
    <t>Xerox 1898</t>
  </si>
  <si>
    <t>Belkin 6 Outlet Metallic Surge Strip</t>
  </si>
  <si>
    <t>Fellowes Bankers Box Recycled Super Stor/Drawer</t>
  </si>
  <si>
    <t>Hon Valutask Swivel Chairs</t>
  </si>
  <si>
    <t>CA-2013-145919</t>
  </si>
  <si>
    <t>HenryGoldwyn@gmail.com</t>
  </si>
  <si>
    <t>Eureka Recycled Copy Paper 8 1/2" x 11", Ream</t>
  </si>
  <si>
    <t>Seth Thomas 12" Clock w/ Goldtone Case</t>
  </si>
  <si>
    <t>CA-2014-106033</t>
  </si>
  <si>
    <t>FrankGastineau@gmail.com</t>
  </si>
  <si>
    <t>Panasonic KP-310 Heavy-Duty Electric Pencil Sharpener</t>
  </si>
  <si>
    <t>CA-2013-142762</t>
  </si>
  <si>
    <t>LisaDeCherney@gmail.com</t>
  </si>
  <si>
    <t>CA-2011-121664</t>
  </si>
  <si>
    <t>HaroldPawlan@gmail.com</t>
  </si>
  <si>
    <t>Wilson Jones Legal Size Ring Binders</t>
  </si>
  <si>
    <t>US-2014-123281</t>
  </si>
  <si>
    <t>JamieFrazer@gmail.com</t>
  </si>
  <si>
    <t>Westinghouse Clip-On Gooseneck Lamps</t>
  </si>
  <si>
    <t>CA-2014-162978</t>
  </si>
  <si>
    <t>Motorola L804</t>
  </si>
  <si>
    <t>Things To Do Today Pad</t>
  </si>
  <si>
    <t>Bretford Rectangular Conference Table Tops</t>
  </si>
  <si>
    <t>US-2011-151925</t>
  </si>
  <si>
    <t>KeanTakahito@gmail.com</t>
  </si>
  <si>
    <t>Leather Task Chair, Black</t>
  </si>
  <si>
    <t>US-2014-155425</t>
  </si>
  <si>
    <t>AnnBlume@gmail.com</t>
  </si>
  <si>
    <t>Cardinal EasyOpen D-Ring Binders</t>
  </si>
  <si>
    <t>Machines</t>
  </si>
  <si>
    <t>DYMO CardScan Personal V9 Business Card Scanner</t>
  </si>
  <si>
    <t>Case Logic 2.4GHz Wireless Keyboard</t>
  </si>
  <si>
    <t>CA-2014-133249</t>
  </si>
  <si>
    <t>SamZeldin@gmail.com</t>
  </si>
  <si>
    <t>United States,Pico Rivera,California</t>
  </si>
  <si>
    <t>Deflect-o SuperTray Unbreakable Stackable Tray, Letter, Black</t>
  </si>
  <si>
    <t>US-2012-103471</t>
  </si>
  <si>
    <t>JimRadford@gmail.com</t>
  </si>
  <si>
    <t>Dixon My First Ticonderoga Pencil, #2</t>
  </si>
  <si>
    <t>US-2011-157021</t>
  </si>
  <si>
    <t>Avery 490</t>
  </si>
  <si>
    <t>Pressboard Data Binder, Crimson, 12" X 8 1/2"</t>
  </si>
  <si>
    <t>CA-2011-126361</t>
  </si>
  <si>
    <t>ValerieDominguez@gmail.com</t>
  </si>
  <si>
    <t>United States,Pleasant Grove,Utah</t>
  </si>
  <si>
    <t>Xerox 1934</t>
  </si>
  <si>
    <t>Newell 329</t>
  </si>
  <si>
    <t>Panasonic KX T7731-B Digital phone</t>
  </si>
  <si>
    <t>Safco Wire Cube Shelving System, For Use as 4 or 5 14" Cubes, Black</t>
  </si>
  <si>
    <t>Ibico Standard Transparent Covers</t>
  </si>
  <si>
    <t>US-2013-122245</t>
  </si>
  <si>
    <t>AdrianBarton@gmail.com</t>
  </si>
  <si>
    <t>CA-2014-115994</t>
  </si>
  <si>
    <t>BethThompson@gmail.com</t>
  </si>
  <si>
    <t>Logitech G13 Programmable Gameboard with LCD Display</t>
  </si>
  <si>
    <t>DAX Executive Solid Wood Document Frame, Desktop or Hang, Mahogany, 5 x 7</t>
  </si>
  <si>
    <t>CA-2012-124800</t>
  </si>
  <si>
    <t>RickWilson@gmail.com</t>
  </si>
  <si>
    <t>Petty Cash Envelope</t>
  </si>
  <si>
    <t>GBC VeloBinder Electric Binding Machine</t>
  </si>
  <si>
    <t>3M Replacement Filter for Office Air Cleaner for 20' x 33' Room</t>
  </si>
  <si>
    <t>2300 Heavy-Duty Transfer File Systems by Perma</t>
  </si>
  <si>
    <t>Samsung Rugby III</t>
  </si>
  <si>
    <t>US-2012-164448</t>
  </si>
  <si>
    <t>DamalaKotsonis@gmail.com</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</si>
  <si>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</si>
  <si>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</si>
  <si>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</si>
  <si>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</si>
  <si>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</si>
  <si>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</si>
  <si>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MichaelMoore@gmail.com</t>
  </si>
  <si>
    <t>Deluxe Heavy-Duty Vinyl Round Ring Binder</t>
  </si>
  <si>
    <t>CA-2012-166135</t>
  </si>
  <si>
    <t>ShaunChance@gmail.com</t>
  </si>
  <si>
    <t>CA-2012-145821</t>
  </si>
  <si>
    <t>JenniferBraxton@gmail.com</t>
  </si>
  <si>
    <t>OtterBox Defender Series Case - iPhone 5c</t>
  </si>
  <si>
    <t>US-2012-160150</t>
  </si>
  <si>
    <t>ThaisSissman@gmail.com</t>
  </si>
  <si>
    <t>Wilson Jones DublLock D-Ring Binders</t>
  </si>
  <si>
    <t>CA-2012-119907</t>
  </si>
  <si>
    <t>Wilson Jones Heavy-Duty Casebound Ring Binders with Metal Hinges</t>
  </si>
  <si>
    <t>CA-2011-151708</t>
  </si>
  <si>
    <t>MariaBertelson@gmail.com</t>
  </si>
  <si>
    <t>United States,Glendale,Arizona</t>
  </si>
  <si>
    <t>SanDisk Ultra 64 GB MicroSDHC Class 10 Memory Card</t>
  </si>
  <si>
    <t>CA-2014-164959</t>
  </si>
  <si>
    <t>KatherineNockton@gmail.com</t>
  </si>
  <si>
    <t>Avery 482</t>
  </si>
  <si>
    <t>CA-2014-121468</t>
  </si>
  <si>
    <t>United States,Westminster,California</t>
  </si>
  <si>
    <t>Square Credit Card Reader</t>
  </si>
  <si>
    <t>US-2013-108455</t>
  </si>
  <si>
    <t>MikeKennedy@gmail.com</t>
  </si>
  <si>
    <t>Xerox 192</t>
  </si>
  <si>
    <t>HP Office Recycled Paper (20Lb. and 87 Bright)</t>
  </si>
  <si>
    <t>X-Rack File for Hanging Folders</t>
  </si>
  <si>
    <t>US-2013-108098</t>
  </si>
  <si>
    <t>ChristinePhan@gmail.com</t>
  </si>
  <si>
    <t>WD My Passport Ultra 500GB Portable External Hard Drive</t>
  </si>
  <si>
    <t>CA-2012-140410</t>
  </si>
  <si>
    <t>CorinnaMitchell@gmail.com</t>
  </si>
  <si>
    <t>Logitech Trackman Marble Mouse</t>
  </si>
  <si>
    <t>CA-2014-139661</t>
  </si>
  <si>
    <t>JaneWaco@gmail.com</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</si>
  <si>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</si>
  <si>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</si>
  <si>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</si>
  <si>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</si>
  <si>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</si>
  <si>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</si>
  <si>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</si>
  <si>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PaulineChand@gmail.com</t>
  </si>
  <si>
    <t>Prang Dustless Chalk Sticks</t>
  </si>
  <si>
    <t>CA-2014-103611</t>
  </si>
  <si>
    <t>JessicaMyrick@gmail.com</t>
  </si>
  <si>
    <t>Eldon Image Series Desk Accessories, Burgundy</t>
  </si>
  <si>
    <t>CA-2014-100384</t>
  </si>
  <si>
    <t>NicoleHansen@gmail.com</t>
  </si>
  <si>
    <t>United States,Pomona,California</t>
  </si>
  <si>
    <t>Boston Heavy-Duty Trimline Electric Pencil Sharpeners</t>
  </si>
  <si>
    <t>4009 Highlighters by Sanford</t>
  </si>
  <si>
    <t>CA-2011-111059</t>
  </si>
  <si>
    <t>TomBoeckenhauer@gmail.com</t>
  </si>
  <si>
    <t>Avery Durable Poly Binders</t>
  </si>
  <si>
    <t>CA-2014-116204</t>
  </si>
  <si>
    <t>VictoriaWilson@gmail.com</t>
  </si>
  <si>
    <t>CA-2012-144806</t>
  </si>
  <si>
    <t>GaryHwang@gmail.com</t>
  </si>
  <si>
    <t>Howard Miller 13" Diameter Pewter Finish Round Wall Clock</t>
  </si>
  <si>
    <t>Xerox 1970</t>
  </si>
  <si>
    <t>Xerox 1960</t>
  </si>
  <si>
    <t>Belkin 19" Vented Equipment Shelf, Black</t>
  </si>
  <si>
    <t>CA-2014-159884</t>
  </si>
  <si>
    <t>United States,Tempe,Arizona</t>
  </si>
  <si>
    <t>Neat Ideas Personal Hanging Folder Files, Black</t>
  </si>
  <si>
    <t>OIC Bulk Pack Metal Binder Clips</t>
  </si>
  <si>
    <t>CA-2014-124086</t>
  </si>
  <si>
    <t>MikePelletier@gmail.com</t>
  </si>
  <si>
    <t>United States,Laguna Niguel,California</t>
  </si>
  <si>
    <t>Bush Andora Bookcase, Maple/Graphite Gray Finish</t>
  </si>
  <si>
    <t>CA-2011-107181</t>
  </si>
  <si>
    <t>DeborahBrumfield@gmail.com</t>
  </si>
  <si>
    <t>GBC Recycled Grain Textured Covers</t>
  </si>
  <si>
    <t>CA-2013-159345</t>
  </si>
  <si>
    <t>IvanGibson@gmail.com</t>
  </si>
  <si>
    <t>CA-2012-111507</t>
  </si>
  <si>
    <t>United States,Bellevue,Washington</t>
  </si>
  <si>
    <t>Newell 310</t>
  </si>
  <si>
    <t>CA-2012-112116</t>
  </si>
  <si>
    <t>JeremyEllison@gmail.com</t>
  </si>
  <si>
    <t>KI Adjustable-Height Table</t>
  </si>
  <si>
    <t>CA-2013-126809</t>
  </si>
  <si>
    <t>EdwardBecker@gmail.com</t>
  </si>
  <si>
    <t>Acco Pressboard Covers with Storage Hooks, 14 7/8" x 11", Light Blue</t>
  </si>
  <si>
    <t>CA-2011-105172</t>
  </si>
  <si>
    <t>PaulKnutson@gmail.com</t>
  </si>
  <si>
    <t>Avery 518</t>
  </si>
  <si>
    <t>CA-2014-107293</t>
  </si>
  <si>
    <t>ChristopherSchild@gmail.com</t>
  </si>
  <si>
    <t>CA-2012-132101</t>
  </si>
  <si>
    <t>JesusOcampo@gmail.com</t>
  </si>
  <si>
    <t>Wireless Extenders zBoost YX545 SOHO Signal Booster</t>
  </si>
  <si>
    <t>US-2014-152002</t>
  </si>
  <si>
    <t>US-2011-157385</t>
  </si>
  <si>
    <t>Pastel Pink Envelopes</t>
  </si>
  <si>
    <t>Belkin F8E887 USB Wired Ergonomic Keyboard</t>
  </si>
  <si>
    <t>CA-2012-122826</t>
  </si>
  <si>
    <t>RickDuston@gmail.com</t>
  </si>
  <si>
    <t>Pyle PRT45 Retro HomeÂ Telephone</t>
  </si>
  <si>
    <t>CA-2011-117317</t>
  </si>
  <si>
    <t>Spiral Phone Message Books with Labels by Adams</t>
  </si>
  <si>
    <t>US-2013-115819</t>
  </si>
  <si>
    <t>JasO'Carroll@gmail.com</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</si>
  <si>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</si>
  <si>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</si>
  <si>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</si>
  <si>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</si>
  <si>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</si>
  <si>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</si>
  <si>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</si>
  <si>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MarinaLichtenstein@gmail.com</t>
  </si>
  <si>
    <t>Sauder Inglewood Library Bookcases</t>
  </si>
  <si>
    <t>VTech DS6151</t>
  </si>
  <si>
    <t>CA-2014-108560</t>
  </si>
  <si>
    <t>JennaCaffey@gmail.com</t>
  </si>
  <si>
    <t>United States,Kent,Washington</t>
  </si>
  <si>
    <t>GE 48" Fluorescent Tube, Cool White Energy Saver, 34 Watts, 30/Box</t>
  </si>
  <si>
    <t>Micro Innovations USB RF Wireless Keyboard with Mouse</t>
  </si>
  <si>
    <t>CA-2011-168984</t>
  </si>
  <si>
    <t>NatalieWebber@gmail.com</t>
  </si>
  <si>
    <t>United States,Tigard,Oregon</t>
  </si>
  <si>
    <t>Xerox 2</t>
  </si>
  <si>
    <t>Jawbone MINI JAMBOX Wireless Bluetooth Speaker</t>
  </si>
  <si>
    <t>CA-2012-111829</t>
  </si>
  <si>
    <t>FredHopkins@gmail.com</t>
  </si>
  <si>
    <t>Multicolor Computer Printout Paper</t>
  </si>
  <si>
    <t>CA-2011-135699</t>
  </si>
  <si>
    <t>HilaryHolden@gmail.com</t>
  </si>
  <si>
    <t>Xerox 1940</t>
  </si>
  <si>
    <t>Xerox 1986</t>
  </si>
  <si>
    <t>US-2014-132444</t>
  </si>
  <si>
    <t>ChristinaDeMoss@gmail.com</t>
  </si>
  <si>
    <t>Eldon Portable Mobile Manager</t>
  </si>
  <si>
    <t>Binder Clips by OIC</t>
  </si>
  <si>
    <t>Wilson Jones 1" Hanging DublLock Ring Binders</t>
  </si>
  <si>
    <t>Fellowes Bankers Box Stor/Drawer Steel Plus</t>
  </si>
  <si>
    <t>CA-2014-161809</t>
  </si>
  <si>
    <t>TheaHendricks@gmail.com</t>
  </si>
  <si>
    <t>RCA Visys Integrated PBX 8-Line Router</t>
  </si>
  <si>
    <t>CA-2014-127285</t>
  </si>
  <si>
    <t>MichelleMoray@gmail.com</t>
  </si>
  <si>
    <t>GBC Velobind Prepunched Cover Sets, Regency Series</t>
  </si>
  <si>
    <t>Cardinal Slant-D Ring Binders</t>
  </si>
  <si>
    <t>CA-2013-107615</t>
  </si>
  <si>
    <t>RobertBarroso@gmail.com</t>
  </si>
  <si>
    <t>United States,North Las Vegas,Nevada</t>
  </si>
  <si>
    <t>CA-2013-122728</t>
  </si>
  <si>
    <t>EricBarreto@gmail.com</t>
  </si>
  <si>
    <t>Home/Office Personal File Carts</t>
  </si>
  <si>
    <t>Universal Premium White Copier/Laser Paper (20Lb. and 87 Bright)</t>
  </si>
  <si>
    <t>US-2013-101497</t>
  </si>
  <si>
    <t>PamelaStobb@gmail.com</t>
  </si>
  <si>
    <t>Xerox 1887</t>
  </si>
  <si>
    <t>CA-2013-147585</t>
  </si>
  <si>
    <t>ClaudiaBergmann@gmail.com</t>
  </si>
  <si>
    <t>C-Line Magnetic Cubicle Keepers, Clear Polypropylene</t>
  </si>
  <si>
    <t>CA-2012-148376</t>
  </si>
  <si>
    <t>Avery 497</t>
  </si>
  <si>
    <t>CA-2011-139857</t>
  </si>
  <si>
    <t>CynthiaDelaney@gmail.com</t>
  </si>
  <si>
    <t>CA-2013-106306</t>
  </si>
  <si>
    <t>GBC Standard Recycled Report Covers, Clear Plastic Sheets</t>
  </si>
  <si>
    <t>CA-2014-123491</t>
  </si>
  <si>
    <t>JamieKunitz@gmail.com</t>
  </si>
  <si>
    <t>Avery 500</t>
  </si>
  <si>
    <t>Geemarc AmpliPOWER60</t>
  </si>
  <si>
    <t>"While you Were Out" Message Book, One Form per Page</t>
  </si>
  <si>
    <t>Global Leather Task Chair, Black</t>
  </si>
  <si>
    <t>CA-2014-104003</t>
  </si>
  <si>
    <t>DebraCatini@gmail.com</t>
  </si>
  <si>
    <t>O'Sullivan Manor Hill 2-Door Library in Brianna Oak</t>
  </si>
  <si>
    <t>CA-2012-130204</t>
  </si>
  <si>
    <t>Kingston Digital DataTraveler 16GB USB 2.0</t>
  </si>
  <si>
    <t>TRENDnet 56K USB 2.0 Phone, Internet and Fax Modem</t>
  </si>
  <si>
    <t>CA-2011-110527</t>
  </si>
  <si>
    <t>EmilyDucich@gmail.com</t>
  </si>
  <si>
    <t>Avery 494</t>
  </si>
  <si>
    <t>CA-2014-168837</t>
  </si>
  <si>
    <t>JoniWasserman@gmail.com</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</si>
  <si>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</si>
  <si>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</si>
  <si>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</si>
  <si>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</si>
  <si>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</si>
  <si>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</si>
  <si>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</si>
  <si>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DarrenPowers@gmail.com</t>
  </si>
  <si>
    <t>Xerox 1919</t>
  </si>
  <si>
    <t>Prang Colored Pencils</t>
  </si>
  <si>
    <t>CA-2013-100965</t>
  </si>
  <si>
    <t>RaymondMesse@gmail.com</t>
  </si>
  <si>
    <t>Howard Miller 11-1/2" Diameter Grantwood Wall Clock</t>
  </si>
  <si>
    <t>CA-2013-149461</t>
  </si>
  <si>
    <t>AdrianShami@gmail.com</t>
  </si>
  <si>
    <t>United States,Auburn,Washington</t>
  </si>
  <si>
    <t>US-2013-116729</t>
  </si>
  <si>
    <t>SanDisk Cruzer 64 GB USB Flash Drive</t>
  </si>
  <si>
    <t>CA-2012-131597</t>
  </si>
  <si>
    <t>StefaniaPerrino@gmail.com</t>
  </si>
  <si>
    <t>KI Conference Tables</t>
  </si>
  <si>
    <t>CA-2012-164833</t>
  </si>
  <si>
    <t>LaurenLeatherbury@gmail.com</t>
  </si>
  <si>
    <t>Avery 501</t>
  </si>
  <si>
    <t>Binney &amp; Smith Crayola Metallic Colored Pencils, 8-Color Set</t>
  </si>
  <si>
    <t>CA-2012-125423</t>
  </si>
  <si>
    <t>MattCollins@gmail.com</t>
  </si>
  <si>
    <t>Avery 513</t>
  </si>
  <si>
    <t>CA-2013-167507</t>
  </si>
  <si>
    <t>SueAnnReed@gmail.com</t>
  </si>
  <si>
    <t>United States,Redmond,Oregon</t>
  </si>
  <si>
    <t>Avery 3 1/2" Diskette Storage Pages, 10/Pack</t>
  </si>
  <si>
    <t>Seth Thomas 14" Day/Date Wall Clock</t>
  </si>
  <si>
    <t>US-2014-113852</t>
  </si>
  <si>
    <t>GiuliettaWeimer@gmail.com</t>
  </si>
  <si>
    <t>CA-2014-128370</t>
  </si>
  <si>
    <t>FrankHawley@gmail.com</t>
  </si>
  <si>
    <t>CA-2011-114643</t>
  </si>
  <si>
    <t>FiliaMcAdams@gmail.com</t>
  </si>
  <si>
    <t>US-2013-100839</t>
  </si>
  <si>
    <t>NoahChilds@gmail.com</t>
  </si>
  <si>
    <t>Executive Impressions 8-1/2" Career Panel/Partition Cubicle Clock</t>
  </si>
  <si>
    <t>CA-2014-118857</t>
  </si>
  <si>
    <t>AdamHart@gmail.com</t>
  </si>
  <si>
    <t>United States,Henderson,Nevada</t>
  </si>
  <si>
    <t>Howard Miller 12" Round Wall Clock</t>
  </si>
  <si>
    <t>CA-2013-148201</t>
  </si>
  <si>
    <t>CA-2011-116932</t>
  </si>
  <si>
    <t>MichelleEllison@gmail.com</t>
  </si>
  <si>
    <t>Newell 334</t>
  </si>
  <si>
    <t>Hon 30" x 60" Table with Locking Drawer</t>
  </si>
  <si>
    <t>CA-2014-142888</t>
  </si>
  <si>
    <t>BenjaminPatterson@gmail.com</t>
  </si>
  <si>
    <t>United States,Spokane,Washington</t>
  </si>
  <si>
    <t>Safco Drafting Table</t>
  </si>
  <si>
    <t>CA-2014-118885</t>
  </si>
  <si>
    <t>JamesGalang@gmail.com</t>
  </si>
  <si>
    <t>Global High-Back Leather Tilter, Burgundy</t>
  </si>
  <si>
    <t>CA-2013-147578</t>
  </si>
  <si>
    <t>PaulGonzalez@gmail.com</t>
  </si>
  <si>
    <t>Ultra Door Pull Handle</t>
  </si>
  <si>
    <t>CA-2011-157623</t>
  </si>
  <si>
    <t>DeanKatz@gmail.com</t>
  </si>
  <si>
    <t>Xerox 1972</t>
  </si>
  <si>
    <t>Avery Hi-Liter Fluorescent Desk Style Markers</t>
  </si>
  <si>
    <t>CA-2013-100083</t>
  </si>
  <si>
    <t>CarolDarley@gmail.com</t>
  </si>
  <si>
    <t>United States,Medford,Oregon</t>
  </si>
  <si>
    <t>IBM Multi-Purpose Copy Paper, 8 1/2 x 11", Case</t>
  </si>
  <si>
    <t>CA-2012-109197</t>
  </si>
  <si>
    <t>United States,Missoula,Montana</t>
  </si>
  <si>
    <t>Ibico Hi-Tech Manual Binding System</t>
  </si>
  <si>
    <t>CA-2014-167094</t>
  </si>
  <si>
    <t>United States,Springfield,Oregon</t>
  </si>
  <si>
    <t>Xerox 218</t>
  </si>
  <si>
    <t>Global Comet Stacking Armless Chair</t>
  </si>
  <si>
    <t>Memorex Froggy Flash Drive 8 GB</t>
  </si>
  <si>
    <t>CA-2012-157959</t>
  </si>
  <si>
    <t>Hand-Finished Solid Wood Document Frame</t>
  </si>
  <si>
    <t>CA-2013-105963</t>
  </si>
  <si>
    <t>StewartCarmichael@gmail.com</t>
  </si>
  <si>
    <t>CA-2014-126865</t>
  </si>
  <si>
    <t>CA-2014-102834</t>
  </si>
  <si>
    <t>US-2013-139710</t>
  </si>
  <si>
    <t>Avaya 4621SW VoIP phone</t>
  </si>
  <si>
    <t>CA-2014-121538</t>
  </si>
  <si>
    <t>RickHansen@gmail.com</t>
  </si>
  <si>
    <t>Eaton Premium Continuous-Feed Paper, 25% Cotton, Letter Size, White, 1000 Shts/Box</t>
  </si>
  <si>
    <t>US-2014-101539</t>
  </si>
  <si>
    <t>ValerieMitchum@gmail.com</t>
  </si>
  <si>
    <t>Xerox 214</t>
  </si>
  <si>
    <t>Safco Commercial Shelving</t>
  </si>
  <si>
    <t>CA-2013-152121</t>
  </si>
  <si>
    <t>CraigCarreira@gmail.com</t>
  </si>
  <si>
    <t>Motorola Moto X</t>
  </si>
  <si>
    <t>CA-2014-101245</t>
  </si>
  <si>
    <t>Tops White Computer Printout Paper</t>
  </si>
  <si>
    <t>Enermax Briskie RF Wireless Keyboard and Mouse Combo</t>
  </si>
  <si>
    <t>CA-2012-141768</t>
  </si>
  <si>
    <t>NoraPelletier@gmail.com</t>
  </si>
  <si>
    <t>Ultra Door Push Plate</t>
  </si>
  <si>
    <t>CA-2013-112109</t>
  </si>
  <si>
    <t>JoeElijah@gmail.com</t>
  </si>
  <si>
    <t>United States,Broomfield,Colorado</t>
  </si>
  <si>
    <t>GBC Twin Loop Wire Binding Elements</t>
  </si>
  <si>
    <t>Perma STOR-ALL Hanging File Box, 13 1/8"W x 12 1/4"D x 10 1/2"H</t>
  </si>
  <si>
    <t>CA-2012-109939</t>
  </si>
  <si>
    <t>Newell 321</t>
  </si>
  <si>
    <t>CA-2013-112669</t>
  </si>
  <si>
    <t>Fellowes Personal Hanging Folder Files, Navy</t>
  </si>
  <si>
    <t>CA-2011-164721</t>
  </si>
  <si>
    <t>LaurelWorkman@gmail.com</t>
  </si>
  <si>
    <t>Wirebound Message Books, Four 2 3/4 x 5 White Forms per Page</t>
  </si>
  <si>
    <t>CA-2014-133648</t>
  </si>
  <si>
    <t>MaxLudwig@gmail.com</t>
  </si>
  <si>
    <t>Eldon Spacemaker Box, Quick-Snap Lid, Clear</t>
  </si>
  <si>
    <t>Plymouth Boxed Rubber Bands by Plymouth</t>
  </si>
  <si>
    <t>CA-2014-166128</t>
  </si>
  <si>
    <t>LukeWeiss@gmail.com</t>
  </si>
  <si>
    <t>Dixon Ticonderoga Erasable Colored Pencil Set, 12-Color</t>
  </si>
  <si>
    <t>CA-2012-113110</t>
  </si>
  <si>
    <t>BerenikeKampe@gmail.com</t>
  </si>
  <si>
    <t>United States,San Bernardino,California</t>
  </si>
  <si>
    <t>GBC Imprintable Covers</t>
  </si>
  <si>
    <t>Acme Elite Stainless Steel Scissors</t>
  </si>
  <si>
    <t>Wirebound Message Books, 5-1/2 x 4 Forms, 2 or 4 Forms per Page</t>
  </si>
  <si>
    <t>US-2014-111241</t>
  </si>
  <si>
    <t>GeneMcClure@gmail.com</t>
  </si>
  <si>
    <t>GBC Recycled Regency Composition Covers</t>
  </si>
  <si>
    <t>CA-2012-114237</t>
  </si>
  <si>
    <t>MarcCrier@gmail.com</t>
  </si>
  <si>
    <t>Safco Value Mate Series Steel Bookcases, Baked Enamel Finish on Steel, Gray</t>
  </si>
  <si>
    <t>CA-2013-113516</t>
  </si>
  <si>
    <t>CA-2012-119214</t>
  </si>
  <si>
    <t>CarlWeiss@gmail.com</t>
  </si>
  <si>
    <t>United States,Bozeman,Montana</t>
  </si>
  <si>
    <t>CA-2012-122287</t>
  </si>
  <si>
    <t>United States,Peoria,Arizona</t>
  </si>
  <si>
    <t>Xerox 1922</t>
  </si>
  <si>
    <t>Flat Face Poster Frame</t>
  </si>
  <si>
    <t>CA-2012-104493</t>
  </si>
  <si>
    <t>EdBraxton@gmail.com</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</si>
  <si>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</si>
  <si>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</si>
  <si>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</si>
  <si>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</si>
  <si>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</si>
  <si>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</si>
  <si>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</si>
  <si>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</si>
  <si>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</si>
  <si>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</si>
  <si>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</si>
  <si>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US-2014-110996</t>
  </si>
  <si>
    <t>KellyAndreada@gmail.com</t>
  </si>
  <si>
    <t>United States,Ontario,California</t>
  </si>
  <si>
    <t>CA-2013-129693</t>
  </si>
  <si>
    <t>TamaraChand@gmail.com</t>
  </si>
  <si>
    <t>Newell 3-Hole Punched Plastic Slotted Magazine Holders for Binders</t>
  </si>
  <si>
    <t>CA-2014-122504</t>
  </si>
  <si>
    <t>Anker Ultra-Slim Mini Bluetooth 3.0 Wireless Keyboard</t>
  </si>
  <si>
    <t>CA-2011-131051</t>
  </si>
  <si>
    <t>TobyRitter@gmail.com</t>
  </si>
  <si>
    <t>Floodlight Indoor Halogen Bulbs, 1 Bulb per Pack, 60 Watts</t>
  </si>
  <si>
    <t>CA-2012-120103</t>
  </si>
  <si>
    <t>MaribethSchnelling@gmail.com</t>
  </si>
  <si>
    <t>Computer Printout Paper with Letter-Trim Perforations</t>
  </si>
  <si>
    <t>ClearSounds CSC500 Amplified Spirit Phone Corded phone</t>
  </si>
  <si>
    <t>CA-2014-104647</t>
  </si>
  <si>
    <t>ClytieKelty@gmail.com</t>
  </si>
  <si>
    <t>Ampad Phone Message Book, Recycled, 400 Message Capacity, 5 Â¾Â” x 11Â”</t>
  </si>
  <si>
    <t>CA-2012-139290</t>
  </si>
  <si>
    <t>United States,Rancho Cucamonga,California</t>
  </si>
  <si>
    <t>Avery 507</t>
  </si>
  <si>
    <t>CA-2012-149678</t>
  </si>
  <si>
    <t>AnthonyWitt@gmail.com</t>
  </si>
  <si>
    <t>CA-2014-124401</t>
  </si>
  <si>
    <t>Hanging Personal Folder File</t>
  </si>
  <si>
    <t>Logitech Wireless Marathon Mouse M705</t>
  </si>
  <si>
    <t>US-2011-140116</t>
  </si>
  <si>
    <t>KeanThornton@gmail.com</t>
  </si>
  <si>
    <t>BOSTON Ranger #55 Pencil Sharpener, Black</t>
  </si>
  <si>
    <t>CA-2011-123295</t>
  </si>
  <si>
    <t>AdrianHane@gmail.com</t>
  </si>
  <si>
    <t>Office Star - Ergonomically Designed Knee Chair</t>
  </si>
  <si>
    <t>CA-2012-164882</t>
  </si>
  <si>
    <t>SandraGlassco@gmail.com</t>
  </si>
  <si>
    <t>GBC DocuBind P100 Manual Binding Machine</t>
  </si>
  <si>
    <t>Newell 308</t>
  </si>
  <si>
    <t>Global Fabric Manager's Chair, Dark Gray</t>
  </si>
  <si>
    <t>Acme Tagit Stainless Steel Antibacterial Scissors</t>
  </si>
  <si>
    <t>Mobile Personal File Cube</t>
  </si>
  <si>
    <t>DMI Eclipse Executive Suite Bookcases</t>
  </si>
  <si>
    <t>CA-2013-130267</t>
  </si>
  <si>
    <t>ScotWooten@gmail.com</t>
  </si>
  <si>
    <t>United States,Stockton,California</t>
  </si>
  <si>
    <t>Xerox Color Copier Paper, 11" x 17", Ream</t>
  </si>
  <si>
    <t>CA-2014-155460</t>
  </si>
  <si>
    <t>CA-2014-158246</t>
  </si>
  <si>
    <t>United States,Sunnyvale,California</t>
  </si>
  <si>
    <t>CA-2011-141607</t>
  </si>
  <si>
    <t>WilliamBrown@gmail.com</t>
  </si>
  <si>
    <t>Eldon Advantage Chair Mats for Low to Medium Pile Carpets</t>
  </si>
  <si>
    <t>CA-2013-111115</t>
  </si>
  <si>
    <t>LarryBlacks@gmail.com</t>
  </si>
  <si>
    <t>CA-2013-101938</t>
  </si>
  <si>
    <t>DiannaWilson@gmail.com</t>
  </si>
  <si>
    <t>Panasonic KP-350BK Electric Pencil Sharpener with Auto Stop</t>
  </si>
  <si>
    <t>CA-2014-166296</t>
  </si>
  <si>
    <t>KarenFerguson@gmail.com</t>
  </si>
  <si>
    <t>United States,Manteca,California</t>
  </si>
  <si>
    <t>CA-2011-152296</t>
  </si>
  <si>
    <t>IvanListon@gmail.com</t>
  </si>
  <si>
    <t>Wilson Jones data.warehouse D-Ring Binders with DublLock</t>
  </si>
  <si>
    <t>CA-2013-125738</t>
  </si>
  <si>
    <t>PatrickBzostek@gmail.com</t>
  </si>
  <si>
    <t>United States,Salt Lake City,Utah</t>
  </si>
  <si>
    <t>Xerox 1982</t>
  </si>
  <si>
    <t>Acco Data Flex Cable Posts For Top &amp; Bottom Load Binders, 6" Capacity</t>
  </si>
  <si>
    <t>CA-2014-124576</t>
  </si>
  <si>
    <t>HeatherKirkland@gmail.com</t>
  </si>
  <si>
    <t>GBC Prestige Therm-A-Bind Covers</t>
  </si>
  <si>
    <t>CA-2013-118913</t>
  </si>
  <si>
    <t>AlanShonely@gmail.com</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</si>
  <si>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</si>
  <si>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</si>
  <si>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</si>
  <si>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</si>
  <si>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</si>
  <si>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</si>
  <si>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</si>
  <si>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</si>
  <si>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</si>
  <si>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</si>
  <si>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NeolaSchneider@gmail.com</t>
  </si>
  <si>
    <t>Belkin 325VA UPS Surge Protector, 6'</t>
  </si>
  <si>
    <t>Metal Folding Chairs, Beige, 4/Carton</t>
  </si>
  <si>
    <t>CA-2014-130841</t>
  </si>
  <si>
    <t>MattHagelstein@gmail.com</t>
  </si>
  <si>
    <t>Zipper Ring Binder Pockets</t>
  </si>
  <si>
    <t>Super Decoflex Portable Personal File</t>
  </si>
  <si>
    <t>CA-2013-106383</t>
  </si>
  <si>
    <t>BobbyTrafton@gmail.com</t>
  </si>
  <si>
    <t>United States,Littleton,Colorado</t>
  </si>
  <si>
    <t>Atlantic Metals Mobile 2-Shelf Bookcases, Custom Colors</t>
  </si>
  <si>
    <t>CA-2011-128055</t>
  </si>
  <si>
    <t>Fellowes Advanced Computer Series Surge Protectors</t>
  </si>
  <si>
    <t>CA-2012-123232</t>
  </si>
  <si>
    <t>DougJacobs@gmail.com</t>
  </si>
  <si>
    <t>HTC One</t>
  </si>
  <si>
    <t>CA-2013-122322</t>
  </si>
  <si>
    <t>RickHuthwaite@gmail.com</t>
  </si>
  <si>
    <t>United States,Provo,Utah</t>
  </si>
  <si>
    <t>Fiskars Home &amp; Office Scissors</t>
  </si>
  <si>
    <t>CA-2013-146633</t>
  </si>
  <si>
    <t>TobyGnade@gmail.com</t>
  </si>
  <si>
    <t>Avery Self-Adhesive Photo Pockets for Polaroid Photos</t>
  </si>
  <si>
    <t>CA-2014-103380</t>
  </si>
  <si>
    <t>BarryFranz@gmail.com</t>
  </si>
  <si>
    <t>Newell 344</t>
  </si>
  <si>
    <t>Advantus T-Pin Paper Clips</t>
  </si>
  <si>
    <t>Acco Six-Outlet Power Strip, 4' Cord Length</t>
  </si>
  <si>
    <t>CA-2012-116092</t>
  </si>
  <si>
    <t>JustinMacKendrick@gmail.com</t>
  </si>
  <si>
    <t>Xerox 1959</t>
  </si>
  <si>
    <t>Avery Durable Binders</t>
  </si>
  <si>
    <t>Xerox 22</t>
  </si>
  <si>
    <t>CA-2013-117849</t>
  </si>
  <si>
    <t>JulieKriz@gmail.com</t>
  </si>
  <si>
    <t>CA-2012-169201</t>
  </si>
  <si>
    <t>Holmes Odor Grabber</t>
  </si>
  <si>
    <t>CA-2014-105214</t>
  </si>
  <si>
    <t>Wirebound Message Books, Four 2 3/4" x 5" Forms per Page, 600 Sets per Book</t>
  </si>
  <si>
    <t>CA-2012-117611</t>
  </si>
  <si>
    <t>MariaZettner@gmail.com</t>
  </si>
  <si>
    <t>Advantus Plastic Paper Clips</t>
  </si>
  <si>
    <t>Logitech G19 Programmable Gaming Keyboard</t>
  </si>
  <si>
    <t>CA-2014-137470</t>
  </si>
  <si>
    <t>TomPrescott@gmail.com</t>
  </si>
  <si>
    <t>Xerox 1984</t>
  </si>
  <si>
    <t>CA-2012-102036</t>
  </si>
  <si>
    <t>Fellowes Bases and Tops For Staxonsteel/High-Stak Systems</t>
  </si>
  <si>
    <t>CA-2012-142944</t>
  </si>
  <si>
    <t>Deflect-o Glass Clear Studded Chair Mats</t>
  </si>
  <si>
    <t>CA-2011-157882</t>
  </si>
  <si>
    <t>AllenRosenblatt@gmail.com</t>
  </si>
  <si>
    <t>Bevis Round Conference Room Tables and Bases</t>
  </si>
  <si>
    <t>Global Deluxe Stacking Chair, Gray</t>
  </si>
  <si>
    <t>CA-2014-142622</t>
  </si>
  <si>
    <t>JimKarlsson@gmail.com</t>
  </si>
  <si>
    <t>CA-2014-143343</t>
  </si>
  <si>
    <t>BenWallace@gmail.com</t>
  </si>
  <si>
    <t>Newell 351</t>
  </si>
  <si>
    <t>US-2014-120418</t>
  </si>
  <si>
    <t>BeckyCastell@gmail.com</t>
  </si>
  <si>
    <t>Global Leather Executive Chair</t>
  </si>
  <si>
    <t>Newell 319</t>
  </si>
  <si>
    <t>CA-2014-165491</t>
  </si>
  <si>
    <t>ImationÂ SecureÂ DriveÂ + Hardware Encrypted USBÂ flash driveÂ - 16 GB</t>
  </si>
  <si>
    <t>CA-2014-138422</t>
  </si>
  <si>
    <t>KristinaNunn@gmail.com</t>
  </si>
  <si>
    <t>United States,Fort Collins,Colorado</t>
  </si>
  <si>
    <t>Wausau Papers Astrobrights Colored Envelopes</t>
  </si>
  <si>
    <t>CA-2013-155187</t>
  </si>
  <si>
    <t>LauraArmstrong@gmail.com</t>
  </si>
  <si>
    <t>Tennsco Lockers, Gray</t>
  </si>
  <si>
    <t>REDIFORM Incoming/Outgoing Call Register, 11" X 8 1/2", 100 Messages</t>
  </si>
  <si>
    <t>CA-2014-109701</t>
  </si>
  <si>
    <t>AliceMcCarthy@gmail.com</t>
  </si>
  <si>
    <t>Satellite Sectional Post Binders</t>
  </si>
  <si>
    <t>CA-2012-111514</t>
  </si>
  <si>
    <t>ScottCohen@gmail.com</t>
  </si>
  <si>
    <t>Memorex Micro Travel Drive 32 GB</t>
  </si>
  <si>
    <t>Lexmark S315 Color Inkjet Printer</t>
  </si>
  <si>
    <t>CA-2011-102295</t>
  </si>
  <si>
    <t>EricaHackney@gmail.com</t>
  </si>
  <si>
    <t>United States,Sacramento,California</t>
  </si>
  <si>
    <t>Global Leather &amp; Oak Executive Chair, Burgundy</t>
  </si>
  <si>
    <t>CA-2012-148628</t>
  </si>
  <si>
    <t>KatherineMurray@gmail.com</t>
  </si>
  <si>
    <t>United States,Thousand Oaks,California</t>
  </si>
  <si>
    <t>Message Book, Phone, Wirebound Standard Line Memo, 2 3/4" X 5"</t>
  </si>
  <si>
    <t>US-2014-117534</t>
  </si>
  <si>
    <t>ChristinaVanderZanden@gmail.com</t>
  </si>
  <si>
    <t>Acco Smartsocket Color-Coded Six-Outlet AC Adapter Model Surge Protectors</t>
  </si>
  <si>
    <t>Avery Arch Ring Binders</t>
  </si>
  <si>
    <t>Clearsounds A400</t>
  </si>
  <si>
    <t>Copiers</t>
  </si>
  <si>
    <t>Hewlett Packard 310 Color Digital Copier</t>
  </si>
  <si>
    <t>CA-2012-145065</t>
  </si>
  <si>
    <t>DennisKane@gmail.com</t>
  </si>
  <si>
    <t>Recycled Premium Regency Composition Covers</t>
  </si>
  <si>
    <t>CA-2014-169264</t>
  </si>
  <si>
    <t>Avery File Folder Labels</t>
  </si>
  <si>
    <t>Newell 318</t>
  </si>
  <si>
    <t>CA-2014-108574</t>
  </si>
  <si>
    <t>MikeGockenbach@gmail.com</t>
  </si>
  <si>
    <t>Square Credit Card Reader, 4 1/2" x 4 1/2" x 1", White</t>
  </si>
  <si>
    <t>CA-2014-144589</t>
  </si>
  <si>
    <t>TamaraManning@gmail.com</t>
  </si>
  <si>
    <t>Panasonic KX-TG9541B DECT 6.0 Digital 2-Line Expandable Cordless Phone With Digital Answering System</t>
  </si>
  <si>
    <t>CA-2014-155985</t>
  </si>
  <si>
    <t>BillEplett@gmail.com</t>
  </si>
  <si>
    <t>DAX Natural Wood-Tone Poster Frame</t>
  </si>
  <si>
    <t>CA-2012-142041</t>
  </si>
  <si>
    <t>EleniMcCrary@gmail.com</t>
  </si>
  <si>
    <t>CA-2011-151295</t>
  </si>
  <si>
    <t>CA-2014-168655</t>
  </si>
  <si>
    <t>MichelleLonsdale@gmail.com</t>
  </si>
  <si>
    <t>United States,Albuquerque,New Mexico</t>
  </si>
  <si>
    <t>CA-2014-159597</t>
  </si>
  <si>
    <t>MattCollister@gmail.com</t>
  </si>
  <si>
    <t>United States,Coachella,California</t>
  </si>
  <si>
    <t>Razer Kraken 7.1 Surround Sound Over Ear USB Gaming Headset</t>
  </si>
  <si>
    <t>CA-2014-100748</t>
  </si>
  <si>
    <t>RossBaird@gmail.com</t>
  </si>
  <si>
    <t>CA-2014-129805</t>
  </si>
  <si>
    <t>HarryMarie@gmail.com</t>
  </si>
  <si>
    <t>CA-2011-164210</t>
  </si>
  <si>
    <t>PierreWener@gmail.com</t>
  </si>
  <si>
    <t>Bevis Rectangular Conference Tables</t>
  </si>
  <si>
    <t>Geographics Note Cards, Blank, White, 8 1/2" x 11"</t>
  </si>
  <si>
    <t>CA-2012-100573</t>
  </si>
  <si>
    <t>AnneMcFarland@gmail.com</t>
  </si>
  <si>
    <t>#10- 4 1/8" x 9 1/2" Recycled Envelopes</t>
  </si>
  <si>
    <t>CA-2013-140207</t>
  </si>
  <si>
    <t>Cardinal Holdit Data Disk Pockets</t>
  </si>
  <si>
    <t>CA-2012-142419</t>
  </si>
  <si>
    <t>ShahidCollister@gmail.com</t>
  </si>
  <si>
    <t>Xerox 1896</t>
  </si>
  <si>
    <t>CA-2013-114972</t>
  </si>
  <si>
    <t>Global Deluxe High-Back Office Chair in Storm</t>
  </si>
  <si>
    <t>Kensington K72356US Mouse-in-a-Box USB Desktop Mouse</t>
  </si>
  <si>
    <t>Avery 50</t>
  </si>
  <si>
    <t>CA-2014-126067</t>
  </si>
  <si>
    <t>Anker 24W Portable Micro USB Car Charger</t>
  </si>
  <si>
    <t>CA-2011-113579</t>
  </si>
  <si>
    <t>White GlueTop Scratch Pads</t>
  </si>
  <si>
    <t>CA-2012-122371</t>
  </si>
  <si>
    <t>BryanSpruell@gmail.com</t>
  </si>
  <si>
    <t>Cameo Buff Policy Envelopes</t>
  </si>
  <si>
    <t>CA-2013-126935</t>
  </si>
  <si>
    <t>BillTyler@gmail.com</t>
  </si>
  <si>
    <t>CA-2013-149482</t>
  </si>
  <si>
    <t>RalphRitter@gmail.com</t>
  </si>
  <si>
    <t>Avery 52</t>
  </si>
  <si>
    <t>CA-2011-143917</t>
  </si>
  <si>
    <t>CA-2014-163902</t>
  </si>
  <si>
    <t>Panasonic KX TS3282B Corded phone</t>
  </si>
  <si>
    <t>CA-2012-143238</t>
  </si>
  <si>
    <t>LoriOlson@gmail.com</t>
  </si>
  <si>
    <t>United States,La Quinta,California</t>
  </si>
  <si>
    <t>Memorex Mini Travel Drive 8 GB USB 2.0 Flash Drive</t>
  </si>
  <si>
    <t>CA-2013-144792</t>
  </si>
  <si>
    <t>KenDana@gmail.com</t>
  </si>
  <si>
    <t>CA-2014-108070</t>
  </si>
  <si>
    <t>O'Sullivan Living Dimensions 2-Shelf Bookcases</t>
  </si>
  <si>
    <t>US-2012-128090</t>
  </si>
  <si>
    <t>JohnMurray@gmail.com</t>
  </si>
  <si>
    <t>Xerox 1891</t>
  </si>
  <si>
    <t>CA-2012-147788</t>
  </si>
  <si>
    <t>CA-2014-123967</t>
  </si>
  <si>
    <t>United States,Bellingham,Washington</t>
  </si>
  <si>
    <t>GBC Standard Plastic Binding Systems' Combs</t>
  </si>
  <si>
    <t>CA-2013-137729</t>
  </si>
  <si>
    <t>Cisco Small Business SPA 502G VoIP phone</t>
  </si>
  <si>
    <t>CA-2013-154053</t>
  </si>
  <si>
    <t>MichaelGranlund@gmail.com</t>
  </si>
  <si>
    <t>Berol Giant Pencil Sharpener</t>
  </si>
  <si>
    <t>CA-2013-137204</t>
  </si>
  <si>
    <t>BillOverfelt@gmail.com</t>
  </si>
  <si>
    <t>Global Stack Chair without Arms, Black</t>
  </si>
  <si>
    <t>CA-2011-147298</t>
  </si>
  <si>
    <t>AleksandraGannaway@gmail.com</t>
  </si>
  <si>
    <t>Acco Pressboard Covers with Storage Hooks, 14 7/8" x 11", Executive Red</t>
  </si>
  <si>
    <t>CA-2014-147942</t>
  </si>
  <si>
    <t>Avery 498</t>
  </si>
  <si>
    <t>CA-2014-115931</t>
  </si>
  <si>
    <t>JimMitchum@gmail.com</t>
  </si>
  <si>
    <t>Design Ebony Sketching Pencil</t>
  </si>
  <si>
    <t>Eldon Simplefile Box Office</t>
  </si>
  <si>
    <t>Avery 517</t>
  </si>
  <si>
    <t>US-2014-110604</t>
  </si>
  <si>
    <t>JasonFortune-@gmail.com</t>
  </si>
  <si>
    <t>24-Hour Round Wall Clock</t>
  </si>
  <si>
    <t>SAFCO Optional Arm Kit for Workspace Cribbage Stacking Chair</t>
  </si>
  <si>
    <t>SAFCO Arco Folding Chair</t>
  </si>
  <si>
    <t>CA-2012-162369</t>
  </si>
  <si>
    <t>TimTaslimi@gmail.com</t>
  </si>
  <si>
    <t>US-2013-146794</t>
  </si>
  <si>
    <t>CA-2014-112515</t>
  </si>
  <si>
    <t>AlanSchoenberger@gmail.com</t>
  </si>
  <si>
    <t>Green Bar Computer Printout Paper</t>
  </si>
  <si>
    <t>GBC Pre-Punched Binding Paper, Plastic, White, 8-1/2" x 11"</t>
  </si>
  <si>
    <t>Mini 13-1/2 Capacity Data Binder Rack, Pearl</t>
  </si>
  <si>
    <t>Avery 514</t>
  </si>
  <si>
    <t>CA-2013-150343</t>
  </si>
  <si>
    <t>PeteKriz@gmail.com</t>
  </si>
  <si>
    <t>US-2012-139759</t>
  </si>
  <si>
    <t>NancyLomonaco@gmail.com</t>
  </si>
  <si>
    <t>CA-2014-136875</t>
  </si>
  <si>
    <t>TobyCarlisle@gmail.com</t>
  </si>
  <si>
    <t>Xerox 1888</t>
  </si>
  <si>
    <t>US-2011-160780</t>
  </si>
  <si>
    <t>StewartVisinsky@gmail.com</t>
  </si>
  <si>
    <t>United States,Pueblo,Colorado</t>
  </si>
  <si>
    <t>CA-2014-137085</t>
  </si>
  <si>
    <t>CarolTriggs@gmail.com</t>
  </si>
  <si>
    <t>CA-2012-153220</t>
  </si>
  <si>
    <t>YosephCarroll@gmail.com</t>
  </si>
  <si>
    <t>Adams "While You Were Out" Message Pads</t>
  </si>
  <si>
    <t>US-2013-144211</t>
  </si>
  <si>
    <t>United States,Englewood,Colorado</t>
  </si>
  <si>
    <t>Wirebound Four 2-3/4 x 5 Forms per Page, 400 Sets per Book</t>
  </si>
  <si>
    <t>AT&amp;T 17929 Lendline Telephone</t>
  </si>
  <si>
    <t>CA-2013-138079</t>
  </si>
  <si>
    <t>AnthonyJohnson@gmail.com</t>
  </si>
  <si>
    <t>Contract Clock, 14", Brown</t>
  </si>
  <si>
    <t>CA-2014-155873</t>
  </si>
  <si>
    <t>AlejandroBallentine@gmail.com</t>
  </si>
  <si>
    <t>Xerox 215</t>
  </si>
  <si>
    <t>Xerox 1885</t>
  </si>
  <si>
    <t>CA-2012-121797</t>
  </si>
  <si>
    <t>Computer Room Manger, 14"</t>
  </si>
  <si>
    <t>CA-2012-103723</t>
  </si>
  <si>
    <t>Prang Drawing Pencil Set</t>
  </si>
  <si>
    <t>CA-2014-144827</t>
  </si>
  <si>
    <t>SanjitEngle@gmail.com</t>
  </si>
  <si>
    <t>CA-2011-153479</t>
  </si>
  <si>
    <t>DavidFlashing@gmail.com</t>
  </si>
  <si>
    <t>Avery 512</t>
  </si>
  <si>
    <t>CA-2014-104801</t>
  </si>
  <si>
    <t>FredHarton@gmail.com</t>
  </si>
  <si>
    <t>Tenex Contemporary Contur Chairmats for Low and Medium Pile Carpet, Computer, 39" x 49"</t>
  </si>
  <si>
    <t>CA-2012-129770</t>
  </si>
  <si>
    <t>United States,Las Cruces,New Mexico</t>
  </si>
  <si>
    <t>CA-2011-149244</t>
  </si>
  <si>
    <t>MaryBethSkach@gmail.com</t>
  </si>
  <si>
    <t>Executive Impressions 12" Wall Clock</t>
  </si>
  <si>
    <t>CA-2012-140144</t>
  </si>
  <si>
    <t>CA-2011-154669</t>
  </si>
  <si>
    <t>United States,Vacaville,California</t>
  </si>
  <si>
    <t>Advantus Rolling Drawer Organizers</t>
  </si>
  <si>
    <t>CA-2011-158029</t>
  </si>
  <si>
    <t>HerbertFlentye@gmail.com</t>
  </si>
  <si>
    <t>Hon Olson Stacker Stools</t>
  </si>
  <si>
    <t>CA-2012-155306</t>
  </si>
  <si>
    <t>GeorgeAshbrook@gmail.com</t>
  </si>
  <si>
    <t>Plantronics S12 Corded Telephone Headset System</t>
  </si>
  <si>
    <t>Xerox 1903</t>
  </si>
  <si>
    <t>CA-2011-129574</t>
  </si>
  <si>
    <t>Deanpercer@gmail.com</t>
  </si>
  <si>
    <t>United States,Murray,Utah</t>
  </si>
  <si>
    <t>CA-2014-126536</t>
  </si>
  <si>
    <t>Maxell 4.7GB DVD-R 5/Pack</t>
  </si>
  <si>
    <t>Canvas Sectional Post Binders</t>
  </si>
  <si>
    <t>CA-2013-144729</t>
  </si>
  <si>
    <t>CA-2012-127019</t>
  </si>
  <si>
    <t>ElpidaRittenbach@gmail.com</t>
  </si>
  <si>
    <t>CA-2012-138534</t>
  </si>
  <si>
    <t>United States,Bakersfield,California</t>
  </si>
  <si>
    <t>CA-2012-149972</t>
  </si>
  <si>
    <t>Advantus Map Pennant Flags and Round Head Tacks</t>
  </si>
  <si>
    <t>CA-2011-154599</t>
  </si>
  <si>
    <t>KeanNguyen@gmail.com</t>
  </si>
  <si>
    <t>United States,Redondo Beach,California</t>
  </si>
  <si>
    <t>US-2012-110163</t>
  </si>
  <si>
    <t>GuyArmstrong@gmail.com</t>
  </si>
  <si>
    <t>Lumber Crayons</t>
  </si>
  <si>
    <t>CA-2014-143329</t>
  </si>
  <si>
    <t>DeniseLeinenbach@gmail.com</t>
  </si>
  <si>
    <t>9-3/4 Diameter Round Wall Clock</t>
  </si>
  <si>
    <t>CA-2012-159380</t>
  </si>
  <si>
    <t>CindyStewart@gmail.com</t>
  </si>
  <si>
    <t>Xerox 1953</t>
  </si>
  <si>
    <t>CA-2012-148635</t>
  </si>
  <si>
    <t>MichelleHuthwaite@gmail.com</t>
  </si>
  <si>
    <t>Xerox 228</t>
  </si>
  <si>
    <t>CA-2013-160500</t>
  </si>
  <si>
    <t>DarrinMartin@gmail.com</t>
  </si>
  <si>
    <t>Computer Printout Index Tabs</t>
  </si>
  <si>
    <t>Bevis 36 x 72 Conference Tables</t>
  </si>
  <si>
    <t>CA-2014-100202</t>
  </si>
  <si>
    <t>United States,Anaheim,California</t>
  </si>
  <si>
    <t>CA-2011-148915</t>
  </si>
  <si>
    <t>NatalieDeCherney@gmail.com</t>
  </si>
  <si>
    <t>Carina Mini System Audio Rack, Model AR050B</t>
  </si>
  <si>
    <t>Plantronics Voyager Pro HD - Bluetooth Headset</t>
  </si>
  <si>
    <t>CA-2014-110842</t>
  </si>
  <si>
    <t>Xerox 201</t>
  </si>
  <si>
    <t>Ibico Plastic Spiral Binding Combs</t>
  </si>
  <si>
    <t>US-2014-103828</t>
  </si>
  <si>
    <t>Newell 345</t>
  </si>
  <si>
    <t>CA-2011-148040</t>
  </si>
  <si>
    <t>BethFritzler@gmail.com</t>
  </si>
  <si>
    <t>Xerox 1951</t>
  </si>
  <si>
    <t>Office Star - Mesh Screen back chair with Vinyl seat</t>
  </si>
  <si>
    <t>CA-2014-135167</t>
  </si>
  <si>
    <t>StuartCalhoun@gmail.com</t>
  </si>
  <si>
    <t>Dixon Prang Watercolor Pencils, 10-Color Set with Brush</t>
  </si>
  <si>
    <t>US-2013-167339</t>
  </si>
  <si>
    <t>Global Super Steno Chair</t>
  </si>
  <si>
    <t>CA-2013-130799</t>
  </si>
  <si>
    <t>Eldon Regeneration Recycled Desk Accessories, Smoke</t>
  </si>
  <si>
    <t>CA-2013-164483</t>
  </si>
  <si>
    <t>US-2013-159856</t>
  </si>
  <si>
    <t>EmilyPhan@gmail.com</t>
  </si>
  <si>
    <t>Global Deluxe Steno Chair</t>
  </si>
  <si>
    <t>CA-2014-102099</t>
  </si>
  <si>
    <t>CA-2014-164049</t>
  </si>
  <si>
    <t>KenHeidel@gmail.com</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</si>
  <si>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</si>
  <si>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</si>
  <si>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</si>
  <si>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</si>
  <si>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</si>
  <si>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</si>
  <si>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</si>
  <si>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</si>
  <si>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ThomasThornton@gmail.com</t>
  </si>
  <si>
    <t>Global Ergonomic Managers Chair</t>
  </si>
  <si>
    <t>US-2013-169040</t>
  </si>
  <si>
    <t>GregTran@gmail.com</t>
  </si>
  <si>
    <t>Plantronics Calisto P620-M USB Wireless Speakerphone System</t>
  </si>
  <si>
    <t>Google Nexus 5</t>
  </si>
  <si>
    <t>Jet-Pak Recycled Peel 'N' Seal Padded Mailers</t>
  </si>
  <si>
    <t>Snap-A-Way Black Print Carbonless Ruled Speed Letter, Triplicate</t>
  </si>
  <si>
    <t>CA-2014-126242</t>
  </si>
  <si>
    <t>MickCrebagga@gmail.com</t>
  </si>
  <si>
    <t>File Shuttle II and Handi-File, Black</t>
  </si>
  <si>
    <t>Executive Impressions 13-1/2" Indoor/Outdoor Wall Clock</t>
  </si>
  <si>
    <t>CA-2013-166443</t>
  </si>
  <si>
    <t>LisaHazard@gmail.com</t>
  </si>
  <si>
    <t>Advantus Panel Wall Acrylic Frame</t>
  </si>
  <si>
    <t>CA-2014-169859</t>
  </si>
  <si>
    <t>Eldon 400 Class Desk Accessories, Black Carbon</t>
  </si>
  <si>
    <t>Wilson Jones Clip &amp; Carry Folder Binder Tool for Ring Binders, Clear</t>
  </si>
  <si>
    <t>CA-2014-134915</t>
  </si>
  <si>
    <t>EugeneMoren@gmail.com</t>
  </si>
  <si>
    <t>Memorex Micro Travel Drive 8 GB</t>
  </si>
  <si>
    <t>Xerox 1978</t>
  </si>
  <si>
    <t>Harbour Creations 67200 Series Stacking Chairs</t>
  </si>
  <si>
    <t>Tenex V2T-RE Standard Weight Series Chair Mat, 45" x 53", Lip 25" x 12"</t>
  </si>
  <si>
    <t>Cush Cases Heavy Duty Rugged Cover Case for Samsung Galaxy S5 - Purple</t>
  </si>
  <si>
    <t>CA-2012-158456</t>
  </si>
  <si>
    <t>CA-2014-143665</t>
  </si>
  <si>
    <t>PhilisseOvercash@gmail.com</t>
  </si>
  <si>
    <t>Avery 478</t>
  </si>
  <si>
    <t>CA-2014-137428</t>
  </si>
  <si>
    <t>AndyYotov@gmail.com</t>
  </si>
  <si>
    <t>DAX Two-Tone Rosewood/Black Document Frame, Desktop, 5 x 7</t>
  </si>
  <si>
    <t>CA-2011-131310</t>
  </si>
  <si>
    <t>Safco Chair Connectors, 6/Carton</t>
  </si>
  <si>
    <t>Self-Adhesive Ring Binder Labels</t>
  </si>
  <si>
    <t>US-2011-112872</t>
  </si>
  <si>
    <t>RyanCrowe@gmail.com</t>
  </si>
  <si>
    <t>Chromcraft Bull-Nose Wood 48" x 96" Rectangular Conference Tables</t>
  </si>
  <si>
    <t>CA-2013-139010</t>
  </si>
  <si>
    <t>MatthewClasen@gmail.com</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</si>
  <si>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</si>
  <si>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</si>
  <si>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</si>
  <si>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</si>
  <si>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</si>
  <si>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</si>
  <si>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</si>
  <si>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</si>
  <si>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</si>
  <si>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SharelleRoach@gmail.com</t>
  </si>
  <si>
    <t>Insertable Tab Post Binder Dividers</t>
  </si>
  <si>
    <t>GBC VeloBinder Manual Binding System</t>
  </si>
  <si>
    <t>CA-2012-123568</t>
  </si>
  <si>
    <t>Alliance Rubber Bands</t>
  </si>
  <si>
    <t>CA-2011-106719</t>
  </si>
  <si>
    <t>United States,Billings,Montana</t>
  </si>
  <si>
    <t>SlimView Poly Binder, 3/8"</t>
  </si>
  <si>
    <t>US-2013-164189</t>
  </si>
  <si>
    <t>DanReichenbach@gmail.com</t>
  </si>
  <si>
    <t>United States,Gresham,Oregon</t>
  </si>
  <si>
    <t>BlackBerry Q10</t>
  </si>
  <si>
    <t>US-2013-114293</t>
  </si>
  <si>
    <t>JustinHirsh@gmail.com</t>
  </si>
  <si>
    <t>CA-2014-101749</t>
  </si>
  <si>
    <t>AaronSmayling@gmail.com</t>
  </si>
  <si>
    <t>Lesro Sheffield Collection Coffee Table, End Table, Center Table, Corner Table</t>
  </si>
  <si>
    <t>CA-2014-149559</t>
  </si>
  <si>
    <t>#10 Self-Seal White Envelopes</t>
  </si>
  <si>
    <t>CA-2011-137351</t>
  </si>
  <si>
    <t>US-2014-148054</t>
  </si>
  <si>
    <t>United States,Meridian,Idaho</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</si>
  <si>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</si>
  <si>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</si>
  <si>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</si>
  <si>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</si>
  <si>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</si>
  <si>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</si>
  <si>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</si>
  <si>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BenjaminFarhat@gmail.com</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</si>
  <si>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</si>
  <si>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</si>
  <si>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</si>
  <si>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</si>
  <si>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</si>
  <si>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</si>
  <si>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</si>
  <si>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</si>
  <si>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</si>
  <si>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KatrinaBavinger@gmail.com</t>
  </si>
  <si>
    <t>United States,Apple Valley,California</t>
  </si>
  <si>
    <t>invisibleSHIELD by ZAGG Smudge-Free Screen Protector</t>
  </si>
  <si>
    <t>CA-2013-150350</t>
  </si>
  <si>
    <t>MaxwellSchwartz@gmail.com</t>
  </si>
  <si>
    <t>Tyvek  Top-Opening Peel &amp; Seel Envelopes, Plain White</t>
  </si>
  <si>
    <t>Acme Rosewood Handle Letter Opener</t>
  </si>
  <si>
    <t>CA-2011-136399</t>
  </si>
  <si>
    <t>ChadCunningham@gmail.com</t>
  </si>
  <si>
    <t>CA-2014-131828</t>
  </si>
  <si>
    <t>CariSayre@gmail.com</t>
  </si>
  <si>
    <t>CA-2011-109218</t>
  </si>
  <si>
    <t>BIC Brite Liner Highlighters, Chisel Tip</t>
  </si>
  <si>
    <t>US-2011-109036</t>
  </si>
  <si>
    <t>Avery 489</t>
  </si>
  <si>
    <t>CA-2011-128986</t>
  </si>
  <si>
    <t>GaryHansen@gmail.com</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</si>
  <si>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</si>
  <si>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</si>
  <si>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</si>
  <si>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</si>
  <si>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</si>
  <si>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</si>
  <si>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</si>
  <si>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</si>
  <si>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</si>
  <si>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JustinEllison@gmail.com</t>
  </si>
  <si>
    <t>United States,Woodland,California</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</si>
  <si>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</si>
  <si>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</si>
  <si>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</si>
  <si>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</si>
  <si>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</si>
  <si>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</si>
  <si>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</si>
  <si>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</si>
  <si>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</si>
  <si>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</si>
  <si>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</si>
  <si>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</si>
  <si>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United States,San Mateo,California</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</si>
  <si>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</si>
  <si>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</si>
  <si>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</si>
  <si>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</si>
  <si>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</si>
  <si>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</si>
  <si>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</si>
  <si>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Pyle PMP37LED</t>
  </si>
  <si>
    <t>CA-2013-138933</t>
  </si>
  <si>
    <t>JackLebron@gmail.com</t>
  </si>
  <si>
    <t>US-2014-140907</t>
  </si>
  <si>
    <t>Logitech Desktop MK120 Mouse and keyboard Combo</t>
  </si>
  <si>
    <t>Fellowes Bankers Box Staxonsteel Drawer File/Stacking System</t>
  </si>
  <si>
    <t>Col-Erase Pencils with Erasers</t>
  </si>
  <si>
    <t>CA-2013-159730</t>
  </si>
  <si>
    <t>SanjitJacobs@gmail.com</t>
  </si>
  <si>
    <t>Clarity 53712</t>
  </si>
  <si>
    <t>CA-2013-155474</t>
  </si>
  <si>
    <t>ChrisCortes@gmail.com</t>
  </si>
  <si>
    <t>CA-2011-140662</t>
  </si>
  <si>
    <t>ThomasSeio@gmail.com</t>
  </si>
  <si>
    <t>APC 7 Outlet Network SurgeArrest Surge Protector</t>
  </si>
  <si>
    <t>CA-2012-155145</t>
  </si>
  <si>
    <t>United States,Visalia,California</t>
  </si>
  <si>
    <t>CA-2012-146038</t>
  </si>
  <si>
    <t>SarahJordon@gmail.com</t>
  </si>
  <si>
    <t>CA-2012-157770</t>
  </si>
  <si>
    <t>RobDowd@gmail.com</t>
  </si>
  <si>
    <t>United States,Temecula,California</t>
  </si>
  <si>
    <t>Plantronics Voyager Pro Legend</t>
  </si>
  <si>
    <t>Memorex Mini Travel Drive 64 GB USB 2.0 Flash Drive</t>
  </si>
  <si>
    <t>CA-2011-106264</t>
  </si>
  <si>
    <t>US-2012-110569</t>
  </si>
  <si>
    <t>EmilyBurns@gmail.com</t>
  </si>
  <si>
    <t>US-2011-133130</t>
  </si>
  <si>
    <t>CA-2012-165057</t>
  </si>
  <si>
    <t>StevenCartwright@gmail.com</t>
  </si>
  <si>
    <t>Boston 19500 Mighty Mite Electric Pencil Sharpener</t>
  </si>
  <si>
    <t>Avery 474</t>
  </si>
  <si>
    <t>US-2014-109253</t>
  </si>
  <si>
    <t>PatrickRyan@gmail.com</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</si>
  <si>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</si>
  <si>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</si>
  <si>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</si>
  <si>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</si>
  <si>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</si>
  <si>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</si>
  <si>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</si>
  <si>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OdellaNelson@gmail.com</t>
  </si>
  <si>
    <t>United States,Yucaipa,California</t>
  </si>
  <si>
    <t>50 Colored Long Pencils</t>
  </si>
  <si>
    <t>US-2013-157308</t>
  </si>
  <si>
    <t>US-2011-134733</t>
  </si>
  <si>
    <t>BrianMoss@gmail.com</t>
  </si>
  <si>
    <t>Rush Hierlooms Collection 1" Thick Stackable Bookcases</t>
  </si>
  <si>
    <t>CA-2011-115161</t>
  </si>
  <si>
    <t>LizCarlisle@gmail.com</t>
  </si>
  <si>
    <t>Sauder Facets Collection Library, Sky Alder Finish</t>
  </si>
  <si>
    <t>CA-2012-115511</t>
  </si>
  <si>
    <t>Hon Metal Bookcases, Putty</t>
  </si>
  <si>
    <t>CA-2014-123778</t>
  </si>
  <si>
    <t>Acco PRESSTEX Data Binder with Storage Hooks, Light Blue, 9 1/2" X 11"</t>
  </si>
  <si>
    <t>CA-2011-166471</t>
  </si>
  <si>
    <t>MatthewGrinstein@gmail.com</t>
  </si>
  <si>
    <t>CA-2012-152527</t>
  </si>
  <si>
    <t>CharlotteMelton@gmail.com</t>
  </si>
  <si>
    <t>CA-2013-100244</t>
  </si>
  <si>
    <t>GregMaxwell@gmail.com</t>
  </si>
  <si>
    <t>Strathmore Photo Frame Cards</t>
  </si>
  <si>
    <t>Xerox 1944</t>
  </si>
  <si>
    <t>CA-2012-151841</t>
  </si>
  <si>
    <t>TonyChapman@gmail.com</t>
  </si>
  <si>
    <t>CA-2013-134803</t>
  </si>
  <si>
    <t>Kensington 7 Outlet MasterPiece HOMEOFFICE Power Control Center</t>
  </si>
  <si>
    <t>Xerox 1991</t>
  </si>
  <si>
    <t>ImationÂ Clip USBÂ flash driveÂ - 8 GB</t>
  </si>
  <si>
    <t>CA-2014-148264</t>
  </si>
  <si>
    <t>LukeFoster@gmail.com</t>
  </si>
  <si>
    <t>Akro-Mils 12-Gallon Tote</t>
  </si>
  <si>
    <t>Tenex Traditional Chairmats for Hard Floors, Average Lip, 36" x 48"</t>
  </si>
  <si>
    <t>Xerox 1968</t>
  </si>
  <si>
    <t>CA-2014-131212</t>
  </si>
  <si>
    <t>GBC Wire Binding Combs</t>
  </si>
  <si>
    <t>CA-2012-144099</t>
  </si>
  <si>
    <t>PhillinaOber@gmail.com</t>
  </si>
  <si>
    <t>CA-2013-162614</t>
  </si>
  <si>
    <t>TimBrockman@gmail.com</t>
  </si>
  <si>
    <t>GBC Recycled VeloBinder Covers</t>
  </si>
  <si>
    <t>CA-2011-168592</t>
  </si>
  <si>
    <t>DennisPardue@gmail.com</t>
  </si>
  <si>
    <t>Holmes Replacement Filter for HEPA Air Cleaner, Medium Room</t>
  </si>
  <si>
    <t>Pizazz Global Quick File</t>
  </si>
  <si>
    <t>US-2013-150035</t>
  </si>
  <si>
    <t>CarlLudwig@gmail.com</t>
  </si>
  <si>
    <t>CA-2011-143385</t>
  </si>
  <si>
    <t>ShirleyJackson@gmail.com</t>
  </si>
  <si>
    <t>United States,Santa Fe,New Mexico</t>
  </si>
  <si>
    <t>KeyTronicÂ KT400U2 -Â KeyboardÂ - Black</t>
  </si>
  <si>
    <t>CA-2013-131289</t>
  </si>
  <si>
    <t>Xerox 204</t>
  </si>
  <si>
    <t>CA-2013-107328</t>
  </si>
  <si>
    <t>CathyArmstrong@gmail.com</t>
  </si>
  <si>
    <t>Kensington 4 Outlet MasterPiece Compact Power Control Center</t>
  </si>
  <si>
    <t>CA-2012-168767</t>
  </si>
  <si>
    <t>DarioMedina@gmail.com</t>
  </si>
  <si>
    <t>CA-2013-137673</t>
  </si>
  <si>
    <t>HP Standard 104 key PS/2 Keyboard</t>
  </si>
  <si>
    <t>CA-2013-130680</t>
  </si>
  <si>
    <t>BillDonatelli@gmail.com</t>
  </si>
  <si>
    <t>Macally Suction Cup Mount</t>
  </si>
  <si>
    <t>CA-2011-110849</t>
  </si>
  <si>
    <t>Ativa MDM8000 8-Sheet Micro-Cut Shredder</t>
  </si>
  <si>
    <t>Binney &amp; Smith inkTank Desk Highlighter, Chisel Tip, Yellow, 12/Box</t>
  </si>
  <si>
    <t>Advantus Push Pins, Aluminum Head</t>
  </si>
  <si>
    <t>CA-2011-120838</t>
  </si>
  <si>
    <t>PatrickO'Donnell@gmail.com</t>
  </si>
  <si>
    <t>CA-2014-118542</t>
  </si>
  <si>
    <t>Xerox 1905</t>
  </si>
  <si>
    <t>Cardinal HOLDit! Binder Insert Strips,Extra Strips</t>
  </si>
  <si>
    <t>CA-2014-152737</t>
  </si>
  <si>
    <t>TonySayre@gmail.com</t>
  </si>
  <si>
    <t>Plantronics Audio 995 Wireless Stereo Headset</t>
  </si>
  <si>
    <t>CA-2013-130029</t>
  </si>
  <si>
    <t>GuyThornton@gmail.com</t>
  </si>
  <si>
    <t>Xerox 200</t>
  </si>
  <si>
    <t>Brites Rubber Bands, 1 1/2 oz. Box</t>
  </si>
  <si>
    <t>CA-2014-168109</t>
  </si>
  <si>
    <t>JimKriz@gmail.com</t>
  </si>
  <si>
    <t>CA-2013-103163</t>
  </si>
  <si>
    <t>Avery Hanging File Binders</t>
  </si>
  <si>
    <t>While You Were Out Pads, 50 per Pad, 4 x 5 1/4, Green Cycle</t>
  </si>
  <si>
    <t>CA-2014-161823</t>
  </si>
  <si>
    <t>CA-2014-138310</t>
  </si>
  <si>
    <t>Kensington Orbit Wireless Mobile Trackball for PC and Mac</t>
  </si>
  <si>
    <t>CA-2014-141929</t>
  </si>
  <si>
    <t>RalphArnett@gmail.com</t>
  </si>
  <si>
    <t>QVS USB Car Charger 2-Port 2.1Amp for iPod/iPhone/iPad/iPad 2/iPad 3</t>
  </si>
  <si>
    <t>CA-2014-113530</t>
  </si>
  <si>
    <t>Newell 314</t>
  </si>
  <si>
    <t>CA-2014-132178</t>
  </si>
  <si>
    <t>DarrenBudd@gmail.com</t>
  </si>
  <si>
    <t>Multi-Use Personal File Cart and Caster Set, Three Stacking Bins</t>
  </si>
  <si>
    <t>CA-2011-156594</t>
  </si>
  <si>
    <t>MichaelChen@gmail.com</t>
  </si>
  <si>
    <t>Boston Home &amp; Office Model 2000 Electric Pencil Sharpeners</t>
  </si>
  <si>
    <t>Newell 31</t>
  </si>
  <si>
    <t>Premium Transparent Presentation Covers, No Pattern/Clear, 8 1/2" x 11"</t>
  </si>
  <si>
    <t>CA-2011-146528</t>
  </si>
  <si>
    <t>VickyFreymann@gmail.com</t>
  </si>
  <si>
    <t>Xerox 1966</t>
  </si>
  <si>
    <t>Acme Kleen Earth Office Shears</t>
  </si>
  <si>
    <t>CA-2013-161676</t>
  </si>
  <si>
    <t>JenniferPatt@gmail.com</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</si>
  <si>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</si>
  <si>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</si>
  <si>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</si>
  <si>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</si>
  <si>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</si>
  <si>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</si>
  <si>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</si>
  <si>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</si>
  <si>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</si>
  <si>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</si>
  <si>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</si>
  <si>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</si>
  <si>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DennyOrdway@gmail.com</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</si>
  <si>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</si>
  <si>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</si>
  <si>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</si>
  <si>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</si>
  <si>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</si>
  <si>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</si>
  <si>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</si>
  <si>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</si>
  <si>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RolandSchwarz@gmail.com</t>
  </si>
  <si>
    <t>Bush Advantage Collection Round Conference Table</t>
  </si>
  <si>
    <t>CA-2014-166198</t>
  </si>
  <si>
    <t>Verbatim Slim CD and DVD Storage Cases, 50/Pack</t>
  </si>
  <si>
    <t>Eldon Advantage Foldable Chair Mats for Low Pile Carpets</t>
  </si>
  <si>
    <t>CA-2011-135608</t>
  </si>
  <si>
    <t>Xerox 1964</t>
  </si>
  <si>
    <t>CA-2013-151512</t>
  </si>
  <si>
    <t>CA-2014-161956</t>
  </si>
  <si>
    <t>Sensible Storage WireTech Storage Systems</t>
  </si>
  <si>
    <t>CA-2012-167745</t>
  </si>
  <si>
    <t>Quartet Omega Colored Chalk, 12/Pack</t>
  </si>
  <si>
    <t>Advantus Panel Wall Certificate Holder - 8.5x11</t>
  </si>
  <si>
    <t>CA-2011-107139</t>
  </si>
  <si>
    <t>US-2011-117163</t>
  </si>
  <si>
    <t>EdJacobs@gmail.com</t>
  </si>
  <si>
    <t>Balt Split Level Computer Training Table</t>
  </si>
  <si>
    <t>Dixon Ticonderoga Core-Lock Colored Pencils</t>
  </si>
  <si>
    <t>CA-2011-100363</t>
  </si>
  <si>
    <t>Things To Do Today Spiral Book</t>
  </si>
  <si>
    <t>CA-2011-126760</t>
  </si>
  <si>
    <t>Tensor Computer Mounted Lamp</t>
  </si>
  <si>
    <t>Logitech Illuminated Ultrathin Keyboard with Backlighting</t>
  </si>
  <si>
    <t>CA-2011-101931</t>
  </si>
  <si>
    <t>ToddSumrall@gmail.com</t>
  </si>
  <si>
    <t>Serrated Blade or Curved Handle Hand Letter Openers</t>
  </si>
  <si>
    <t>Premier Automatic Letter Opener</t>
  </si>
  <si>
    <t>US-2014-131849</t>
  </si>
  <si>
    <t>Eldon 300 Class Desk Accessories, Black</t>
  </si>
  <si>
    <t>Sterilite Show Offs Storage Containers</t>
  </si>
  <si>
    <t>CA-2011-140816</t>
  </si>
  <si>
    <t>United States,Thornton,Colorado</t>
  </si>
  <si>
    <t>Logitech G430 Surround Sound Gaming Headset with Dolby 7.1 Technology</t>
  </si>
  <si>
    <t>CA-2014-123246</t>
  </si>
  <si>
    <t>AstreaJones@gmail.com</t>
  </si>
  <si>
    <t>Economy #2 Pencils</t>
  </si>
  <si>
    <t>CA-2011-124709</t>
  </si>
  <si>
    <t>WD My Passport Ultra 2TB Portable External Hard Drive</t>
  </si>
  <si>
    <t>CA-2012-132486</t>
  </si>
  <si>
    <t>JayFein@gmail.com</t>
  </si>
  <si>
    <t>Maxell DVD-RAM Discs</t>
  </si>
  <si>
    <t>Global Leather and Oak Executive Chair, Black</t>
  </si>
  <si>
    <t>Global Chrome Stack Chair</t>
  </si>
  <si>
    <t>Xerox 196</t>
  </si>
  <si>
    <t>CA-2012-129896</t>
  </si>
  <si>
    <t>PeterFuller@gmail.com</t>
  </si>
  <si>
    <t>Xerox 1895</t>
  </si>
  <si>
    <t>Eldon "L" Workstation Diamond Chairmat</t>
  </si>
  <si>
    <t>DAX Copper Panel Document Frame, 5 x 7 Size</t>
  </si>
  <si>
    <t>US-2012-119312</t>
  </si>
  <si>
    <t>Eldon ProFile File 'N Store Portable File Tub Letter/Legal Size Black</t>
  </si>
  <si>
    <t>US-2014-142573</t>
  </si>
  <si>
    <t>MarisLaWare@gmail.com</t>
  </si>
  <si>
    <t>Riverleaf Stik-Withit Designer Note Cubes</t>
  </si>
  <si>
    <t>Acco Expandable Hanging Binders</t>
  </si>
  <si>
    <t>High-Back Leather Manager's Chair</t>
  </si>
  <si>
    <t>CA-2011-103940</t>
  </si>
  <si>
    <t>Eldon Gobal File Keepers</t>
  </si>
  <si>
    <t>CA-2014-123001</t>
  </si>
  <si>
    <t>OIC #2 Pencils, Medium Soft</t>
  </si>
  <si>
    <t>Avery 505</t>
  </si>
  <si>
    <t>Ooma Telo VoIP Home Phone System</t>
  </si>
  <si>
    <t>CA-2013-133144</t>
  </si>
  <si>
    <t>US-2013-151862</t>
  </si>
  <si>
    <t>RCA ViSYS 25423RE1 Corded phone</t>
  </si>
  <si>
    <t>CA-2013-114951</t>
  </si>
  <si>
    <t>Eldon Expressions Wood Desk Accessories, Oak</t>
  </si>
  <si>
    <t>CA-2014-134838</t>
  </si>
  <si>
    <t>Newell 320</t>
  </si>
  <si>
    <t>CA-2013-146010</t>
  </si>
  <si>
    <t>EugeneHildebrand@gmail.com</t>
  </si>
  <si>
    <t>GBC Durable Plastic Covers</t>
  </si>
  <si>
    <t>CA-2011-135090</t>
  </si>
  <si>
    <t>SusanPistek@gmail.com</t>
  </si>
  <si>
    <t>CA-2014-101308</t>
  </si>
  <si>
    <t>CA-2014-119564</t>
  </si>
  <si>
    <t>PaulLucas@gmail.com</t>
  </si>
  <si>
    <t>Master Giant Foot Doorstop, Safety Yellow</t>
  </si>
  <si>
    <t>CA-2013-135265</t>
  </si>
  <si>
    <t>ChristopherConant@gmail.com</t>
  </si>
  <si>
    <t>Xerox 1942</t>
  </si>
  <si>
    <t>CA-2013-108735</t>
  </si>
  <si>
    <t>United States,Lakewood,California</t>
  </si>
  <si>
    <t>Bush Westfield Collection Bookcases, Fully Assembled</t>
  </si>
  <si>
    <t>CA-2011-116834</t>
  </si>
  <si>
    <t>DAX Cubicle Frames - 8x10</t>
  </si>
  <si>
    <t>WD My Passport Ultra 1TB Portable External Hard Drive</t>
  </si>
  <si>
    <t>CA-2012-107468</t>
  </si>
  <si>
    <t>MichaelKennedy@gmail.com</t>
  </si>
  <si>
    <t>CA-2014-144463</t>
  </si>
  <si>
    <t>Howard Miller 11-1/2" Diameter Brentwood Wall Clock</t>
  </si>
  <si>
    <t>CA-2014-130764</t>
  </si>
  <si>
    <t>JackO'Briant@gmail.com</t>
  </si>
  <si>
    <t>Jackery Bar Premium Fast-charging Portable Charger</t>
  </si>
  <si>
    <t>CA-2013-169957</t>
  </si>
  <si>
    <t>SteveNguyen@gmail.com</t>
  </si>
  <si>
    <t>United States,Covington,Washington</t>
  </si>
  <si>
    <t>Belkin 7 Outlet SurgeMaster II</t>
  </si>
  <si>
    <t>CA-2011-110786</t>
  </si>
  <si>
    <t>Stacking Trays by OIC</t>
  </si>
  <si>
    <t>Xerox 1981</t>
  </si>
  <si>
    <t>Mophie Juice Pack Helium for iPhone</t>
  </si>
  <si>
    <t>Avery 477</t>
  </si>
  <si>
    <t>Executive Impressions 10" Spectator Wall Clock</t>
  </si>
  <si>
    <t>CA-2012-137750</t>
  </si>
  <si>
    <t>JillFjeld@gmail.com</t>
  </si>
  <si>
    <t>CA-2012-124058</t>
  </si>
  <si>
    <t>Gear Head AU3700S Headset</t>
  </si>
  <si>
    <t>US-2012-138716</t>
  </si>
  <si>
    <t>CA-2013-140417</t>
  </si>
  <si>
    <t>KatrinaEdelman@gmail.com</t>
  </si>
  <si>
    <t>GBC Poly Designer Binding Covers</t>
  </si>
  <si>
    <t>CA-2014-163692</t>
  </si>
  <si>
    <t>CA-2013-111913</t>
  </si>
  <si>
    <t>LindaCazamias@gmail.com</t>
  </si>
  <si>
    <t>Mitel 5320 IP Phone VoIP phone</t>
  </si>
  <si>
    <t>Pressboard Covers with Storage Hooks, 9 1/2" x 11", Light Blue</t>
  </si>
  <si>
    <t>US-2014-155999</t>
  </si>
  <si>
    <t>CA-2012-153416</t>
  </si>
  <si>
    <t>TobySwindell@gmail.com</t>
  </si>
  <si>
    <t>Avery Reinforcements for Hole-Punch Pages</t>
  </si>
  <si>
    <t>CA-2014-133823</t>
  </si>
  <si>
    <t>CA-2012-121272</t>
  </si>
  <si>
    <t>Acco 6 Outlet Guardian Premium Plus Surge Suppressor</t>
  </si>
  <si>
    <t>CA-2014-105914</t>
  </si>
  <si>
    <t>Performers Binder/Pad Holder, Black</t>
  </si>
  <si>
    <t>CA-2014-112725</t>
  </si>
  <si>
    <t>Newell 338</t>
  </si>
  <si>
    <t>Novimex Swivel Fabric Task Chair</t>
  </si>
  <si>
    <t>US-2014-106131</t>
  </si>
  <si>
    <t>TracyPoddar@gmail.com</t>
  </si>
  <si>
    <t>CA-2011-157924</t>
  </si>
  <si>
    <t>Iris Project Case</t>
  </si>
  <si>
    <t>Global Enterprise Series Seating High-Back Swivel/Tilt Chairs</t>
  </si>
  <si>
    <t>CA-2012-100216</t>
  </si>
  <si>
    <t>HeatherJas@gmail.com</t>
  </si>
  <si>
    <t>Xerox 210</t>
  </si>
  <si>
    <t>CA-2014-100601</t>
  </si>
  <si>
    <t>CA-2012-154340</t>
  </si>
  <si>
    <t>EileenKiefer@gmail.com</t>
  </si>
  <si>
    <t>Boston Electric Pencil Sharpener, Model 1818, Charcoal Black</t>
  </si>
  <si>
    <t>CA-2013-148593</t>
  </si>
  <si>
    <t>US-2014-119039</t>
  </si>
  <si>
    <t>Economy Binders</t>
  </si>
  <si>
    <t>CA-2012-150875</t>
  </si>
  <si>
    <t>United States,Boise,Idaho</t>
  </si>
  <si>
    <t>CA-2012-154200</t>
  </si>
  <si>
    <t>BruceGeld@gmail.com</t>
  </si>
  <si>
    <t>CA-2013-124233</t>
  </si>
  <si>
    <t>CA-2012-111234</t>
  </si>
  <si>
    <t>Smead Alpha-Z Color-Coded Second Alphabetical Labels and Starter Set</t>
  </si>
  <si>
    <t>CA-2014-149881</t>
  </si>
  <si>
    <t>NickCrebassa@gmail.com</t>
  </si>
  <si>
    <t>Safco Value Mate Steel Bookcase, Baked Enamel Finish on Steel, Black</t>
  </si>
  <si>
    <t>CA-2014-134565</t>
  </si>
  <si>
    <t>Xerox 1939</t>
  </si>
  <si>
    <t>Cisco Desktop Collaboration Experience DX650 IP Video Phone</t>
  </si>
  <si>
    <t>O'Sullivan 3-Shelf Heavy-Duty Bookcases</t>
  </si>
  <si>
    <t>CA-2012-154970</t>
  </si>
  <si>
    <t>StevenRoelle@gmail.com</t>
  </si>
  <si>
    <t>CA-2014-147144</t>
  </si>
  <si>
    <t>Boston 1827 Commercial Additional Cutter, Drive Gear &amp; Gear Rack for 1606</t>
  </si>
  <si>
    <t>CA-2011-133704</t>
  </si>
  <si>
    <t>MichelleArnett@gmail.com</t>
  </si>
  <si>
    <t>CA-2011-138436</t>
  </si>
  <si>
    <t>JonathanDoherty@gmail.com</t>
  </si>
  <si>
    <t>CA-2012-101924</t>
  </si>
  <si>
    <t>KenBlack@gmail.com</t>
  </si>
  <si>
    <t>CA-2013-124793</t>
  </si>
  <si>
    <t>MuhammedMacIntyre@gmail.com</t>
  </si>
  <si>
    <t>US-2014-158505</t>
  </si>
  <si>
    <t>PayAnywhere Card Reader</t>
  </si>
  <si>
    <t>CA-2012-142692</t>
  </si>
  <si>
    <t>AndrewGjertsen@gmail.com</t>
  </si>
  <si>
    <t>CA-2014-151358</t>
  </si>
  <si>
    <t>NicoleFjeld@gmail.com</t>
  </si>
  <si>
    <t>CA-2014-102407</t>
  </si>
  <si>
    <t>Harmony Air Purifier</t>
  </si>
  <si>
    <t>CA-2014-101581</t>
  </si>
  <si>
    <t>DavidWiener@gmail.com</t>
  </si>
  <si>
    <t>CA-2014-169124</t>
  </si>
  <si>
    <t>United States,Citrus Heights,California</t>
  </si>
  <si>
    <t>CA-2014-117261</t>
  </si>
  <si>
    <t>TiffanyHouse@gmail.com</t>
  </si>
  <si>
    <t>Rogers Jumbo File, Granite</t>
  </si>
  <si>
    <t>CA-2011-162278</t>
  </si>
  <si>
    <t>AngeleHood@gmail.com</t>
  </si>
  <si>
    <t>Vtech CS6719</t>
  </si>
  <si>
    <t>CA-2013-161095</t>
  </si>
  <si>
    <t>ChrisSelesnick@gmail.com</t>
  </si>
  <si>
    <t>GBC Premium Transparent Covers with Diagonal Lined Pattern</t>
  </si>
  <si>
    <t>CA-2011-125829</t>
  </si>
  <si>
    <t>Xerox 2000</t>
  </si>
  <si>
    <t>Hewlett-Packard Deskjet D4360 Printer</t>
  </si>
  <si>
    <t>CA-2012-115945</t>
  </si>
  <si>
    <t>CA-2012-136735</t>
  </si>
  <si>
    <t>Airmail Envelopes</t>
  </si>
  <si>
    <t>CA-2011-152345</t>
  </si>
  <si>
    <t>ShuiTom@gmail.com</t>
  </si>
  <si>
    <t>Mediabridge Sport Armband iPhone 5s</t>
  </si>
  <si>
    <t>CA-2014-107909</t>
  </si>
  <si>
    <t>SungShariari@gmail.com</t>
  </si>
  <si>
    <t>United States,Redmond,Washington</t>
  </si>
  <si>
    <t>LogitechÂ LS21 Speaker System - PC Multimedia - 2.1-CH - Wired</t>
  </si>
  <si>
    <t>Avery Metallic Poly Binders</t>
  </si>
  <si>
    <t>CA-2012-154795</t>
  </si>
  <si>
    <t>United States,Bullhead City,Arizona</t>
  </si>
  <si>
    <t>#6 3/4 Gummed Flap White Envelopes</t>
  </si>
  <si>
    <t>Nu-Dell Float Frame 11 x 14 1/2</t>
  </si>
  <si>
    <t>CA-2012-125234</t>
  </si>
  <si>
    <t>CA-2014-105410</t>
  </si>
  <si>
    <t>CA-2014-169894</t>
  </si>
  <si>
    <t>MarkVanHuff@gmail.com</t>
  </si>
  <si>
    <t>CA-2014-107748</t>
  </si>
  <si>
    <t>AlexGrayson@gmail.com</t>
  </si>
  <si>
    <t>CA-2011-166954</t>
  </si>
  <si>
    <t>United States,San Gabriel,California</t>
  </si>
  <si>
    <t>Tenex Traditional Chairmats for Medium Pile Carpet, Standard Lip, 36" x 48"</t>
  </si>
  <si>
    <t>Kensington 6 Outlet MasterPiece HOMEOFFICE Power Control Center</t>
  </si>
  <si>
    <t>CA-2012-152891</t>
  </si>
  <si>
    <t>TrudyBrown@gmail.com</t>
  </si>
  <si>
    <t>Balt Solid Wood Rectangular Table</t>
  </si>
  <si>
    <t>CA-2013-156811</t>
  </si>
  <si>
    <t>BartPistole@gmail.com</t>
  </si>
  <si>
    <t>CA-2013-148740</t>
  </si>
  <si>
    <t>AnnaHÃ¤berlin@gmail.com</t>
  </si>
  <si>
    <t>Polycom SoundPoint IP 450 VoIP phone</t>
  </si>
  <si>
    <t>CA-2013-114538</t>
  </si>
  <si>
    <t>SANFORD Major Accent Highlighters</t>
  </si>
  <si>
    <t>US-2011-154879</t>
  </si>
  <si>
    <t>CA-2011-153983</t>
  </si>
  <si>
    <t>US-2014-103226</t>
  </si>
  <si>
    <t>Southworth 25% Cotton Linen-Finish Paper &amp; Envelopes</t>
  </si>
  <si>
    <t>CA-2012-121965</t>
  </si>
  <si>
    <t>Eldon 200 Class Desk Accessories</t>
  </si>
  <si>
    <t>Xerox 231</t>
  </si>
  <si>
    <t>CA-2013-147137</t>
  </si>
  <si>
    <t>AnnaAndreadi@gmail.com</t>
  </si>
  <si>
    <t>Master Caster Door Stop, Brown</t>
  </si>
  <si>
    <t>Inter-Office Recycled Envelopes, Brown Kraft, Button-String,10" x 13" , 100/Box</t>
  </si>
  <si>
    <t>US-2012-146745</t>
  </si>
  <si>
    <t>AnnSteele@gmail.com</t>
  </si>
  <si>
    <t>CA-2014-115175</t>
  </si>
  <si>
    <t>US-2014-125717</t>
  </si>
  <si>
    <t>Gould Plastics 18-Pocket Panel Bin, 34w x 5-1/4d x 20-1/2h</t>
  </si>
  <si>
    <t>Lenovo 17-Key USB Numeric Keypad</t>
  </si>
  <si>
    <t>Xerox 1992</t>
  </si>
  <si>
    <t>CA-2012-163895</t>
  </si>
  <si>
    <t>CA-2013-109365</t>
  </si>
  <si>
    <t>Holmes 99% HEPA Air Purifier</t>
  </si>
  <si>
    <t>Xerox 1892</t>
  </si>
  <si>
    <t>CA-2014-105921</t>
  </si>
  <si>
    <t>JanetMartin@gmail.com</t>
  </si>
  <si>
    <t>Chromcraft Round Conference Tables</t>
  </si>
  <si>
    <t>CA-2014-112753</t>
  </si>
  <si>
    <t>Xerox 1930</t>
  </si>
  <si>
    <t>CA-2011-103401</t>
  </si>
  <si>
    <t>GeorgiaRosenberg@gmail.com</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</si>
  <si>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</si>
  <si>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</si>
  <si>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</si>
  <si>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</si>
  <si>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</si>
  <si>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</si>
  <si>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</si>
  <si>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</si>
  <si>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</si>
  <si>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</si>
  <si>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VivekSundaresam@gmail.com</t>
  </si>
  <si>
    <t>CA-2013-118969</t>
  </si>
  <si>
    <t>LizPreis@gmail.com</t>
  </si>
  <si>
    <t>Premier Elliptical Ring Binder, Black</t>
  </si>
  <si>
    <t>US-2013-128678</t>
  </si>
  <si>
    <t>RobBeeghly@gmail.com</t>
  </si>
  <si>
    <t>TOPS "Important Message" Pads, Canary, 4-1/4 x 5-1/2, 50 Sheets per Pad</t>
  </si>
  <si>
    <t>CA-2013-101385</t>
  </si>
  <si>
    <t>JuliaWest@gmail.com</t>
  </si>
  <si>
    <t>BIC Brite Liner Highlighters</t>
  </si>
  <si>
    <t>CA-2014-105445</t>
  </si>
  <si>
    <t>CA-2011-140403</t>
  </si>
  <si>
    <t>CA-2012-163104</t>
  </si>
  <si>
    <t>MikeCaudle@gmail.com</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</si>
  <si>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</si>
  <si>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</si>
  <si>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</si>
  <si>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</si>
  <si>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</si>
  <si>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</si>
  <si>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</si>
  <si>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</si>
  <si>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</si>
  <si>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</si>
  <si>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</si>
  <si>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</si>
  <si>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</si>
  <si>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</si>
  <si>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</si>
  <si>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</si>
  <si>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</si>
  <si>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</si>
  <si>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United States,Lewiston,Idaho</t>
  </si>
  <si>
    <t>US-2013-100405</t>
  </si>
  <si>
    <t>TomStivers@gmail.com</t>
  </si>
  <si>
    <t>Newell Chalk Holder</t>
  </si>
  <si>
    <t>US-2014-163790</t>
  </si>
  <si>
    <t>United States,Danville,California</t>
  </si>
  <si>
    <t>Nontoxic Chalk</t>
  </si>
  <si>
    <t>Super Bands, 12/Pack</t>
  </si>
  <si>
    <t>Document Clip Frames</t>
  </si>
  <si>
    <t>CA-2013-129868</t>
  </si>
  <si>
    <t>Global Armless Task Chair, Royal Blue</t>
  </si>
  <si>
    <t>Hoover Replacement Belts For Soft Guard &amp; Commercial Ltweight Upright Vacs, 2/Pk</t>
  </si>
  <si>
    <t>US-2014-141852</t>
  </si>
  <si>
    <t>CA-2014-145219</t>
  </si>
  <si>
    <t>RobertMarley@gmail.com</t>
  </si>
  <si>
    <t>CA-2014-168396</t>
  </si>
  <si>
    <t>BruceDegenhardt@gmail.com</t>
  </si>
  <si>
    <t>Deflect-o EconoMat Studded, No Bevel Mat for Low Pile Carpeting</t>
  </si>
  <si>
    <t>CA-2012-130456</t>
  </si>
  <si>
    <t>DavidSmith@gmail.com</t>
  </si>
  <si>
    <t>CA-2014-116288</t>
  </si>
  <si>
    <t>BillStewart@gmail.com</t>
  </si>
  <si>
    <t>CA-2014-168228</t>
  </si>
  <si>
    <t>Boston School Pro Electric Pencil Sharpener, 1670</t>
  </si>
  <si>
    <t>CA-2014-130141</t>
  </si>
  <si>
    <t>HelenAbelman@gmail.com</t>
  </si>
  <si>
    <t>CA-2012-147501</t>
  </si>
  <si>
    <t>Corey-Lock@gmail.com</t>
  </si>
  <si>
    <t>Ibico Presentation Index for Binding Systems</t>
  </si>
  <si>
    <t>CA-2014-129357</t>
  </si>
  <si>
    <t>Xerox 1917</t>
  </si>
  <si>
    <t>CA-2014-150987</t>
  </si>
  <si>
    <t>CA-2014-159107</t>
  </si>
  <si>
    <t>Acco Banker's Clasps, 5 3/4"-Long</t>
  </si>
  <si>
    <t>CA-2013-116547</t>
  </si>
  <si>
    <t>Logitech Media Keyboard K200</t>
  </si>
  <si>
    <t>CA-2011-114510</t>
  </si>
  <si>
    <t>United States,Logan,Utah</t>
  </si>
  <si>
    <t>ImationÂ 30456 USBÂ Flash DriveÂ 8GB</t>
  </si>
  <si>
    <t>CA-2011-138681</t>
  </si>
  <si>
    <t>Global Low Back Tilter Chair</t>
  </si>
  <si>
    <t>Xerox 1954</t>
  </si>
  <si>
    <t>CA-2014-138149</t>
  </si>
  <si>
    <t>Newell 328</t>
  </si>
  <si>
    <t>CA-2014-121643</t>
  </si>
  <si>
    <t>Aastra 6757i CT Wireless VoIP phone</t>
  </si>
  <si>
    <t>US-2012-122910</t>
  </si>
  <si>
    <t>CA-2012-109736</t>
  </si>
  <si>
    <t>DennyJoy@gmail.com</t>
  </si>
  <si>
    <t>CA-2012-142601</t>
  </si>
  <si>
    <t>DeanraEno@gmail.com</t>
  </si>
  <si>
    <t>Xerox 19</t>
  </si>
  <si>
    <t>US-2014-135230</t>
  </si>
  <si>
    <t>CA-2011-123323</t>
  </si>
  <si>
    <t>LenaHernandez@gmail.com</t>
  </si>
  <si>
    <t>US-2012-103996</t>
  </si>
  <si>
    <t>RichardBierner@gmail.com</t>
  </si>
  <si>
    <t>Tops Wirebound Message Log Books</t>
  </si>
  <si>
    <t>G.E. Longer-Life Indoor Recessed Floodlight Bulbs</t>
  </si>
  <si>
    <t>CA-2012-105725</t>
  </si>
  <si>
    <t>Hon 61000 Series Interactive Training Tables</t>
  </si>
  <si>
    <t>CA-2014-164364</t>
  </si>
  <si>
    <t>ChristineSundaresam@gmail.com</t>
  </si>
  <si>
    <t>Avery 483</t>
  </si>
  <si>
    <t>Dixon Ticonderoga Maple Cedar Pencil, #2</t>
  </si>
  <si>
    <t>Acme Forged Steel Scissors with Black Enamel Handles</t>
  </si>
  <si>
    <t>CA-2013-120005</t>
  </si>
  <si>
    <t>TheresaSwint@gmail.com</t>
  </si>
  <si>
    <t>CA-2013-123526</t>
  </si>
  <si>
    <t>BenjaminVenier@gmail.com</t>
  </si>
  <si>
    <t>CA-2011-112851</t>
  </si>
  <si>
    <t>NickRadford@gmail.com</t>
  </si>
  <si>
    <t>United States,Chula Vista,California</t>
  </si>
  <si>
    <t>Tyvek Interoffice Envelopes, 9 1/2" x 12 1/2", 100/Box</t>
  </si>
  <si>
    <t>CA-2014-123701</t>
  </si>
  <si>
    <t>BIC Liqua Brite Liner</t>
  </si>
  <si>
    <t>US-2013-114888</t>
  </si>
  <si>
    <t>Kleencut Forged Office Shears by Acme United Corporation</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</si>
  <si>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</si>
  <si>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</si>
  <si>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</si>
  <si>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</si>
  <si>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</si>
  <si>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</si>
  <si>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</si>
  <si>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</si>
  <si>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</si>
  <si>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</si>
  <si>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MonicaFederle@gmail.com</t>
  </si>
  <si>
    <t>CA-2012-137708</t>
  </si>
  <si>
    <t>NathanGelder@gmail.com</t>
  </si>
  <si>
    <t>Personal Folder Holder, Ebony</t>
  </si>
  <si>
    <t>CA-2013-111696</t>
  </si>
  <si>
    <t>CA-2013-134222</t>
  </si>
  <si>
    <t>United States,Yuma,Arizona</t>
  </si>
  <si>
    <t>US-2014-136707</t>
  </si>
  <si>
    <t>JimEpp@gmail.com</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</si>
  <si>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</si>
  <si>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</si>
  <si>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</si>
  <si>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</si>
  <si>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</si>
  <si>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</si>
  <si>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</si>
  <si>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</si>
  <si>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United States,Pasco,Washington</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</si>
  <si>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</si>
  <si>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</si>
  <si>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</si>
  <si>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</si>
  <si>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</si>
  <si>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</si>
  <si>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</si>
  <si>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</si>
  <si>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</si>
  <si>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</si>
  <si>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</si>
  <si>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EdwardHooks@gmail.com</t>
  </si>
  <si>
    <t>Sanford EarthWrite Recycled Pencils, Medium Soft, #2</t>
  </si>
  <si>
    <t>CA-2013-130484</t>
  </si>
  <si>
    <t>SheriGordon@gmail.com</t>
  </si>
  <si>
    <t>CA-2014-120936</t>
  </si>
  <si>
    <t>ChristineAbelman@gmail.com</t>
  </si>
  <si>
    <t xml:space="preserve">Iceberg Mobile Mega Data/Printer Cart </t>
  </si>
  <si>
    <t>Fiskars Spring-Action Scissors</t>
  </si>
  <si>
    <t>CA-2012-161830</t>
  </si>
  <si>
    <t>CA-2014-143651</t>
  </si>
  <si>
    <t>Newell 309</t>
  </si>
  <si>
    <t>CA-2012-106978</t>
  </si>
  <si>
    <t>CA-2012-155124</t>
  </si>
  <si>
    <t>KarenSeio@gmail.com</t>
  </si>
  <si>
    <t>United States,Lehi,Utah</t>
  </si>
  <si>
    <t>SmartStand Mobile Device Holder, Assorted Colors</t>
  </si>
  <si>
    <t>CA-2011-157147</t>
  </si>
  <si>
    <t>BrianDahlen@gmail.com</t>
  </si>
  <si>
    <t>O'Sullivan Elevations Bookcase, Cherry Finish</t>
  </si>
  <si>
    <t>CA-2013-151372</t>
  </si>
  <si>
    <t>14-7/8 x 11 Blue Bar Computer Printout Paper</t>
  </si>
  <si>
    <t>Advantus Push Pins</t>
  </si>
  <si>
    <t>CA-2011-102085</t>
  </si>
  <si>
    <t>JoyDaniels@gmail.com</t>
  </si>
  <si>
    <t>Avery 519</t>
  </si>
  <si>
    <t>CA-2014-107125</t>
  </si>
  <si>
    <t>CA-2014-117926</t>
  </si>
  <si>
    <t>Belkin 8-Outlet Premiere SurgeMaster II Surge Protectors</t>
  </si>
  <si>
    <t>CA-2011-160262</t>
  </si>
  <si>
    <t>Xerox 1909</t>
  </si>
  <si>
    <t>CA-2013-166226</t>
  </si>
  <si>
    <t>TracyCollins@gmail.com</t>
  </si>
  <si>
    <t>Grandstream GXP2100 Mainstream Business Phone</t>
  </si>
  <si>
    <t>CA-2011-156587</t>
  </si>
  <si>
    <t>AaronBergman@gmail.com</t>
  </si>
  <si>
    <t>Global Push Button Manager's Chair, Indigo</t>
  </si>
  <si>
    <t>CA-2013-164896</t>
  </si>
  <si>
    <t>PenelopeSewall@gmail.com</t>
  </si>
  <si>
    <t>CA-2011-160066</t>
  </si>
  <si>
    <t>Permanent Self-Adhesive File Folder Labels for Typewriters by Universal</t>
  </si>
  <si>
    <t>CA-2013-109925</t>
  </si>
  <si>
    <t>CA-2013-149279</t>
  </si>
  <si>
    <t>CraigLeslie@gmail.com</t>
  </si>
  <si>
    <t>Wilson Jones Impact Binders</t>
  </si>
  <si>
    <t>CA-2014-107321</t>
  </si>
  <si>
    <t>ArthurWiediger@gmail.com</t>
  </si>
  <si>
    <t>Acco Suede Grain Vinyl Round Ring Binder</t>
  </si>
  <si>
    <t>CA-2013-129238</t>
  </si>
  <si>
    <t>SampleCompanyA@gmail.com</t>
  </si>
  <si>
    <t>AT&amp;T 1080 Phone</t>
  </si>
  <si>
    <t>CA-2014-159688</t>
  </si>
  <si>
    <t>AdamBellavance@gmail.com</t>
  </si>
  <si>
    <t>Logitech G600 MMO Gaming Mouse</t>
  </si>
  <si>
    <t>CA-2013-155033</t>
  </si>
  <si>
    <t>CindyChapman@gmail.com</t>
  </si>
  <si>
    <t>Astroparche Fine Business Paper</t>
  </si>
  <si>
    <t>US-2014-139647</t>
  </si>
  <si>
    <t>CA-2011-127558</t>
  </si>
  <si>
    <t>ShahidShariari@gmail.com</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</si>
  <si>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</si>
  <si>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</si>
  <si>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</si>
  <si>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</si>
  <si>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</si>
  <si>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</si>
  <si>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</si>
  <si>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</si>
  <si>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</si>
  <si>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ArianneIrving@gmail.com</t>
  </si>
  <si>
    <t>Embossed Ink Jet Note Cards</t>
  </si>
  <si>
    <t>Belkin F9S820V06 8 Outlet Surge</t>
  </si>
  <si>
    <t>Howard Miller 11-1/2" Diameter Ridgewood Wall Clock</t>
  </si>
  <si>
    <t>Xerox 1933</t>
  </si>
  <si>
    <t>CA-2012-150511</t>
  </si>
  <si>
    <t>CA-2012-162166</t>
  </si>
  <si>
    <t>United States,Moreno Valley,California</t>
  </si>
  <si>
    <t>Xerox 1928</t>
  </si>
  <si>
    <t>CA-2014-160934</t>
  </si>
  <si>
    <t>TonjaTurnell@gmail.com</t>
  </si>
  <si>
    <t>Newell 347</t>
  </si>
  <si>
    <t>CA-2012-145485</t>
  </si>
  <si>
    <t>CA-2014-151071</t>
  </si>
  <si>
    <t>MickBrown@gmail.com</t>
  </si>
  <si>
    <t>US-2014-133312</t>
  </si>
  <si>
    <t>BradleyDrucker@gmail.com</t>
  </si>
  <si>
    <t>Sauder Forest Hills Library, Woodland Oak Finish</t>
  </si>
  <si>
    <t>CA-2014-132738</t>
  </si>
  <si>
    <t>United States,Loveland,Colorado</t>
  </si>
  <si>
    <t>Hammermill CopyPlus Copy Paper (20Lb. and 84 Bright)</t>
  </si>
  <si>
    <t>CA-2014-156720</t>
  </si>
  <si>
    <t>JillMatthias@gmail.com</t>
  </si>
  <si>
    <t>Bagged Rubber Bands</t>
  </si>
  <si>
    <t>CA-2012-141936</t>
  </si>
  <si>
    <t>ParhenaNorris@gmail.com</t>
  </si>
  <si>
    <t>Cardinal Hold-It CD Pocket</t>
  </si>
  <si>
    <t>CA-2013-150658</t>
  </si>
  <si>
    <t>CA-2014-146626</t>
  </si>
  <si>
    <t>Nu-Dell Executive Frame</t>
  </si>
  <si>
    <t>CA-2013-151323</t>
  </si>
  <si>
    <t>CA-2012-146696</t>
  </si>
  <si>
    <t>Wilson Jones Standard D-Ring Binders</t>
  </si>
  <si>
    <t>CA-2012-154886</t>
  </si>
  <si>
    <t>ShaunWeien@gmail.com</t>
  </si>
  <si>
    <t>CA-2014-161333</t>
  </si>
  <si>
    <t>CA-2014-128734</t>
  </si>
  <si>
    <t>JamesLanier@gmail.com</t>
  </si>
  <si>
    <t>United States,Chandler,Arizona</t>
  </si>
  <si>
    <t>Acrylic Self-Standing Desk Frames</t>
  </si>
  <si>
    <t>CA-2014-125101</t>
  </si>
  <si>
    <t>CA-2014-169929</t>
  </si>
  <si>
    <t>LukeSchmidt@gmail.com</t>
  </si>
  <si>
    <t>United States,Helena,Montana</t>
  </si>
  <si>
    <t>CA-2012-156146</t>
  </si>
  <si>
    <t>Panasonic KX-TG6844B Expandable Digital Cordless Telephone</t>
  </si>
  <si>
    <t>Plantronics MX500i Earset</t>
  </si>
  <si>
    <t>CA-2012-161627</t>
  </si>
  <si>
    <t>Novimex Turbo Task Chair</t>
  </si>
  <si>
    <t>CA-2012-107741</t>
  </si>
  <si>
    <t>FredChung@gmail.com</t>
  </si>
  <si>
    <t>CA-2013-148908</t>
  </si>
  <si>
    <t>US-2012-120502</t>
  </si>
  <si>
    <t>Aastra 57i VoIP phone</t>
  </si>
  <si>
    <t>US-2014-141943</t>
  </si>
  <si>
    <t>DarrenKoutras@gmail.com</t>
  </si>
  <si>
    <t>Peel &amp; Seel Recycled Catalog Envelopes, Brown</t>
  </si>
  <si>
    <t>CA-2011-159709</t>
  </si>
  <si>
    <t>Strathmore #10 Envelopes, Ultimate White</t>
  </si>
  <si>
    <t>LF Elite 3D Dazzle Designer Hard Case Cover, Lf Stylus Pen and Wiper For Apple Iphone 5c Mini Lite</t>
  </si>
  <si>
    <t>CA-2012-142454</t>
  </si>
  <si>
    <t>RichardEichhorn@gmail.com</t>
  </si>
  <si>
    <t>CA-2013-145898</t>
  </si>
  <si>
    <t>CA-2014-134635</t>
  </si>
  <si>
    <t>US-2014-109582</t>
  </si>
  <si>
    <t>US-2011-147648</t>
  </si>
  <si>
    <t>Xerox 1893</t>
  </si>
  <si>
    <t>CA-2014-124436</t>
  </si>
  <si>
    <t>SpineVue Locking Slant-D Ring Binders by Cardinal</t>
  </si>
  <si>
    <t>Advantus Employee of the Month Certificate Frame, 11 x 13-1/2</t>
  </si>
  <si>
    <t>CA-2014-131037</t>
  </si>
  <si>
    <t>TonyMolinari@gmail.com</t>
  </si>
  <si>
    <t>Hon Racetrack Conference Tables</t>
  </si>
  <si>
    <t>CA-2013-116561</t>
  </si>
  <si>
    <t>EugeneBarchas@gmail.com</t>
  </si>
  <si>
    <t>Stur-D-Stor Shelving, Vertical 5-Shelf: 72"H x 36"W x 18 1/2"D</t>
  </si>
  <si>
    <t>CA-2013-110730</t>
  </si>
  <si>
    <t>CandaceMcMahon@gmail.com</t>
  </si>
  <si>
    <t>Acme Design Stainless Steel Bent Scissors</t>
  </si>
  <si>
    <t>CA-2013-156265</t>
  </si>
  <si>
    <t>BarryFranzÃ¶sisch@gmail.com</t>
  </si>
  <si>
    <t>Barricks Non-Folding Utility Table with Steel Legs, Laminate Tops</t>
  </si>
  <si>
    <t>XtraLife ClearVue Slant-D Ring Binders by Cardinal</t>
  </si>
  <si>
    <t>US-2014-110989</t>
  </si>
  <si>
    <t>EvaJacobs@gmail.com</t>
  </si>
  <si>
    <t>US-2011-131982</t>
  </si>
  <si>
    <t>Catalog Binders with Expanding Posts</t>
  </si>
  <si>
    <t>US-2014-114034</t>
  </si>
  <si>
    <t>DelfinaLatchford@gmail.com</t>
  </si>
  <si>
    <t>US-2014-115595</t>
  </si>
  <si>
    <t>Wirebound Message Books, 2 7/8" x 5", 3 Forms per Page</t>
  </si>
  <si>
    <t>CA-2014-147452</t>
  </si>
  <si>
    <t>Xerox 1882</t>
  </si>
  <si>
    <t>Commercial WindTunnel Clean Air Upright Vacuum, Replacement Belts, Filtration Bags</t>
  </si>
  <si>
    <t>CA-2014-144484</t>
  </si>
  <si>
    <t>CassandraBrandow@gmail.com</t>
  </si>
  <si>
    <t>6" Cubicle Wall Clock, Black</t>
  </si>
  <si>
    <t>CA-2014-125913</t>
  </si>
  <si>
    <t>CA-2011-133424</t>
  </si>
  <si>
    <t>CA-2014-105991</t>
  </si>
  <si>
    <t>US-2014-136784</t>
  </si>
  <si>
    <t>CA-2013-106656</t>
  </si>
  <si>
    <t>Avery 51</t>
  </si>
  <si>
    <t>CA-2014-137876</t>
  </si>
  <si>
    <t>DonJones@gmail.com</t>
  </si>
  <si>
    <t>Seth Thomas 16" Steel Case Clock</t>
  </si>
  <si>
    <t>CA-2012-119508</t>
  </si>
  <si>
    <t>CA-2011-130813</t>
  </si>
  <si>
    <t>LycorisSaunders@gmail.com</t>
  </si>
  <si>
    <t>CA-2012-169278</t>
  </si>
  <si>
    <t>CA-2014-111577</t>
  </si>
  <si>
    <t>AnthonyJacobs@gmail.com</t>
  </si>
  <si>
    <t>CA-2014-108539</t>
  </si>
  <si>
    <t>Pressboard Data Binders by Wilson Jones</t>
  </si>
  <si>
    <t>CA-2011-113768</t>
  </si>
  <si>
    <t>AaronHawkins@gmail.com</t>
  </si>
  <si>
    <t>Iceberg Nesting Folding Chair, 19w x 6d x 43h</t>
  </si>
  <si>
    <t>EcoTones Memo Sheets</t>
  </si>
  <si>
    <t>CA-2013-138037</t>
  </si>
  <si>
    <t>AndyReiter@gmail.com</t>
  </si>
  <si>
    <t>CA-2011-150490</t>
  </si>
  <si>
    <t>Akro Stacking Bins</t>
  </si>
  <si>
    <t>Boston KS Multi-Size Manual Pencil Sharpener</t>
  </si>
  <si>
    <t>CA-2011-123477</t>
  </si>
  <si>
    <t>CA-2014-158071</t>
  </si>
  <si>
    <t>Personal File Boxes with Fold-Down Carry Handle</t>
  </si>
  <si>
    <t>CA-2014-134152</t>
  </si>
  <si>
    <t>RoyPhan@gmail.com</t>
  </si>
  <si>
    <t>CA-2013-136021</t>
  </si>
  <si>
    <t>Array Memo Cubes</t>
  </si>
  <si>
    <t>Texas Instruments TI-34 Scientific Calculator</t>
  </si>
  <si>
    <t>CA-2014-164707</t>
  </si>
  <si>
    <t>Avery 493</t>
  </si>
  <si>
    <t>CA-2014-163874</t>
  </si>
  <si>
    <t>CA-2011-104829</t>
  </si>
  <si>
    <t>JohnGrady@gmail.com</t>
  </si>
  <si>
    <t>US-2013-147340</t>
  </si>
  <si>
    <t>CA-2013-145492</t>
  </si>
  <si>
    <t>MattConnell@gmail.com</t>
  </si>
  <si>
    <t>CA-2014-132262</t>
  </si>
  <si>
    <t>MuhammedLee@gmail.com</t>
  </si>
  <si>
    <t>Logitech M510 Wireless Mouse</t>
  </si>
  <si>
    <t>US-2013-143280</t>
  </si>
  <si>
    <t>Acco Clips to Go Binder Clips, 24 Clips in Two Sizes</t>
  </si>
  <si>
    <t>CA-2014-108854</t>
  </si>
  <si>
    <t>DeniseMonton@gmail.com</t>
  </si>
  <si>
    <t>Standard Line Â“While You Were OutÂ” Hardbound Telephone Message Book</t>
  </si>
  <si>
    <t>SAFCO Mobile Desk Side File, Wire Frame</t>
  </si>
  <si>
    <t>CA-2014-166856</t>
  </si>
  <si>
    <t>United States,Clovis,New Mexico</t>
  </si>
  <si>
    <t>Kingston Digital DataTraveler 64GB USB 2.0</t>
  </si>
  <si>
    <t>US-2013-163258</t>
  </si>
  <si>
    <t>CA-2013-153598</t>
  </si>
  <si>
    <t>3M Polarizing Light Filter Sleeves</t>
  </si>
  <si>
    <t>CA-2013-113096</t>
  </si>
  <si>
    <t>Tenex File Box, Personal Filing Tote with Lid, Black</t>
  </si>
  <si>
    <t>CA-2014-129707</t>
  </si>
  <si>
    <t>LarryHughes@gmail.com</t>
  </si>
  <si>
    <t>CA-2012-160171</t>
  </si>
  <si>
    <t>NETGEAR N750 Dual Band Wi-Fi Gigabit Router</t>
  </si>
  <si>
    <t>CA-2014-155929</t>
  </si>
  <si>
    <t>Unpadded Memo Slips</t>
  </si>
  <si>
    <t>CA-2013-140613</t>
  </si>
  <si>
    <t>United States,Sparks,Nevada</t>
  </si>
  <si>
    <t>Fiskars 8" Scissors, 2/Pack</t>
  </si>
  <si>
    <t>CA-2014-130631</t>
  </si>
  <si>
    <t>Acco Glide Clips</t>
  </si>
  <si>
    <t>CA-2014-116680</t>
  </si>
  <si>
    <t>CA-2014-101574</t>
  </si>
  <si>
    <t>CA-2011-146591</t>
  </si>
  <si>
    <t>TOPS Carbonless Receipt Book, Four 2-3/4 x 7-1/4 Money Receipts per Page</t>
  </si>
  <si>
    <t>O'Sullivan 4-Shelf Bookcase in Odessa Pine</t>
  </si>
  <si>
    <t>CA-2013-122448</t>
  </si>
  <si>
    <t>DeanBraden@gmail.com</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</si>
  <si>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</si>
  <si>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</si>
  <si>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</si>
  <si>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</si>
  <si>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</si>
  <si>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</si>
  <si>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</si>
  <si>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</si>
  <si>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</si>
  <si>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</si>
  <si>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DuaneHuffman@gmail.com</t>
  </si>
  <si>
    <t>US-2013-162026</t>
  </si>
  <si>
    <t>Xerox 1925</t>
  </si>
  <si>
    <t>CA-2012-168529</t>
  </si>
  <si>
    <t>US-2011-137680</t>
  </si>
  <si>
    <t>JenniferHalladay@gmail.com</t>
  </si>
  <si>
    <t>Message Book, Wirebound, Four 5 1/2" X 4" Forms/Pg., 200 Dupl. Sets/Book</t>
  </si>
  <si>
    <t>TOPS 4 x 6 Fluorescent Color Memo Sheets, 500 Sheets per Pack</t>
  </si>
  <si>
    <t>CA-2013-110982</t>
  </si>
  <si>
    <t>ChlorisKastensmidt@gmail.com</t>
  </si>
  <si>
    <t>Acco 6 Outlet Guardian Premium Surge Suppressor</t>
  </si>
  <si>
    <t>CA-2013-147123</t>
  </si>
  <si>
    <t>CA-2014-154501</t>
  </si>
  <si>
    <t>ErinAshbrook@gmail.com</t>
  </si>
  <si>
    <t>Faber Castell Col-Erase Pencils</t>
  </si>
  <si>
    <t>CA-2014-166933</t>
  </si>
  <si>
    <t>United States,Santa Barbara,California</t>
  </si>
  <si>
    <t>Colored Push Pins</t>
  </si>
  <si>
    <t>CA-2013-134936</t>
  </si>
  <si>
    <t>SAFCO PlanMaster Boards, 60w x 37-1/2d, White Melamine</t>
  </si>
  <si>
    <t>CA-2014-151008</t>
  </si>
  <si>
    <t>United States,Draper,Utah</t>
  </si>
  <si>
    <t>Motorla HX550 Universal Bluetooth Headset</t>
  </si>
  <si>
    <t>CA-2011-159800</t>
  </si>
  <si>
    <t>US-2012-114741</t>
  </si>
  <si>
    <t>Xerox 20</t>
  </si>
  <si>
    <t>CA-2013-136686</t>
  </si>
  <si>
    <t>RoyFranzÃ¶sisch@gmail.com</t>
  </si>
  <si>
    <t>CA-2014-137498</t>
  </si>
  <si>
    <t>Newell 35</t>
  </si>
  <si>
    <t>CA-2011-116673</t>
  </si>
  <si>
    <t>Stackable Trays</t>
  </si>
  <si>
    <t>CA-2012-149993</t>
  </si>
  <si>
    <t>CA-2011-168158</t>
  </si>
  <si>
    <t>CA-2013-115224</t>
  </si>
  <si>
    <t>Fellowes High-Stak Drawer Files</t>
  </si>
  <si>
    <t>CA-2012-168634</t>
  </si>
  <si>
    <t>ArtFerguson@gmail.com</t>
  </si>
  <si>
    <t>CA-2012-101154</t>
  </si>
  <si>
    <t>CA-2013-121748</t>
  </si>
  <si>
    <t>LogitechÂ VX Revolution Cordless Laser Mouse for Notebooks (Black)</t>
  </si>
  <si>
    <t>CA-2011-126683</t>
  </si>
  <si>
    <t>PaulProst@gmail.com</t>
  </si>
  <si>
    <t>CA-2014-123022</t>
  </si>
  <si>
    <t>United States,La Mesa,California</t>
  </si>
  <si>
    <t>Kensington Expert Mouse Optical USB Trackball for PC or Mac</t>
  </si>
  <si>
    <t>CA-2014-120719</t>
  </si>
  <si>
    <t>CA-2014-168179</t>
  </si>
  <si>
    <t>JoyBell-@gmail.com</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</si>
  <si>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</si>
  <si>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</si>
  <si>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</si>
  <si>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</si>
  <si>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</si>
  <si>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</si>
  <si>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</si>
  <si>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</si>
  <si>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</si>
  <si>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</si>
  <si>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</si>
  <si>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</si>
  <si>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United States,Pocatello,Idaho</t>
  </si>
  <si>
    <t>Luxo Adjustable Task Clamp Lamp</t>
  </si>
  <si>
    <t>Dexim XPower Skin Super-Thin Power Case for iPhone 5 - Black</t>
  </si>
  <si>
    <t>CA-2013-146318</t>
  </si>
  <si>
    <t>CA-2011-135993</t>
  </si>
  <si>
    <t>PatrickJones@gmail.com</t>
  </si>
  <si>
    <t>I Need's 3d Hello Kitty Hybrid Silicone Case Cover for HTC One X 4g with 3d Hello Kitty Stylus Pen Green/pink</t>
  </si>
  <si>
    <t>CA-2012-131072</t>
  </si>
  <si>
    <t>CA-2013-126165</t>
  </si>
  <si>
    <t>AmyHunt@gmail.com</t>
  </si>
  <si>
    <t>CA-2014-148320</t>
  </si>
  <si>
    <t>CA-2012-138674</t>
  </si>
  <si>
    <t>CA-2013-165820</t>
  </si>
  <si>
    <t>DorothyWardle@gmail.com</t>
  </si>
  <si>
    <t>CA-2011-148614</t>
  </si>
  <si>
    <t>Eldon Expressions Desk Accessory, Wood Pencil Holder, Oak</t>
  </si>
  <si>
    <t>CA-2014-156139</t>
  </si>
  <si>
    <t>BeckyPak@gmail.com</t>
  </si>
  <si>
    <t>US-2014-147886</t>
  </si>
  <si>
    <t>DaveHallsten@gmail.com</t>
  </si>
  <si>
    <t>Xerox 1975</t>
  </si>
  <si>
    <t>DAX Black Cherry Wood-Tone Poster Frame</t>
  </si>
  <si>
    <t>CA-2013-125850</t>
  </si>
  <si>
    <t>Avery 475</t>
  </si>
  <si>
    <t>Avery 476</t>
  </si>
  <si>
    <t>US-2013-111528</t>
  </si>
  <si>
    <t>JuliePrescott@gmail.com</t>
  </si>
  <si>
    <t>CA-2014-158169</t>
  </si>
  <si>
    <t>United States,Lake Forest,California</t>
  </si>
  <si>
    <t>CA-2012-117772</t>
  </si>
  <si>
    <t>Belkin 19" Center-Weighted Shelf, Gray</t>
  </si>
  <si>
    <t>US-2011-126340</t>
  </si>
  <si>
    <t>United States,Redding,California</t>
  </si>
  <si>
    <t>Toshiba IPT2010-SD IPÂ Telephone</t>
  </si>
  <si>
    <t>CA-2012-103835</t>
  </si>
  <si>
    <t>CA-2013-142398</t>
  </si>
  <si>
    <t>BethPaige@gmail.com</t>
  </si>
  <si>
    <t>JM Magazine Binder</t>
  </si>
  <si>
    <t>CA-2013-112060</t>
  </si>
  <si>
    <t>Xerox 1915</t>
  </si>
  <si>
    <t>CA-2011-105270</t>
  </si>
  <si>
    <t>US-2012-159513</t>
  </si>
  <si>
    <t>JohnDryer@gmail.com</t>
  </si>
  <si>
    <t>Vtech AT&amp;T CL2940 Corded Speakerphone, Black</t>
  </si>
  <si>
    <t>CA-2012-155586</t>
  </si>
  <si>
    <t>United States,Chico,California</t>
  </si>
  <si>
    <t>Peel &amp; Seel Envelopes</t>
  </si>
  <si>
    <t>Black Print Carbonless Snap-Off Rapid Letter, 8 1/2" x 7"</t>
  </si>
  <si>
    <t>CA-2014-141117</t>
  </si>
  <si>
    <t>JulianaKrohn@gmail.com</t>
  </si>
  <si>
    <t>Acme Softgrip Scissors</t>
  </si>
  <si>
    <t>CA-2014-140186</t>
  </si>
  <si>
    <t>CA-2012-163440</t>
  </si>
  <si>
    <t>US-2012-163279</t>
  </si>
  <si>
    <t>JustinDeggeller@gmail.com</t>
  </si>
  <si>
    <t>Tenex B1-RE Series Chair Mats for Low Pile Carpets</t>
  </si>
  <si>
    <t>CA-2014-117632</t>
  </si>
  <si>
    <t>CharlesSheldon@gmail.com</t>
  </si>
  <si>
    <t>Compact Automatic Electric Letter Opener</t>
  </si>
  <si>
    <t>Hoover Commercial Soft Guard Upright Vacuum And Disposable Filtration Bags</t>
  </si>
  <si>
    <t>CA-2014-133207</t>
  </si>
  <si>
    <t>DougO'Connell@gmail.com</t>
  </si>
  <si>
    <t>Griffin GC17055 Auxiliary Audio Cable</t>
  </si>
  <si>
    <t>CA-2012-132948</t>
  </si>
  <si>
    <t>Rogers Profile Extra Capacity Storage Tub</t>
  </si>
  <si>
    <t>CA-2012-126725</t>
  </si>
  <si>
    <t>BrianStugart@gmail.com</t>
  </si>
  <si>
    <t>RCA ViSYS 25825 Wireless digital phone</t>
  </si>
  <si>
    <t>Carina Media Storage Towers in Natural &amp; Black</t>
  </si>
  <si>
    <t>DAX Contemporary Wood Frame with Silver Metal Mat, Desktop, 11 x 14 Size</t>
  </si>
  <si>
    <t>Xerox 203</t>
  </si>
  <si>
    <t>Office Star - Contemporary Swivel Chair with Padded Adjustable Arms and Flex Back</t>
  </si>
  <si>
    <t>US-2014-153255</t>
  </si>
  <si>
    <t>JoeKamberova@gmail.com</t>
  </si>
  <si>
    <t>Bush Heritage Pine Collection 5-Shelf Bookcase, Albany Pine Finish, *Special Order</t>
  </si>
  <si>
    <t>CA-2013-133935</t>
  </si>
  <si>
    <t>Xerox 1945</t>
  </si>
  <si>
    <t>CA-2013-136301</t>
  </si>
  <si>
    <t>Westinghouse Mesh Shade Clip-On Gooseneck Lamp, Black</t>
  </si>
  <si>
    <t>US-2011-109456</t>
  </si>
  <si>
    <t>LynnSmith@gmail.com</t>
  </si>
  <si>
    <t>Avery Non-Stick Heavy Duty View Round Locking Ring Binders</t>
  </si>
  <si>
    <t>CA-2014-100825</t>
  </si>
  <si>
    <t>KeithDawkins@gmail.com</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</si>
  <si>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</si>
  <si>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</si>
  <si>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</si>
  <si>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</si>
  <si>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</si>
  <si>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</si>
  <si>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</si>
  <si>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</si>
  <si>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</si>
  <si>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</si>
  <si>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SteveCarroll@gmail.com</t>
  </si>
  <si>
    <t>CA-2013-103107</t>
  </si>
  <si>
    <t>OtterBox Defender Series Case - Samsung Galaxy S4</t>
  </si>
  <si>
    <t>CA-2014-112431</t>
  </si>
  <si>
    <t>RobertWaldorf@gmail.com</t>
  </si>
  <si>
    <t>CA-2013-151092</t>
  </si>
  <si>
    <t>CA-2011-104178</t>
  </si>
  <si>
    <t>JanetMolinari@gmail.com</t>
  </si>
  <si>
    <t>Eldon 200 Class Desk Accessories, Smoke</t>
  </si>
  <si>
    <t>SanDisk Cruzer 32 GB USB Flash Drive</t>
  </si>
  <si>
    <t>Xerox 23</t>
  </si>
  <si>
    <t>Portable Personal File Box</t>
  </si>
  <si>
    <t>CA-2013-127138</t>
  </si>
  <si>
    <t>Euro-Pro Shark Turbo Vacuum</t>
  </si>
  <si>
    <t>Security-Tint Envelopes</t>
  </si>
  <si>
    <t>CA-2014-150602</t>
  </si>
  <si>
    <t>CA-2011-140732</t>
  </si>
  <si>
    <t>MattAbelman@gmail.com</t>
  </si>
  <si>
    <t>CA-2014-119011</t>
  </si>
  <si>
    <t>LisaRyan@gmail.com</t>
  </si>
  <si>
    <t>Acme Kleencut Forged Steel Scissors</t>
  </si>
  <si>
    <t>Companion Letter/Legal File, Black</t>
  </si>
  <si>
    <t>Plantronics Encore H101 Dual EarpiecesÂ Headset</t>
  </si>
  <si>
    <t>CA-2011-141726</t>
  </si>
  <si>
    <t>Xerox 189</t>
  </si>
  <si>
    <t>Xerox 1897</t>
  </si>
  <si>
    <t>Nu-Dell Leatherette Frames</t>
  </si>
  <si>
    <t>US-2014-163300</t>
  </si>
  <si>
    <t>US-2011-112991</t>
  </si>
  <si>
    <t>United States,Caldwell,Idaho</t>
  </si>
  <si>
    <t>CA-2011-124079</t>
  </si>
  <si>
    <t>RandyFerguson@gmail.com</t>
  </si>
  <si>
    <t>Electrix Incandescent Magnifying Lamp, Black</t>
  </si>
  <si>
    <t>CA-2014-107244</t>
  </si>
  <si>
    <t>AllenGoldenen@gmail.com</t>
  </si>
  <si>
    <t>CA-2012-135580</t>
  </si>
  <si>
    <t>Xerox 1929</t>
  </si>
  <si>
    <t>Cisco SPA 502G IP Phone</t>
  </si>
  <si>
    <t>CA-2013-159016</t>
  </si>
  <si>
    <t>Rediform Voice Mail Log Books</t>
  </si>
  <si>
    <t>CA-2011-102652</t>
  </si>
  <si>
    <t>Xerox 194</t>
  </si>
  <si>
    <t>CA-2014-136007</t>
  </si>
  <si>
    <t>AnnChong@gmail.com</t>
  </si>
  <si>
    <t>US-2013-112970</t>
  </si>
  <si>
    <t>CA-2012-130253</t>
  </si>
  <si>
    <t>Master Caster Door Stop, Gray</t>
  </si>
  <si>
    <t>CA-2014-122364</t>
  </si>
  <si>
    <t>Socket Bluetooth Cordless Hand Scanner (CHS)</t>
  </si>
  <si>
    <t>CA-2013-117912</t>
  </si>
  <si>
    <t>CA-2012-113215</t>
  </si>
  <si>
    <t>CathyPrescott@gmail.com</t>
  </si>
  <si>
    <t>CA-2012-111780</t>
  </si>
  <si>
    <t>Important Message Pads, 50 4-1/4 x 5-1/2 Forms per Pad</t>
  </si>
  <si>
    <t>CA-2014-166695</t>
  </si>
  <si>
    <t>G.E. Halogen Desk Lamp Bulbs</t>
  </si>
  <si>
    <t>Okidata B400 Printer</t>
  </si>
  <si>
    <t>CA-2014-121398</t>
  </si>
  <si>
    <t>Tennsco Stur-D-Stor Boltless Shelving, 5 Shelves, 24" Deep, Sand</t>
  </si>
  <si>
    <t>CA-2012-114048</t>
  </si>
  <si>
    <t>US-2014-162068</t>
  </si>
  <si>
    <t>CA-2013-133802</t>
  </si>
  <si>
    <t>United States,Redwood City,California</t>
  </si>
  <si>
    <t>CA-2014-143378</t>
  </si>
  <si>
    <t>JustinRitter@gmail.com</t>
  </si>
  <si>
    <t>Peel-Off China Markers</t>
  </si>
  <si>
    <t>CA-2014-145772</t>
  </si>
  <si>
    <t>SaphhiraShifley@gmail.com</t>
  </si>
  <si>
    <t>Xerox 1947</t>
  </si>
  <si>
    <t>US-2011-158400</t>
  </si>
  <si>
    <t>CA-2013-148096</t>
  </si>
  <si>
    <t>AnthonyO'Donnell@gmail.com</t>
  </si>
  <si>
    <t>Barricks 18" x 48" Non-Folding Utility Table with Bottom Storage Shelf</t>
  </si>
  <si>
    <t>CA-2013-146766</t>
  </si>
  <si>
    <t>CA-2011-131247</t>
  </si>
  <si>
    <t>US-2012-113593</t>
  </si>
  <si>
    <t>NathanCano@gmail.com</t>
  </si>
  <si>
    <t>United States,Santa Maria,California</t>
  </si>
  <si>
    <t>CA-2011-133543</t>
  </si>
  <si>
    <t>KhloeMiller@gmail.com</t>
  </si>
  <si>
    <t>CA-2014-105130</t>
  </si>
  <si>
    <t>CA-2013-161928</t>
  </si>
  <si>
    <t>AnnaChung@gmail.com</t>
  </si>
  <si>
    <t>CA-2014-101322</t>
  </si>
  <si>
    <t>JasonGross@gmail.com</t>
  </si>
  <si>
    <t>CA-2014-139437</t>
  </si>
  <si>
    <t>Rogers Deluxe File Chest</t>
  </si>
  <si>
    <t>CA-2012-132815</t>
  </si>
  <si>
    <t>CA-2013-143609</t>
  </si>
  <si>
    <t>CA-2014-107986</t>
  </si>
  <si>
    <t>MitchWebber@gmail.com</t>
  </si>
  <si>
    <t>CA-2014-119809</t>
  </si>
  <si>
    <t>YanaSorensen@gmail.com</t>
  </si>
  <si>
    <t>CA-2014-149944</t>
  </si>
  <si>
    <t>United States,Longview,Washington</t>
  </si>
  <si>
    <t>CA-2011-128538</t>
  </si>
  <si>
    <t>US-2014-157224</t>
  </si>
  <si>
    <t>Avery 48</t>
  </si>
  <si>
    <t>CA-2012-133445</t>
  </si>
  <si>
    <t>Bush Cubix Collection Bookcases, Fully Assembled</t>
  </si>
  <si>
    <t>Global Highback Leather Tilter in Burgundy</t>
  </si>
  <si>
    <t>US-2014-142188</t>
  </si>
  <si>
    <t>JenniferFerguson@gmail.com</t>
  </si>
  <si>
    <t>Office Star - Contemporary Task Swivel Chair</t>
  </si>
  <si>
    <t>iOttie XL Car Mount</t>
  </si>
  <si>
    <t>CA-2012-134075</t>
  </si>
  <si>
    <t>Eldon Cleatmat Chair Mats for Medium Pile Carpets</t>
  </si>
  <si>
    <t>Standard Rollaway File with Lock</t>
  </si>
  <si>
    <t>US-2013-131912</t>
  </si>
  <si>
    <t>XtraLife ClearVue Slant-D Ring Binder, White, 3"</t>
  </si>
  <si>
    <t>CA-2013-165561</t>
  </si>
  <si>
    <t>ClayRozendal@gmail.com</t>
  </si>
  <si>
    <t>CA-2012-112305</t>
  </si>
  <si>
    <t>AmazonBasics 3-Button USB Wired Mouse</t>
  </si>
  <si>
    <t>CA-2012-162607</t>
  </si>
  <si>
    <t>RoseO'Brian@gmail.com</t>
  </si>
  <si>
    <t>CA-2014-102379</t>
  </si>
  <si>
    <t>BrendaBowman@gmail.com</t>
  </si>
  <si>
    <t>Anker Astro 15000mAh USB Portable Charger</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</si>
  <si>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</si>
  <si>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</si>
  <si>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</si>
  <si>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</si>
  <si>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</si>
  <si>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</si>
  <si>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</si>
  <si>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</si>
  <si>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Hon 2111 Invitation Series Corner Table</t>
  </si>
  <si>
    <t>US-2012-139675</t>
  </si>
  <si>
    <t>CA-2012-151253</t>
  </si>
  <si>
    <t>AnnieZypern@gmail.com</t>
  </si>
  <si>
    <t>Boston 1730 StandUp Electric Pencil Sharpener</t>
  </si>
  <si>
    <t>CA-2011-169852</t>
  </si>
  <si>
    <t>SylviaFoulston@gmail.com</t>
  </si>
  <si>
    <t>Plastic Binding Combs</t>
  </si>
  <si>
    <t>CA-2014-107314</t>
  </si>
  <si>
    <t>Contemporary Borderless Frame</t>
  </si>
  <si>
    <t>CA-2013-163328</t>
  </si>
  <si>
    <t>United States,Eugene,Oregon</t>
  </si>
  <si>
    <t>Office Star - Contemporary Task Swivel chair with Loop Arms, Charcoal</t>
  </si>
  <si>
    <t>Southworth 25% Cotton Premium Laser Paper and Envelopes</t>
  </si>
  <si>
    <t>CA-2011-112837</t>
  </si>
  <si>
    <t>LizWillingham@gmail.com</t>
  </si>
  <si>
    <t>United States,Oxnard,California</t>
  </si>
  <si>
    <t>CA-2014-161459</t>
  </si>
  <si>
    <t>CA-2012-110289</t>
  </si>
  <si>
    <t>NonaBalk@gmail.com</t>
  </si>
  <si>
    <t>CA-2013-165995</t>
  </si>
  <si>
    <t>Panasonic KX TS3282W Corded phone</t>
  </si>
  <si>
    <t>CA-2012-104486</t>
  </si>
  <si>
    <t>PatrickO'Brill@gmail.com</t>
  </si>
  <si>
    <t>GBC Twin Loop Wire Binding Elements, 9/16" Spine, Black</t>
  </si>
  <si>
    <t>Acme 10" Easy Grip Assistive Scissors</t>
  </si>
  <si>
    <t>CA-2014-139080</t>
  </si>
  <si>
    <t>Pressboard Hanging Data Binders for Unburst Sheets</t>
  </si>
  <si>
    <t>Xerox 212</t>
  </si>
  <si>
    <t>CA-2012-115693</t>
  </si>
  <si>
    <t>FrankCarlisle@gmail.com</t>
  </si>
  <si>
    <t>US-2011-107993</t>
  </si>
  <si>
    <t>CA-2014-110443</t>
  </si>
  <si>
    <t>United States,Renton,Washington</t>
  </si>
  <si>
    <t>Xerox 209</t>
  </si>
  <si>
    <t>US-2014-147998</t>
  </si>
  <si>
    <t>US-2013-116442</t>
  </si>
  <si>
    <t>US-2011-163797</t>
  </si>
  <si>
    <t>Alliance Super-Size Bands, Assorted Sizes</t>
  </si>
  <si>
    <t>CA-2014-154074</t>
  </si>
  <si>
    <t>BartWatters@gmail.com</t>
  </si>
  <si>
    <t>CA-2014-144750</t>
  </si>
  <si>
    <t>Xerox 1941</t>
  </si>
  <si>
    <t>CA-2011-159121</t>
  </si>
  <si>
    <t>Memorex Micro Travel Drive 16 GB</t>
  </si>
  <si>
    <t>CA-2012-149650</t>
  </si>
  <si>
    <t>RobertDilbeck@gmail.com</t>
  </si>
  <si>
    <t>US-2014-116897</t>
  </si>
  <si>
    <t>Fellowes Stor/Drawer Steel Plus Storage Drawers</t>
  </si>
  <si>
    <t>Nokia Lumia 925</t>
  </si>
  <si>
    <t>CA-2014-161102</t>
  </si>
  <si>
    <t>ErinCreighton@gmail.com</t>
  </si>
  <si>
    <t>CA-2014-153080</t>
  </si>
  <si>
    <t>Maxell 74 Minute CDR, 10/Pack</t>
  </si>
  <si>
    <t>CA-2014-167640</t>
  </si>
  <si>
    <t>Fluorescent Highlighters by Dixon</t>
  </si>
  <si>
    <t>Avery 49</t>
  </si>
  <si>
    <t>US-2014-116652</t>
  </si>
  <si>
    <t>Belkin 5 Outlet SurgeMaster Power Centers</t>
  </si>
  <si>
    <t>US-2014-107888</t>
  </si>
  <si>
    <t>CA-2014-161578</t>
  </si>
  <si>
    <t>CA-2013-160941</t>
  </si>
  <si>
    <t>Ames Color-File Green Diamond Border X-ray Mailers</t>
  </si>
  <si>
    <t>CA-2013-161543</t>
  </si>
  <si>
    <t>RogerDemir@gmail.com</t>
  </si>
  <si>
    <t>Xerox 1965</t>
  </si>
  <si>
    <t>CA-2014-123085</t>
  </si>
  <si>
    <t>CA-2013-169887</t>
  </si>
  <si>
    <t>Linden 12" Wall Clock With Oak Frame</t>
  </si>
  <si>
    <t>CA-2013-148516</t>
  </si>
  <si>
    <t>CA-2012-103716</t>
  </si>
  <si>
    <t>CA-2014-146346</t>
  </si>
  <si>
    <t>United States,Commerce City,Colorado</t>
  </si>
  <si>
    <t>CA-2013-148852</t>
  </si>
  <si>
    <t>Xerox 1946</t>
  </si>
  <si>
    <t>Cisco SPA508G</t>
  </si>
  <si>
    <t>Fellowes Powershred HS-440 4-Sheet High Security Shredder</t>
  </si>
  <si>
    <t>CA-2013-168921</t>
  </si>
  <si>
    <t>CA-2013-123512</t>
  </si>
  <si>
    <t>MikeVittorini@gmail.com</t>
  </si>
  <si>
    <t>Avery 496</t>
  </si>
  <si>
    <t>Xerox 1914</t>
  </si>
  <si>
    <t>CA-2011-130449</t>
  </si>
  <si>
    <t>VictoriaPisteka@gmail.com</t>
  </si>
  <si>
    <t>Avery 516</t>
  </si>
  <si>
    <t>CA-2011-138513</t>
  </si>
  <si>
    <t>Xerox 1999</t>
  </si>
  <si>
    <t>CA-2013-166275</t>
  </si>
  <si>
    <t>Razer Tiamat Over Ear 7.1 Surround Sound PC Gaming Headset</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</si>
  <si>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</si>
  <si>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</si>
  <si>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</si>
  <si>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</si>
  <si>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</si>
  <si>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</si>
  <si>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</si>
  <si>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</si>
  <si>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</si>
  <si>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SeanBraxton@gmail.com</t>
  </si>
  <si>
    <t>CA-2011-150329</t>
  </si>
  <si>
    <t>ShirleyDaniels@gmail.com</t>
  </si>
  <si>
    <t>CA-2011-109134</t>
  </si>
  <si>
    <t>CA-2014-140494</t>
  </si>
  <si>
    <t>CA-2014-145429</t>
  </si>
  <si>
    <t>Wirebound Message Forms, Four 2 3/4 x 5 Forms per Page, Pink Paper</t>
  </si>
  <si>
    <t>CA-2012-139164</t>
  </si>
  <si>
    <t>Plantronics CS 50-USB -Â headsetÂ - Convertible, Monaural</t>
  </si>
  <si>
    <t>Assorted Color Push Pins</t>
  </si>
  <si>
    <t>JBL Micro Wireless Portable Bluetooth Speaker</t>
  </si>
  <si>
    <t>CA-2012-123141</t>
  </si>
  <si>
    <t>United States,Rio Rancho,New Mexico</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</si>
  <si>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</si>
  <si>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</si>
  <si>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</si>
  <si>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</si>
  <si>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</si>
  <si>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</si>
  <si>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</si>
  <si>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</si>
  <si>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</si>
  <si>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</si>
  <si>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</si>
  <si>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BrianThompson@gmail.com</t>
  </si>
  <si>
    <t>US-2014-101784</t>
  </si>
  <si>
    <t>CA-2014-139402</t>
  </si>
  <si>
    <t>Acco Recycled 2" Capacity Laser Printer Hanging Data Binders</t>
  </si>
  <si>
    <t>CA-2013-119018</t>
  </si>
  <si>
    <t>Acco Economy Flexible Poly Round Ring Binder</t>
  </si>
  <si>
    <t>Xerox 229</t>
  </si>
  <si>
    <t>CA-2013-124527</t>
  </si>
  <si>
    <t>IoniaMcGrath@gmail.com</t>
  </si>
  <si>
    <t>CA-2013-162348</t>
  </si>
  <si>
    <t>CA-2013-109827</t>
  </si>
  <si>
    <t>Panasonic KX MC6040 Color Laser Multifunction Printer</t>
  </si>
  <si>
    <t>Hypercom P1300 Pinpad</t>
  </si>
  <si>
    <t>Global Stack Chair with Arms, Black</t>
  </si>
  <si>
    <t>CA-2011-152233</t>
  </si>
  <si>
    <t>CA-2014-162880</t>
  </si>
  <si>
    <t>GiuliettaDortch@gmail.com</t>
  </si>
  <si>
    <t>United States,Everett,Washington</t>
  </si>
  <si>
    <t>CA-2011-144414</t>
  </si>
  <si>
    <t>US-2014-115609</t>
  </si>
  <si>
    <t>CA-2013-153101</t>
  </si>
  <si>
    <t>Lesro Round Back Collection Coffee Table, End Table</t>
  </si>
  <si>
    <t>CA-2013-142615</t>
  </si>
  <si>
    <t>BrendanMurry@gmail.com</t>
  </si>
  <si>
    <t>United States,Montebello,California</t>
  </si>
  <si>
    <t>Sony Micro Vault Click 4 GB USB 2.0 Flash Drive</t>
  </si>
  <si>
    <t>CA-2014-142643</t>
  </si>
  <si>
    <t>Executive Impressions 14" Two-Color Numerals Wall Clock</t>
  </si>
  <si>
    <t>CA-2014-107517</t>
  </si>
  <si>
    <t>CA-2011-147543</t>
  </si>
  <si>
    <t>United States,El Cajon,California</t>
  </si>
  <si>
    <t>US-2013-159093</t>
  </si>
  <si>
    <t>RicardoSperren@gmail.com</t>
  </si>
  <si>
    <t>TOPS Money Receipt Book, Consecutively Numbered in Red,</t>
  </si>
  <si>
    <t>CA-2013-162110</t>
  </si>
  <si>
    <t>NoraPaige@gmail.com</t>
  </si>
  <si>
    <t>CA-2011-101462</t>
  </si>
  <si>
    <t>GE 4 Foot Flourescent Tube, 40 Watt</t>
  </si>
  <si>
    <t>CA-2014-128965</t>
  </si>
  <si>
    <t>Rediform S.O.S. 1-Up Phone Message Bk, 4-1/4x3-1/16 Bk, 1 Form/Pg, 40 Messages/Bk, 3/Pk</t>
  </si>
  <si>
    <t>Global Wood Trimmed Manager's Task Chair, Khaki</t>
  </si>
  <si>
    <t>US-2013-126452</t>
  </si>
  <si>
    <t>ScotCoram@gmail.com</t>
  </si>
  <si>
    <t>LogitechÂ Gaming G510s - Keyboard</t>
  </si>
  <si>
    <t>Anker Astro Mini 3000mAh Ultra-Compact Portable Charger</t>
  </si>
  <si>
    <t>Xerox 1997</t>
  </si>
  <si>
    <t>CA-2012-162544</t>
  </si>
  <si>
    <t>Xerox 190</t>
  </si>
  <si>
    <t>CA-2012-137113</t>
  </si>
  <si>
    <t>Xerox 219</t>
  </si>
  <si>
    <t>CA-2014-120222</t>
  </si>
  <si>
    <t>Telephone Message Books with Fax/Mobile Section, 5 1/2" x 3 3/16"</t>
  </si>
  <si>
    <t>Surelock Post Binders</t>
  </si>
  <si>
    <t>US-2014-149006</t>
  </si>
  <si>
    <t>BradNorvell@gmail.com</t>
  </si>
  <si>
    <t>US-2014-115301</t>
  </si>
  <si>
    <t>Bush Westfield Collection Bookcases, Medium Cherry Finish</t>
  </si>
  <si>
    <t>CA-2014-168942</t>
  </si>
  <si>
    <t>EricMurdock@gmail.com</t>
  </si>
  <si>
    <t>US-2014-128398</t>
  </si>
  <si>
    <t>ElizabethMoffitt@gmail.com</t>
  </si>
  <si>
    <t>LogitechÂ MX Performance Wireless Mouse</t>
  </si>
  <si>
    <t>CA-2013-105473</t>
  </si>
  <si>
    <t>BryanMills@gmail.com</t>
  </si>
  <si>
    <t>CA-2014-121706</t>
  </si>
  <si>
    <t>BeckyMartin@gmail.com</t>
  </si>
  <si>
    <t>CA-2013-140046</t>
  </si>
  <si>
    <t>Avery 495</t>
  </si>
  <si>
    <t>CA-2013-140382</t>
  </si>
  <si>
    <t>Xerox 1884</t>
  </si>
  <si>
    <t>CA-2013-125094</t>
  </si>
  <si>
    <t>Cherry 142-key Programmable Keyboard</t>
  </si>
  <si>
    <t>CA-2012-126466</t>
  </si>
  <si>
    <t>CA-2012-129917</t>
  </si>
  <si>
    <t>HenryMacAllister@gmail.com</t>
  </si>
  <si>
    <t>HTC One Mini</t>
  </si>
  <si>
    <t>CA-2012-115420</t>
  </si>
  <si>
    <t>Laser &amp; Ink Jet Business Envelopes</t>
  </si>
  <si>
    <t>CA-2012-167255</t>
  </si>
  <si>
    <t>Xerox 1916</t>
  </si>
  <si>
    <t>CA-2014-162096</t>
  </si>
  <si>
    <t>ThomasBrumley@gmail.com</t>
  </si>
  <si>
    <t>12 Colored Short Pencils</t>
  </si>
  <si>
    <t>CA-2013-163937</t>
  </si>
  <si>
    <t>CA-2014-153822</t>
  </si>
  <si>
    <t>Polycom VoiceStation 500 ConferenceÂ phone</t>
  </si>
  <si>
    <t>CA-2012-112144</t>
  </si>
  <si>
    <t>CA-2014-149076</t>
  </si>
  <si>
    <t>SeanO'Donnell@gmail.com</t>
  </si>
  <si>
    <t>CA-2012-166800</t>
  </si>
  <si>
    <t>US-2013-134369</t>
  </si>
  <si>
    <t>CA-2011-133158</t>
  </si>
  <si>
    <t>CA-2014-141201</t>
  </si>
  <si>
    <t>DanielByrd@gmail.com</t>
  </si>
  <si>
    <t>CA-2011-124737</t>
  </si>
  <si>
    <t>Xerox 1976</t>
  </si>
  <si>
    <t>Acme Titanium Bonded Scissors</t>
  </si>
  <si>
    <t>CA-2011-150581</t>
  </si>
  <si>
    <t>NathanMautz@gmail.com</t>
  </si>
  <si>
    <t>CA-2011-141355</t>
  </si>
  <si>
    <t>CA-2013-165330</t>
  </si>
  <si>
    <t>Recycled Easel Ring Binders</t>
  </si>
  <si>
    <t>Black Avery Memo-Size 3-Ring Binder, 5 1/2" x 8 1/2"</t>
  </si>
  <si>
    <t>CA-2012-132633</t>
  </si>
  <si>
    <t>CA-2013-157742</t>
  </si>
  <si>
    <t>CA-2014-127712</t>
  </si>
  <si>
    <t>CA-2013-147473</t>
  </si>
  <si>
    <t>CA-2011-141901</t>
  </si>
  <si>
    <t>CA-2013-167416</t>
  </si>
  <si>
    <t>CA-2014-118724</t>
  </si>
  <si>
    <t>US-2014-143175</t>
  </si>
  <si>
    <t>CA-2012-105844</t>
  </si>
  <si>
    <t>CA-2014-118864</t>
  </si>
  <si>
    <t>Panasonic KX T7736-B Digital phone</t>
  </si>
  <si>
    <t>CA-2011-159625</t>
  </si>
  <si>
    <t>SallyMatthias@gmail.com</t>
  </si>
  <si>
    <t>CA-2014-147410</t>
  </si>
  <si>
    <t>24 Capacity Maxi Data Binder Racks, Pearl</t>
  </si>
  <si>
    <t>US-2013-102239</t>
  </si>
  <si>
    <t>Avery Poly Binder Pockets</t>
  </si>
  <si>
    <t>CA-2011-143168</t>
  </si>
  <si>
    <t>CA-2014-118122</t>
  </si>
  <si>
    <t>CA-2014-166926</t>
  </si>
  <si>
    <t>CA-2014-142909</t>
  </si>
  <si>
    <t>CA-2013-131380</t>
  </si>
  <si>
    <t>Xerox 1983</t>
  </si>
  <si>
    <t>CA-2011-117464</t>
  </si>
  <si>
    <t>Eldon Mobile Mega Data Cart  Mega Stackable  Add-On Trays</t>
  </si>
  <si>
    <t>CA-2014-125381</t>
  </si>
  <si>
    <t>SperosGoranitis@gmail.com</t>
  </si>
  <si>
    <t>CA-2014-150609</t>
  </si>
  <si>
    <t>CA-2013-164399</t>
  </si>
  <si>
    <t>CA-2013-147683</t>
  </si>
  <si>
    <t>DAX Solid Wood Frames</t>
  </si>
  <si>
    <t>CA-2011-116785</t>
  </si>
  <si>
    <t>MarcHarrigan@gmail.com</t>
  </si>
  <si>
    <t>CA-2014-137414</t>
  </si>
  <si>
    <t>ChadMcGuire@gmail.com</t>
  </si>
  <si>
    <t>Ricoh - Ink Collector Unit for GX3000 Series Printers</t>
  </si>
  <si>
    <t>CA-2013-143476</t>
  </si>
  <si>
    <t>US-2013-119046</t>
  </si>
  <si>
    <t>CA-2014-154949</t>
  </si>
  <si>
    <t>United States,Camarillo,California</t>
  </si>
  <si>
    <t>CA-2012-150770</t>
  </si>
  <si>
    <t>Ibico Recycled Linen-Style Covers</t>
  </si>
  <si>
    <t>CA-2013-109953</t>
  </si>
  <si>
    <t>RaymondBuch@gmail.com</t>
  </si>
  <si>
    <t>CA-2011-157546</t>
  </si>
  <si>
    <t>CA-2011-138737</t>
  </si>
  <si>
    <t>CA-2013-101651</t>
  </si>
  <si>
    <t>SeanChristensen@gmail.com</t>
  </si>
  <si>
    <t>CA-2014-136651</t>
  </si>
  <si>
    <t>Eldon 500 Class Desk Accessories</t>
  </si>
  <si>
    <t>US-2014-151127</t>
  </si>
  <si>
    <t>RobLucas@gmail.com</t>
  </si>
  <si>
    <t>CA-2014-145807</t>
  </si>
  <si>
    <t>SarahBern@gmail.com</t>
  </si>
  <si>
    <t>CA-2012-158491</t>
  </si>
  <si>
    <t>Logitech Wireless Anywhere Mouse MX for PC and Mac</t>
  </si>
  <si>
    <t>CA-2014-137001</t>
  </si>
  <si>
    <t>GeorgeZrebassa@gmail.com</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</si>
  <si>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</si>
  <si>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</si>
  <si>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</si>
  <si>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</si>
  <si>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</si>
  <si>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</si>
  <si>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</si>
  <si>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CA-2014-151183</t>
  </si>
  <si>
    <t>Verbatim 25 GB 6x Blu-ray Single Layer Recordable Disc, 10/Pack</t>
  </si>
  <si>
    <t>CA-2013-153661</t>
  </si>
  <si>
    <t>CA-2013-113656</t>
  </si>
  <si>
    <t>ChristyBrittain@gmail.com</t>
  </si>
  <si>
    <t>DAX Cubicle Frames, 8-1/2 x 11</t>
  </si>
  <si>
    <t>CA-2012-148964</t>
  </si>
  <si>
    <t>DAX Metal Frame, Desktop, Stepped-Edge</t>
  </si>
  <si>
    <t>CA-2013-144092</t>
  </si>
  <si>
    <t>CA-2014-158120</t>
  </si>
  <si>
    <t>KatharineHarms@gmail.com</t>
  </si>
  <si>
    <t>United States,Hillsboro,Oregon</t>
  </si>
  <si>
    <t>US-2014-128447</t>
  </si>
  <si>
    <t>Eureka The Boss Lite 10-Amp Upright Vacuum, Blue</t>
  </si>
  <si>
    <t>US-2011-131275</t>
  </si>
  <si>
    <t>United States,Burbank,California</t>
  </si>
  <si>
    <t>CA-2014-165155</t>
  </si>
  <si>
    <t>Tenex Personal Filing Tote With Secure Closure Lid, Black/Frost</t>
  </si>
  <si>
    <t>CA-2014-141138</t>
  </si>
  <si>
    <t>United States,Modesto,California</t>
  </si>
  <si>
    <t>Memorex Mini Travel Drive 16 GB USB 2.0 Flash Drive</t>
  </si>
  <si>
    <t>CA-2014-154102</t>
  </si>
  <si>
    <t>CA-2013-114748</t>
  </si>
  <si>
    <t>Tenex 46" x 60" Computer Anti-Static Chairmat, Rectangular Shaped</t>
  </si>
  <si>
    <t>CA-2013-163594</t>
  </si>
  <si>
    <t>Xerox 206</t>
  </si>
  <si>
    <t>US-2014-123862</t>
  </si>
  <si>
    <t>Acme Galleria Hot Forged Steel Scissors with Colored Handles</t>
  </si>
  <si>
    <t>CA-2014-100580</t>
  </si>
  <si>
    <t>CA-2011-132787</t>
  </si>
  <si>
    <t>CA-2014-147844</t>
  </si>
  <si>
    <t>DorothyDickinson@gmail.com</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</si>
  <si>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</si>
  <si>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</si>
  <si>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</si>
  <si>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</si>
  <si>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</si>
  <si>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</si>
  <si>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</si>
  <si>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</si>
  <si>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</si>
  <si>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</si>
  <si>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</si>
  <si>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</si>
  <si>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</si>
  <si>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JanetLee@gmail.com</t>
  </si>
  <si>
    <t>Hon 2111 Invitation Series Straight Table</t>
  </si>
  <si>
    <t>CA-2012-120446</t>
  </si>
  <si>
    <t>US-2012-136987</t>
  </si>
  <si>
    <t>CA-2013-103709</t>
  </si>
  <si>
    <t>Eberhard Faber 3 1/2" Golf Pencils</t>
  </si>
  <si>
    <t>Xerox 1900</t>
  </si>
  <si>
    <t>CA-2013-138282</t>
  </si>
  <si>
    <t>CA-2014-148985</t>
  </si>
  <si>
    <t>CA-2013-124583</t>
  </si>
  <si>
    <t>LaurelBeltran@gmail.com</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</si>
  <si>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</si>
  <si>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</si>
  <si>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</si>
  <si>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</si>
  <si>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</si>
  <si>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</si>
  <si>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</si>
  <si>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</si>
  <si>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</si>
  <si>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</si>
  <si>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</si>
  <si>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ShahidHopkins@gmail.com</t>
  </si>
  <si>
    <t>AT&amp;T CL82213</t>
  </si>
  <si>
    <t>Adjustable Depth Letter/Legal Cart</t>
  </si>
  <si>
    <t>CA-2011-125731</t>
  </si>
  <si>
    <t>US-2014-106145</t>
  </si>
  <si>
    <t>CA-2013-107146</t>
  </si>
  <si>
    <t>United States,Longmont,Colorado</t>
  </si>
  <si>
    <t>Rubbermaid ClusterMat Chairmats, Mat Size- 66" x 60", Lip 20" x 11" -90 Degree Angle</t>
  </si>
  <si>
    <t>Global Manager's Adjustable Task Chair, Storm</t>
  </si>
  <si>
    <t>US-2014-160143</t>
  </si>
  <si>
    <t>CA-2013-106460</t>
  </si>
  <si>
    <t>US-2014-112347</t>
  </si>
  <si>
    <t>Hon 4-Shelf Metal Bookcases</t>
  </si>
  <si>
    <t>CA-2014-157672</t>
  </si>
  <si>
    <t>US-2013-166660</t>
  </si>
  <si>
    <t>CA-2011-133830</t>
  </si>
  <si>
    <t>CA-2012-129532</t>
  </si>
  <si>
    <t>CA-2011-134726</t>
  </si>
  <si>
    <t>StevenWard@gmail.com</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</si>
  <si>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</si>
  <si>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</si>
  <si>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</si>
  <si>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</si>
  <si>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</si>
  <si>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</si>
  <si>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</si>
  <si>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</si>
  <si>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</si>
  <si>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</si>
  <si>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Chromcraft Rectangular Conference Tables</t>
  </si>
  <si>
    <t>US-2011-144078</t>
  </si>
  <si>
    <t>US-2012-159499</t>
  </si>
  <si>
    <t>Belkin Standard 104 key USB Keyboard</t>
  </si>
  <si>
    <t>Avery 506</t>
  </si>
  <si>
    <t>US-2013-157490</t>
  </si>
  <si>
    <t>Memorex 25GB 6X Branded Blu-Ray Recordable Disc, 15/Pack</t>
  </si>
  <si>
    <t>CA-2013-138968</t>
  </si>
  <si>
    <t>Avery Round Ring Poly Binders</t>
  </si>
  <si>
    <t>CA-2012-107685</t>
  </si>
  <si>
    <t>US-2011-120740</t>
  </si>
  <si>
    <t>PaulStevenson@gmail.com</t>
  </si>
  <si>
    <t>US-2014-141509</t>
  </si>
  <si>
    <t>SoniaCooley@gmail.com</t>
  </si>
  <si>
    <t>CA-2014-133487</t>
  </si>
  <si>
    <t>TrudySchmidt@gmail.com</t>
  </si>
  <si>
    <t>Eureka The Boss Cordless Rechargeable Stick Vac</t>
  </si>
  <si>
    <t>CA-2011-102330</t>
  </si>
  <si>
    <t>CA-2013-118899</t>
  </si>
  <si>
    <t>CA-2014-100237</t>
  </si>
  <si>
    <t>StuartVan@gmail.com</t>
  </si>
  <si>
    <t>Avery Hi-Liter Smear-Safe Highlighters</t>
  </si>
  <si>
    <t>US-2012-142811</t>
  </si>
  <si>
    <t>CA-2011-150203</t>
  </si>
  <si>
    <t>JoniBlumstein@gmail.com</t>
  </si>
  <si>
    <t>CA-2012-149636</t>
  </si>
  <si>
    <t>It's Hot Message Books with Stickers, 2 3/4" x 5"</t>
  </si>
  <si>
    <t>US-2014-146213</t>
  </si>
  <si>
    <t>US-2014-138086</t>
  </si>
  <si>
    <t>Hoover Commercial SteamVac</t>
  </si>
  <si>
    <t>CA-2014-104850</t>
  </si>
  <si>
    <t>CA-2014-134418</t>
  </si>
  <si>
    <t>US-2013-106313</t>
  </si>
  <si>
    <t>DeirdreGreer@gmail.com</t>
  </si>
  <si>
    <t>CA-2011-154781</t>
  </si>
  <si>
    <t>CA-2012-147816</t>
  </si>
  <si>
    <t>CarlosMeador@gmail.com</t>
  </si>
  <si>
    <t>CA-2014-105326</t>
  </si>
  <si>
    <t>CA-2014-156391</t>
  </si>
  <si>
    <t>SaraLuxemburg@gmail.com</t>
  </si>
  <si>
    <t>CA-2012-169299</t>
  </si>
  <si>
    <t>CA-2013-155978</t>
  </si>
  <si>
    <t>CA-2013-152800</t>
  </si>
  <si>
    <t>CA-2011-166961</t>
  </si>
  <si>
    <t>CA-2012-127481</t>
  </si>
  <si>
    <t>CA-2011-143637</t>
  </si>
  <si>
    <t>US-2014-109316</t>
  </si>
  <si>
    <t>MaureenGastineau@gmail.com</t>
  </si>
  <si>
    <t>Shocksock Galaxy S4 Armband</t>
  </si>
  <si>
    <t>CA-2013-138478</t>
  </si>
  <si>
    <t>Panasonic KP-150 Electric Pencil Sharpener</t>
  </si>
  <si>
    <t>Xerox 193</t>
  </si>
  <si>
    <t>CA-2014-150469</t>
  </si>
  <si>
    <t>CA-2011-125150</t>
  </si>
  <si>
    <t>PaulineWebber@gmail.com</t>
  </si>
  <si>
    <t>CA-2012-137302</t>
  </si>
  <si>
    <t>CA-2012-106257</t>
  </si>
  <si>
    <t>Polycom CX600 IP Phone VoIP phone</t>
  </si>
  <si>
    <t>CA-2012-149083</t>
  </si>
  <si>
    <t>Permanent Self-Adhesive File Folder Labels for Typewriters, 1 1/8 x 3 1/2, White</t>
  </si>
  <si>
    <t>Logitech G602 Wireless Gaming Mouse</t>
  </si>
  <si>
    <t>CA-2012-144890</t>
  </si>
  <si>
    <t>SeanMiller@gmail.com</t>
  </si>
  <si>
    <t>Xerox 1949</t>
  </si>
  <si>
    <t>CA-2012-142993</t>
  </si>
  <si>
    <t>Contico 72"H Heavy-Duty Storage System</t>
  </si>
  <si>
    <t>CA-2012-143364</t>
  </si>
  <si>
    <t>Xerox 1899</t>
  </si>
  <si>
    <t>Hon Metal Bookcases, Black</t>
  </si>
  <si>
    <t>CA-2011-100972</t>
  </si>
  <si>
    <t>DennisBolton@gmail.com</t>
  </si>
  <si>
    <t>CA-2013-136994</t>
  </si>
  <si>
    <t>CA-2013-101672</t>
  </si>
  <si>
    <t>CA-2014-168403</t>
  </si>
  <si>
    <t>Belkin 7-Outlet SurgeMaster Home Series</t>
  </si>
  <si>
    <t>CA-2014-118017</t>
  </si>
  <si>
    <t>DAX Two-Tone Silver Metal Document Frame</t>
  </si>
  <si>
    <t>CA-2013-113117</t>
  </si>
  <si>
    <t>United States,Davis,California</t>
  </si>
  <si>
    <t>CA-2013-149762</t>
  </si>
  <si>
    <t>United States,Morgan Hill,California</t>
  </si>
  <si>
    <t>Rogers Handheld Barrel Pencil Sharpener</t>
  </si>
  <si>
    <t>Acco Perma 4000 Stacking Storage Drawers</t>
  </si>
  <si>
    <t>CA-2012-152513</t>
  </si>
  <si>
    <t>US-2013-168095</t>
  </si>
  <si>
    <t>MarkCousins@gmail.com</t>
  </si>
  <si>
    <t>CA-2014-166093</t>
  </si>
  <si>
    <t>CA-2013-146325</t>
  </si>
  <si>
    <t>CA-2014-131807</t>
  </si>
  <si>
    <t>DAX Clear Channel Poster Frame</t>
  </si>
  <si>
    <t>CA-2012-138219</t>
  </si>
  <si>
    <t>CA-2013-157707</t>
  </si>
  <si>
    <t>CoreyCatlett@gmail.com</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</si>
  <si>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</si>
  <si>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</si>
  <si>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</si>
  <si>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</si>
  <si>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</si>
  <si>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</si>
  <si>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</si>
  <si>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</si>
  <si>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</si>
  <si>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</si>
  <si>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BillShonely@gmail.com</t>
  </si>
  <si>
    <t>CA-2012-110870</t>
  </si>
  <si>
    <t>KarenDaniels@gmail.com</t>
  </si>
  <si>
    <t>CA-2013-139808</t>
  </si>
  <si>
    <t>US-2012-136427</t>
  </si>
  <si>
    <t>CA-2014-114804</t>
  </si>
  <si>
    <t>CA-2014-109393</t>
  </si>
  <si>
    <t>JohnCastell@gmail.com</t>
  </si>
  <si>
    <t>CA-2014-121489</t>
  </si>
  <si>
    <t>Padded Folding Chairs, Black, 4/Carton</t>
  </si>
  <si>
    <t>CA-2014-165008</t>
  </si>
  <si>
    <t>CA-2012-121188</t>
  </si>
  <si>
    <t>O'Sullivan 2-Door Barrister Bookcase in Odessa Pine</t>
  </si>
  <si>
    <t>US-2012-160563</t>
  </si>
  <si>
    <t>CA-2012-150714</t>
  </si>
  <si>
    <t>CA-2013-106621</t>
  </si>
  <si>
    <t>CA-2012-107020</t>
  </si>
  <si>
    <t>Large Capacity Hanging Post Binders</t>
  </si>
  <si>
    <t>CA-2011-101392</t>
  </si>
  <si>
    <t>CA-2012-127502</t>
  </si>
  <si>
    <t>CA-2014-133046</t>
  </si>
  <si>
    <t>CA-2014-122798</t>
  </si>
  <si>
    <t>SusanVittorini@gmail.com</t>
  </si>
  <si>
    <t>CA-2013-169663</t>
  </si>
  <si>
    <t>CA-2012-149846</t>
  </si>
  <si>
    <t>SarahBrown@gmail.com</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</si>
  <si>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</si>
  <si>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</si>
  <si>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</si>
  <si>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</si>
  <si>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</si>
  <si>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</si>
  <si>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</si>
  <si>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</si>
  <si>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</si>
  <si>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</si>
  <si>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</si>
  <si>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</si>
  <si>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</si>
  <si>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CA-2012-168207</t>
  </si>
  <si>
    <t>Contemporary Wood/Metal Frame</t>
  </si>
  <si>
    <t>CA-2014-107174</t>
  </si>
  <si>
    <t>Hon 2090 Â“Pillow SoftÂ” Series Mid Back Swivel/Tilt Chairs</t>
  </si>
  <si>
    <t>CA-2011-114125</t>
  </si>
  <si>
    <t>CA-2014-149699</t>
  </si>
  <si>
    <t>CA-2012-112767</t>
  </si>
  <si>
    <t>CA-2012-136700</t>
  </si>
  <si>
    <t>CA-2013-104633</t>
  </si>
  <si>
    <t>CA-2011-158225</t>
  </si>
  <si>
    <t>CA-2011-109897</t>
  </si>
  <si>
    <t>CA-2014-152310</t>
  </si>
  <si>
    <t>DanaKaydos@gmail.com</t>
  </si>
  <si>
    <t>Xerox 1937</t>
  </si>
  <si>
    <t>Grandstream GXP1160 VoIP phone</t>
  </si>
  <si>
    <t>Perixx PERIBOARD-512B, Ergonomic Split Keyboard</t>
  </si>
  <si>
    <t>Avery Legal 4-Ring Binder</t>
  </si>
  <si>
    <t>CA-2013-139549</t>
  </si>
  <si>
    <t>MuhammedYedwab@gmail.com</t>
  </si>
  <si>
    <t>Hon Every-Day Chair Series Swivel Task Chairs</t>
  </si>
  <si>
    <t>US-2014-168802</t>
  </si>
  <si>
    <t>Binder Posts</t>
  </si>
  <si>
    <t>US-2011-103338</t>
  </si>
  <si>
    <t>US-2014-167318</t>
  </si>
  <si>
    <t>Global Airflow Leather Mesh Back Chair, Black</t>
  </si>
  <si>
    <t>US-2011-120313</t>
  </si>
  <si>
    <t>CA-2014-135419</t>
  </si>
  <si>
    <t>CA-2013-149335</t>
  </si>
  <si>
    <t>CA-2014-135076</t>
  </si>
  <si>
    <t>CA-2014-141481</t>
  </si>
  <si>
    <t>CA-2011-110555</t>
  </si>
  <si>
    <t>CA-2011-109918</t>
  </si>
  <si>
    <t>Acme Design Line 8" Stainless Steel Bent Scissors w/Champagne Handles, 3-1/8" Cut</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</si>
  <si>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</si>
  <si>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</si>
  <si>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</si>
  <si>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</si>
  <si>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</si>
  <si>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</si>
  <si>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</si>
  <si>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</si>
  <si>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</si>
  <si>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</si>
  <si>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</si>
  <si>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SuzanneMcNair@gmail.com</t>
  </si>
  <si>
    <t>CA-2012-134082</t>
  </si>
  <si>
    <t>CA-2014-118199</t>
  </si>
  <si>
    <t>Riverside Furniture Oval Coffee Table, Oval End Table, End Table with Drawer</t>
  </si>
  <si>
    <t>CA-2012-128356</t>
  </si>
  <si>
    <t>ResiPÃ¶lking@gmail.com</t>
  </si>
  <si>
    <t>US-2014-132220</t>
  </si>
  <si>
    <t>CA-2012-151470</t>
  </si>
  <si>
    <t>CA-2011-108861</t>
  </si>
  <si>
    <t>MagdeleneMorse@gmail.com</t>
  </si>
  <si>
    <t>CA-2014-145779</t>
  </si>
  <si>
    <t>CA-2013-154081</t>
  </si>
  <si>
    <t>CA-2011-100881</t>
  </si>
  <si>
    <t>DanielRaglin@gmail.com</t>
  </si>
  <si>
    <t>CA-2012-144043</t>
  </si>
  <si>
    <t>CA-2013-168557</t>
  </si>
  <si>
    <t>CA-2014-134880</t>
  </si>
  <si>
    <t>CA-2014-158736</t>
  </si>
  <si>
    <t>Newell 335</t>
  </si>
  <si>
    <t>US-2013-119270</t>
  </si>
  <si>
    <t>Hammermill Color Copier Paper (28Lb. and 96 Bright)</t>
  </si>
  <si>
    <t>CA-2014-142391</t>
  </si>
  <si>
    <t>CA-2014-124716</t>
  </si>
  <si>
    <t>BrendanDodson@gmail.com</t>
  </si>
  <si>
    <t>CA-2014-106824</t>
  </si>
  <si>
    <t>CA-2013-143154</t>
  </si>
  <si>
    <t>CA-2012-102316</t>
  </si>
  <si>
    <t>CA-2011-164903</t>
  </si>
  <si>
    <t>CA-2014-133074</t>
  </si>
  <si>
    <t>Adams Telephone Message Book w/Frequently-Called Numbers Space, 400 Messages per Book</t>
  </si>
  <si>
    <t>CA-2014-137624</t>
  </si>
  <si>
    <t>MariaEtezadi@gmail.com</t>
  </si>
  <si>
    <t>US-2011-163146</t>
  </si>
  <si>
    <t>CA-2014-147354</t>
  </si>
  <si>
    <t>KarlBraun@gmail.com</t>
  </si>
  <si>
    <t>CA-2012-149566</t>
  </si>
  <si>
    <t>CA-2012-126186</t>
  </si>
  <si>
    <t>CA-2011-159849</t>
  </si>
  <si>
    <t>Revere Boxed Rubber Bands by Revere</t>
  </si>
  <si>
    <t>CA-2011-104808</t>
  </si>
  <si>
    <t>MarkHaberlin@gmail.com</t>
  </si>
  <si>
    <t>CA-2014-162012</t>
  </si>
  <si>
    <t>CA-2014-101700</t>
  </si>
  <si>
    <t>United States,Greeley,Colorado</t>
  </si>
  <si>
    <t>Eldon ImÃ ge Series Desk Accessories, Clear</t>
  </si>
  <si>
    <t>US-2013-117387</t>
  </si>
  <si>
    <t>PeteArmstrong@gmail.com</t>
  </si>
  <si>
    <t>CA-2011-141110</t>
  </si>
  <si>
    <t>US-2011-133949</t>
  </si>
  <si>
    <t>CA-2014-123624</t>
  </si>
  <si>
    <t>CA-2013-146437</t>
  </si>
  <si>
    <t>CA-2013-138233</t>
  </si>
  <si>
    <t>Logitech Wireless Gaming Headset G930</t>
  </si>
  <si>
    <t>CA-2013-165918</t>
  </si>
  <si>
    <t>BryanDavis@gmail.com</t>
  </si>
  <si>
    <t>CA-2014-117513</t>
  </si>
  <si>
    <t>US-2013-114230</t>
  </si>
  <si>
    <t>ChrisMcAfee@gmail.com</t>
  </si>
  <si>
    <t>CA-2012-156118</t>
  </si>
  <si>
    <t>Southworth Parchment Paper &amp; Envelopes</t>
  </si>
  <si>
    <t>CA-2014-151281</t>
  </si>
  <si>
    <t>CA-2014-147767</t>
  </si>
  <si>
    <t>CA-2013-113341</t>
  </si>
  <si>
    <t>MarkHamilton@gmail.com</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</si>
  <si>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</si>
  <si>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</si>
  <si>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</si>
  <si>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</si>
  <si>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</si>
  <si>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</si>
  <si>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</si>
  <si>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</si>
  <si>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</si>
  <si>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</si>
  <si>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</si>
  <si>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</si>
  <si>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</si>
  <si>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NeilFranzÃ¶sisch@gmail.com</t>
  </si>
  <si>
    <t>Sterling Rubber Bands by Alliance</t>
  </si>
  <si>
    <t>CA-2011-119144</t>
  </si>
  <si>
    <t>US-2012-145422</t>
  </si>
  <si>
    <t>CA-2014-136623</t>
  </si>
  <si>
    <t>Belkin iPhone and iPad Lightning Cable</t>
  </si>
  <si>
    <t>CA-2014-148145</t>
  </si>
  <si>
    <t>ScottWilliamson@gmail.com</t>
  </si>
  <si>
    <t>CA-2014-116988</t>
  </si>
  <si>
    <t>Executive Impressions Supervisor Wall Clock</t>
  </si>
  <si>
    <t>US-2012-144771</t>
  </si>
  <si>
    <t>CA-2014-128076</t>
  </si>
  <si>
    <t>Eldon Antistatic Chair Mats for Low to Medium Pile Carpets</t>
  </si>
  <si>
    <t>HP Officejet Pro 8600 e-All-In-One Printer, Copier, Scanner, Fax</t>
  </si>
  <si>
    <t>CA-2013-112578</t>
  </si>
  <si>
    <t>FrankOlsen@gmail.com</t>
  </si>
  <si>
    <t>CA-2013-151148</t>
  </si>
  <si>
    <t>Lunatik TT5L-002 Taktik Strike Impact Protection System for iPhone 5</t>
  </si>
  <si>
    <t>CA-2012-165813</t>
  </si>
  <si>
    <t>CA-2013-116911</t>
  </si>
  <si>
    <t>United States,Twin Falls,Idaho</t>
  </si>
  <si>
    <t>CA-2014-145765</t>
  </si>
  <si>
    <t>Panasonic KX TS208W Corded phone</t>
  </si>
  <si>
    <t>CA-2011-162992</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</si>
  <si>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</si>
  <si>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</si>
  <si>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</si>
  <si>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</si>
  <si>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</si>
  <si>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</si>
  <si>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</si>
  <si>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</si>
  <si>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</si>
  <si>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</si>
  <si>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</si>
  <si>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CA-2014-101805</t>
  </si>
  <si>
    <t>US-2012-107944</t>
  </si>
  <si>
    <t>CA-2011-169642</t>
  </si>
  <si>
    <t>SAFCO Commercial Wire Shelving, Black</t>
  </si>
  <si>
    <t>CA-2013-167241</t>
  </si>
  <si>
    <t>Luxo Professional Magnifying Clamp-On Fluorescent Lamps</t>
  </si>
  <si>
    <t>AT&amp;T 841000 Phone</t>
  </si>
  <si>
    <t>CA-2013-139934</t>
  </si>
  <si>
    <t>CA-2012-109603</t>
  </si>
  <si>
    <t>CA-2012-143616</t>
  </si>
  <si>
    <t>CA-2012-134117</t>
  </si>
  <si>
    <t>Sanford Colorific Eraseable Coloring Pencils, 12 Count</t>
  </si>
  <si>
    <t>CA-2013-159023</t>
  </si>
  <si>
    <t>Okidata B401 Printer</t>
  </si>
  <si>
    <t>CA-2011-154592</t>
  </si>
  <si>
    <t>CA-2011-128622</t>
  </si>
  <si>
    <t>CA-2011-132913</t>
  </si>
  <si>
    <t>AdamShillingsburg@gmail.com</t>
  </si>
  <si>
    <t>CA-2011-126480</t>
  </si>
  <si>
    <t>CA-2014-159226</t>
  </si>
  <si>
    <t>US-2014-139577</t>
  </si>
  <si>
    <t>CA-2011-133389</t>
  </si>
  <si>
    <t>TobyBraunhardt@gmail.com</t>
  </si>
  <si>
    <t>CA-2012-102855</t>
  </si>
  <si>
    <t>Dixon Ticonderoga Pencils</t>
  </si>
  <si>
    <t>CA-2014-143084</t>
  </si>
  <si>
    <t>BarryPond@gmail.com</t>
  </si>
  <si>
    <t>CA-2013-131639</t>
  </si>
  <si>
    <t>GBC Laser Imprintable Binding System Covers, Desert Sand</t>
  </si>
  <si>
    <t>CA-2013-161361</t>
  </si>
  <si>
    <t>US-2013-141880</t>
  </si>
  <si>
    <t>CA-2014-128041</t>
  </si>
  <si>
    <t>Honeywell Quietcare HEPA Air Cleaner</t>
  </si>
  <si>
    <t>CA-2011-138177</t>
  </si>
  <si>
    <t>NeilDucich@gmail.com</t>
  </si>
  <si>
    <t>CA-2012-168760</t>
  </si>
  <si>
    <t>CA-2013-168830</t>
  </si>
  <si>
    <t>CA-2014-137463</t>
  </si>
  <si>
    <t>KalycaMeade@gmail.com</t>
  </si>
  <si>
    <t>Bulldog Table or Wall-Mount Pencil Sharpener</t>
  </si>
  <si>
    <t>CA-2012-165554</t>
  </si>
  <si>
    <t>CA-2011-141838</t>
  </si>
  <si>
    <t>CA-2014-117009</t>
  </si>
  <si>
    <t>CA-2012-128993</t>
  </si>
  <si>
    <t>CA-2012-149097</t>
  </si>
  <si>
    <t>Nu-Dell Oak Frame</t>
  </si>
  <si>
    <t>CA-2012-136420</t>
  </si>
  <si>
    <t>CA-2013-106278</t>
  </si>
  <si>
    <t>CA-2014-166898</t>
  </si>
  <si>
    <t>CA-2013-126102</t>
  </si>
  <si>
    <t>Ibico EB-19 Dual Function Manual Binding System</t>
  </si>
  <si>
    <t>US-2013-155971</t>
  </si>
  <si>
    <t>Xerox Blank Computer Paper</t>
  </si>
  <si>
    <t>CA-2014-122007</t>
  </si>
  <si>
    <t>JasonKlamczynski@gmail.com</t>
  </si>
  <si>
    <t>CA-2014-162250</t>
  </si>
  <si>
    <t>CA-2012-157028</t>
  </si>
  <si>
    <t>US-2014-147655</t>
  </si>
  <si>
    <t>CA-2014-123029</t>
  </si>
  <si>
    <t>Razer Kraken PRO Over Ear PC and Music Headset</t>
  </si>
  <si>
    <t>US-2014-166688</t>
  </si>
  <si>
    <t>US-2012-106873</t>
  </si>
  <si>
    <t>United States,Avondale,Arizona</t>
  </si>
  <si>
    <t>CA-2011-102645</t>
  </si>
  <si>
    <t>CA-2013-100300</t>
  </si>
  <si>
    <t>US-2013-155768</t>
  </si>
  <si>
    <t>Xerox 1886</t>
  </si>
  <si>
    <t>CA-2014-119424</t>
  </si>
  <si>
    <t>CA-2014-156776</t>
  </si>
  <si>
    <t>JeremyLonsdale@gmail.com</t>
  </si>
  <si>
    <t>Mead 1st Gear 2" Zipper Binder, Asst. Colors</t>
  </si>
  <si>
    <t>Global Enterprise Series Seating Low-Back Swivel/Tilt Chairs</t>
  </si>
  <si>
    <t>CA-2011-146843</t>
  </si>
  <si>
    <t>Memorex 25GB 6X Branded Blu-Ray Recordable Disc, 30/Pack</t>
  </si>
  <si>
    <t>CA-2011-103310</t>
  </si>
  <si>
    <t>Hon Pagoda Stacking Chairs</t>
  </si>
  <si>
    <t>CA-2013-104689</t>
  </si>
  <si>
    <t>CA-2014-141747</t>
  </si>
  <si>
    <t>CA-2012-167479</t>
  </si>
  <si>
    <t>CA-2011-144071</t>
  </si>
  <si>
    <t>CA-2013-152646</t>
  </si>
  <si>
    <t>CA-2014-140515</t>
  </si>
  <si>
    <t>CA-2011-153619</t>
  </si>
  <si>
    <t>CA-2014-133718</t>
  </si>
  <si>
    <t>Weyerhaeuser First Choice Laser/Copy Paper (20Lb. and 88 Bright)</t>
  </si>
  <si>
    <t>CA-2013-126732</t>
  </si>
  <si>
    <t>Blackstonian Pencils</t>
  </si>
  <si>
    <t>CA-2011-113271</t>
  </si>
  <si>
    <t>Avery Hidden Tab Dividers for Binding Systems</t>
  </si>
  <si>
    <t>Xerox 1967</t>
  </si>
  <si>
    <t>CA-2014-130106</t>
  </si>
  <si>
    <t>CA-2014-155712</t>
  </si>
  <si>
    <t>CA-2014-111388</t>
  </si>
  <si>
    <t>StephanieUlpright@gmail.com</t>
  </si>
  <si>
    <t>CA-2011-125759</t>
  </si>
  <si>
    <t>US-2011-134054</t>
  </si>
  <si>
    <t>Dixon Ticonderoga Core-Lock Colored Pencils, 48-Color Set</t>
  </si>
  <si>
    <t>CA-2013-166772</t>
  </si>
  <si>
    <t>O'Sullivan 5-Shelf Heavy-Duty Bookcases</t>
  </si>
  <si>
    <t>CA-2014-102218</t>
  </si>
  <si>
    <t>CA-2011-111857</t>
  </si>
  <si>
    <t>CA-2012-137603</t>
  </si>
  <si>
    <t>CA-2011-128237</t>
  </si>
  <si>
    <t>ChristinaAnderson@gmail.com</t>
  </si>
  <si>
    <t>ImationÂ SwivelÂ Flash DriveÂ USBÂ flash driveÂ - 8 GB</t>
  </si>
  <si>
    <t>CA-2014-121853</t>
  </si>
  <si>
    <t>DuaneBenoit@gmail.com</t>
  </si>
  <si>
    <t>US-2014-130687</t>
  </si>
  <si>
    <t>Konftel 250 ConferenceÂ phoneÂ - Charcoal black</t>
  </si>
  <si>
    <t>Boston 1799 Powerhouse Electric Pencil Sharpener</t>
  </si>
  <si>
    <t>CA-2012-164497</t>
  </si>
  <si>
    <t>AshleyJarboe@gmail.com</t>
  </si>
  <si>
    <t>Holmes Visible Mist Ultrasonic Humidifier with 2.3-Gallon Output per Day, Replacement Filter</t>
  </si>
  <si>
    <t>CA-2014-130715</t>
  </si>
  <si>
    <t>OIC Colored Binder Clips, Assorted Sizes</t>
  </si>
  <si>
    <t>CA-2011-155264</t>
  </si>
  <si>
    <t>CA-2013-119123</t>
  </si>
  <si>
    <t>CA-2013-114860</t>
  </si>
  <si>
    <t>CA-2013-159009</t>
  </si>
  <si>
    <t>CA-2014-111591</t>
  </si>
  <si>
    <t>C-Line Peel &amp; Stick Add-On Filing Pockets, 8-3/4 x 5-1/8, 10/Pack</t>
  </si>
  <si>
    <t>CA-2014-102820</t>
  </si>
  <si>
    <t>CarlosSoltero@gmail.com</t>
  </si>
  <si>
    <t>Blue Parrot B250XT Professional Grade Wireless BluetoothÂ HeadsetÂ with</t>
  </si>
  <si>
    <t>CA-2013-149671</t>
  </si>
  <si>
    <t>KenBrennan@gmail.com</t>
  </si>
  <si>
    <t>CA-2012-126347</t>
  </si>
  <si>
    <t>CA-2014-163097</t>
  </si>
  <si>
    <t>CA-2011-159814</t>
  </si>
  <si>
    <t>CA-2013-108959</t>
  </si>
  <si>
    <t>CA-2012-127824</t>
  </si>
  <si>
    <t>Motorola L703CM</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</si>
  <si>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</si>
  <si>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</si>
  <si>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</si>
  <si>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</si>
  <si>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</si>
  <si>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</si>
  <si>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</si>
  <si>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</si>
  <si>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</si>
  <si>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</si>
  <si>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</si>
  <si>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</si>
  <si>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</si>
  <si>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</si>
  <si>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</si>
  <si>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</si>
  <si>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</si>
  <si>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CA-2014-111738</t>
  </si>
  <si>
    <t>ChristopherMartinez@gmail.com</t>
  </si>
  <si>
    <t>US-2013-123610</t>
  </si>
  <si>
    <t>VivianMathis@gmail.com</t>
  </si>
  <si>
    <t>Memorex Mini Travel Drive 32 GB USB 2.0 Flash Drive</t>
  </si>
  <si>
    <t>US-2012-158589</t>
  </si>
  <si>
    <t>KellyWilliams@gmail.com</t>
  </si>
  <si>
    <t>Dana Swing-Arm Lamps</t>
  </si>
  <si>
    <t>US-2014-104451</t>
  </si>
  <si>
    <t>CA-2013-101189</t>
  </si>
  <si>
    <t>CA-2014-156958</t>
  </si>
  <si>
    <t>Eldon Radial Chair Mat for Low to Medium Pile Carpets</t>
  </si>
  <si>
    <t>CA-2014-111759</t>
  </si>
  <si>
    <t>MathewReese@gmail.com</t>
  </si>
  <si>
    <t>CA-2013-148747</t>
  </si>
  <si>
    <t>Atlantic Metals Mobile 4-Shelf Bookcases, Custom Colors</t>
  </si>
  <si>
    <t>CA-2012-135727</t>
  </si>
  <si>
    <t>CA-2012-160864</t>
  </si>
  <si>
    <t>Avery Binding System Hidden Tab Executive Style Index Sets</t>
  </si>
  <si>
    <t>CA-2013-125724</t>
  </si>
  <si>
    <t>CA-2012-161242</t>
  </si>
  <si>
    <t>CatherineGlotzbach@gmail.com</t>
  </si>
  <si>
    <t>CA-2012-148495</t>
  </si>
  <si>
    <t>SandraFlanagan@gmail.com</t>
  </si>
  <si>
    <t>CA-2013-108630</t>
  </si>
  <si>
    <t>BobbyElias@gmail.com</t>
  </si>
  <si>
    <t>CA-2014-104619</t>
  </si>
  <si>
    <t>CA-2012-149517</t>
  </si>
  <si>
    <t>Seth Thomas 8 1/2" Cubicle Clock</t>
  </si>
  <si>
    <t>CA-2012-116841</t>
  </si>
  <si>
    <t>TheonePippenger@gmail.com</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</si>
  <si>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</si>
  <si>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</si>
  <si>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</si>
  <si>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</si>
  <si>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</si>
  <si>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</si>
  <si>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</si>
  <si>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</si>
  <si>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</si>
  <si>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CraigMolinari@gmail.com</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</si>
  <si>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</si>
  <si>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</si>
  <si>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</si>
  <si>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</si>
  <si>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</si>
  <si>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</si>
  <si>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</si>
  <si>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</si>
  <si>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</si>
  <si>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</si>
  <si>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</si>
  <si>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</si>
  <si>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United States,San Clemente,California</t>
  </si>
  <si>
    <t>Recycled Interoffice Envelopes with String and Button Closure, 10 x 13</t>
  </si>
  <si>
    <t>US-2014-140312</t>
  </si>
  <si>
    <t>United States,Dublin,California</t>
  </si>
  <si>
    <t>Samsung Replacement EH64AVFWE Premium Headset</t>
  </si>
  <si>
    <t>CA-2013-137393</t>
  </si>
  <si>
    <t>CA-2012-130113</t>
  </si>
  <si>
    <t>CA-2014-122770</t>
  </si>
  <si>
    <t>Eldon Executive Woodline II Desk Accessories, Mahogany</t>
  </si>
  <si>
    <t>CA-2014-118668</t>
  </si>
  <si>
    <t>FredWasserman@gmail.com</t>
  </si>
  <si>
    <t>CA-2014-116498</t>
  </si>
  <si>
    <t>CA-2014-130148</t>
  </si>
  <si>
    <t>CA-2014-154116</t>
  </si>
  <si>
    <t>CA-2013-105291</t>
  </si>
  <si>
    <t>United States,San Luis Obispo,California</t>
  </si>
  <si>
    <t>CA-2014-125990</t>
  </si>
  <si>
    <t>JoySmith@gmail.com</t>
  </si>
  <si>
    <t>CA-2013-161746</t>
  </si>
  <si>
    <t>Office Star Flex Back Scooter Chair with Aluminum Finish Frame</t>
  </si>
  <si>
    <t>CA-2013-116379</t>
  </si>
  <si>
    <t>CA-2014-142293</t>
  </si>
  <si>
    <t>CA-2011-111962</t>
  </si>
  <si>
    <t>EvanBailliet@gmail.com</t>
  </si>
  <si>
    <t>CA-2014-124261</t>
  </si>
  <si>
    <t>CA-2014-129294</t>
  </si>
  <si>
    <t>Bionaire Personal Warm Mist Humidifier/Vaporizer</t>
  </si>
  <si>
    <t>CA-2014-131303</t>
  </si>
  <si>
    <t>CA-2014-137505</t>
  </si>
  <si>
    <t>Hon Practical Foundations 30 x 60 Training Table, Light Gray/Charcoal</t>
  </si>
  <si>
    <t>US-2013-158680</t>
  </si>
  <si>
    <t>CA-2011-121762</t>
  </si>
  <si>
    <t>Belkin 8 Outlet Surge Protector</t>
  </si>
  <si>
    <t>CA-2011-123855</t>
  </si>
  <si>
    <t>Plantronics CordlessÂ Phone HeadsetÂ with In-line Volume - M214C</t>
  </si>
  <si>
    <t>CA-2014-142328</t>
  </si>
  <si>
    <t>CA-2014-137918</t>
  </si>
  <si>
    <t>United States,Lodi,California</t>
  </si>
  <si>
    <t>Acme Hot Forged Carbon Steel Scissors with Nickel-Plated Handles, 3 7/8" Cut, 8"L</t>
  </si>
  <si>
    <t>US-2011-139640</t>
  </si>
  <si>
    <t>TroyBlackwell@gmail.com</t>
  </si>
  <si>
    <t>US-2011-164406</t>
  </si>
  <si>
    <t>US-2013-125402</t>
  </si>
  <si>
    <t>DanLawera@gmail.com</t>
  </si>
  <si>
    <t>Ampad Evidence Wirebond Steno Books, 6" x 9"</t>
  </si>
  <si>
    <t>Canon PC-428 Personal Copier</t>
  </si>
  <si>
    <t>CA-2014-169327</t>
  </si>
  <si>
    <t>CA-2011-142979</t>
  </si>
  <si>
    <t>Prismacolor Color Pencil Set</t>
  </si>
  <si>
    <t>CA-2014-138870</t>
  </si>
  <si>
    <t>Xerox 1907</t>
  </si>
  <si>
    <t>CA-2011-112291</t>
  </si>
  <si>
    <t>CA-2014-117646</t>
  </si>
  <si>
    <t>SungChung@gmail.com</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</si>
  <si>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</si>
  <si>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</si>
  <si>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</si>
  <si>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</si>
  <si>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</si>
  <si>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</si>
  <si>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</si>
  <si>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</si>
  <si>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</si>
  <si>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</si>
  <si>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MaribethDona@gmail.com</t>
  </si>
  <si>
    <t>CA-2012-145415</t>
  </si>
  <si>
    <t>CA-2012-141593</t>
  </si>
  <si>
    <t>Ibico Recycled Grain-Textured Covers</t>
  </si>
  <si>
    <t>Bush Andora Conference Table, Maple/Graphite Gray Finish</t>
  </si>
  <si>
    <t>CA-2014-137421</t>
  </si>
  <si>
    <t>US-2013-103674</t>
  </si>
  <si>
    <t>AnnePryor@gmail.com</t>
  </si>
  <si>
    <t>Avaya 5410 Digital phone</t>
  </si>
  <si>
    <t>CA-2013-125794</t>
  </si>
  <si>
    <t>CA-2014-121258</t>
  </si>
  <si>
    <t>CA-2014-119914</t>
  </si>
  <si>
    <t>Acco 7-Outlet Masterpiece Power Center, Wihtout Fax/Phone Line Protection</t>
  </si>
  <si>
    <t>Sum of sales</t>
  </si>
  <si>
    <t>Total Sales</t>
  </si>
  <si>
    <t>Total Revenue</t>
  </si>
  <si>
    <t>Total Orders</t>
  </si>
  <si>
    <t>Count of order_id</t>
  </si>
  <si>
    <t>Email Id</t>
  </si>
  <si>
    <t>Total Customers</t>
  </si>
  <si>
    <t>Avg Order Value</t>
  </si>
  <si>
    <t>Total Profit</t>
  </si>
  <si>
    <t>Profit Margin</t>
  </si>
  <si>
    <t>Row Labels</t>
  </si>
  <si>
    <t>Grand Total</t>
  </si>
  <si>
    <t>%Profit Margin</t>
  </si>
  <si>
    <t>Average shipping days</t>
  </si>
  <si>
    <t>Delivery Speed</t>
  </si>
  <si>
    <t>Average Order Days</t>
  </si>
  <si>
    <t>Loss Orders Count</t>
  </si>
  <si>
    <t>FALSE</t>
  </si>
  <si>
    <t>TRUE</t>
  </si>
  <si>
    <t>High Value Order Count</t>
  </si>
  <si>
    <t>Sales by geography</t>
  </si>
  <si>
    <t>Sales by Category</t>
  </si>
  <si>
    <t>Top Products</t>
  </si>
  <si>
    <t>Sum of profit</t>
  </si>
  <si>
    <t xml:space="preserve">                                                                           total sales</t>
  </si>
  <si>
    <t>Avg Shipping Days</t>
  </si>
  <si>
    <t>Sales Trend</t>
  </si>
  <si>
    <t>Profit Trend</t>
  </si>
  <si>
    <t>Shipping Performance</t>
  </si>
  <si>
    <t xml:space="preserve"> Customers Analysis</t>
  </si>
  <si>
    <t>PROFIT TREND CHART</t>
  </si>
  <si>
    <t>SHIPPING PERFORMANCE CHART</t>
  </si>
  <si>
    <t>TOP TEN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</si>
</sst>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64" fontId="0" fillId="0" borderId="0" xfId="0" applyNumberFormat="1"/>
    <xf numFmtId="0" fontId="0" fillId="0" borderId="0" xfId="0" pivotButton="1"/>
    <xf numFmtId="0" fontId="0" fillId="2" borderId="0" xfId="0" applyFill="1"/>
    <xf numFmtId="10" fontId="0" fillId="0" borderId="0" xfId="0" applyNumberFormat="1"/>
    <xf numFmtId="0" fontId="0" fillId="0" borderId="0" xfId="0" applyAlignment="1">
      <alignment horizontal="left"/>
    </xf>
    <xf numFmtId="0" fontId="0" fillId="3" borderId="0" xfId="0" applyFill="1"/>
    <xf numFmtId="9" fontId="0" fillId="0" borderId="0" xfId="1" applyFont="1"/>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8">
    <dxf>
      <numFmt numFmtId="164" formatCode="yyyy\-mm\-dd\ hh:mm:ss"/>
    </dxf>
    <dxf>
      <numFmt numFmtId="164" formatCode="yyyy\-mm\-dd\ hh:mm:ss"/>
    </dxf>
    <dxf>
      <font>
        <b/>
        <color theme="1"/>
      </font>
      <border>
        <bottom style="thin">
          <color theme="4"/>
        </bottom>
        <vertical/>
        <horizontal/>
      </border>
    </dxf>
    <dxf>
      <font>
        <color theme="1"/>
      </font>
      <fill>
        <patternFill>
          <bgColor rgb="FF17375E"/>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17375E"/>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0099"/>
        </patternFill>
      </fill>
      <border>
        <left style="thin">
          <color theme="4"/>
        </left>
        <right style="thin">
          <color theme="4"/>
        </right>
        <top style="thin">
          <color theme="4"/>
        </top>
        <bottom style="thin">
          <color theme="4"/>
        </bottom>
        <vertical/>
        <horizontal/>
      </border>
    </dxf>
  </dxfs>
  <tableStyles count="3" defaultTableStyle="TableStyleMedium9" defaultPivotStyle="PivotStyleLight16">
    <tableStyle name="Amazon Analysis" pivot="0" table="0" count="10" xr9:uid="{541EC2BD-81A2-413F-859B-491A87C97A72}">
      <tableStyleElement type="wholeTable" dxfId="7"/>
      <tableStyleElement type="headerRow" dxfId="6"/>
    </tableStyle>
    <tableStyle name="Amazon Analysis 2" pivot="0" table="0" count="10" xr9:uid="{65614C4A-0D00-47F6-92AD-6B14389977A9}">
      <tableStyleElement type="wholeTable" dxfId="5"/>
      <tableStyleElement type="headerRow" dxfId="4"/>
    </tableStyle>
    <tableStyle name="Amazon Analysis 2 2" pivot="0" table="0" count="10" xr9:uid="{8F659001-7746-447A-91E6-5B4E04233B30}">
      <tableStyleElement type="wholeTable" dxfId="3"/>
      <tableStyleElement type="headerRow" dxfId="2"/>
    </tableStyle>
  </tableStyles>
  <colors>
    <mruColors>
      <color rgb="FF17375E"/>
      <color rgb="FF00009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mazon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Amazon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mazon Analysis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[Amazon_cleaned_data.xlsx]Sheet2!PivotTable50</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625984730816"/>
          <c:y val="8.6978599253197245E-2"/>
          <c:w val="0.772970744414056"/>
          <c:h val="0.60491023055199122"/>
        </c:manualLayout>
      </c:layout>
      <c:lineChart>
        <c:grouping val="standard"/>
        <c:varyColors val="0"/>
        <c:ser>
          <c:idx val="0"/>
          <c:order val="0"/>
          <c:tx>
            <c:strRef>
              <c:f>Sheet2!$H$22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Sheet2!$G$23:$G$35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Sheet2!$H$23:$H$35</c:f>
              <c:numCache>
                <c:formatCode>General</c:formatCode>
                <c:ptCount val="12"/>
                <c:pt idx="0">
                  <c:v>2644.3340000000007</c:v>
                </c:pt>
                <c:pt idx="1">
                  <c:v>1918.4739999999999</c:v>
                </c:pt>
                <c:pt idx="2">
                  <c:v>2330.9949999999994</c:v>
                </c:pt>
                <c:pt idx="3">
                  <c:v>2742.1879999999996</c:v>
                </c:pt>
                <c:pt idx="4">
                  <c:v>4314.6869999999999</c:v>
                </c:pt>
                <c:pt idx="5">
                  <c:v>4988.8080000000009</c:v>
                </c:pt>
                <c:pt idx="6">
                  <c:v>5468.2319999999982</c:v>
                </c:pt>
                <c:pt idx="7">
                  <c:v>4404.6040000000003</c:v>
                </c:pt>
                <c:pt idx="8">
                  <c:v>9063.1045000000013</c:v>
                </c:pt>
                <c:pt idx="9">
                  <c:v>5415.4820000000018</c:v>
                </c:pt>
                <c:pt idx="10">
                  <c:v>8118.9730000000009</c:v>
                </c:pt>
                <c:pt idx="11">
                  <c:v>13285.394999999999</c:v>
                </c:pt>
              </c:numCache>
            </c:numRef>
          </c:val>
          <c:smooth val="0"/>
          <c:extLst>
            <c:ext xmlns:c16="http://schemas.microsoft.com/office/drawing/2014/chart" uri="{C3380CC4-5D6E-409C-BE32-E72D297353CC}">
              <c16:uniqueId val="{00000000-0BAB-4CA5-98F2-A562DDDA74B7}"/>
            </c:ext>
          </c:extLst>
        </c:ser>
        <c:dLbls>
          <c:showLegendKey val="0"/>
          <c:showVal val="0"/>
          <c:showCatName val="0"/>
          <c:showSerName val="0"/>
          <c:showPercent val="0"/>
          <c:showBubbleSize val="0"/>
        </c:dLbls>
        <c:marker val="1"/>
        <c:smooth val="0"/>
        <c:axId val="114274927"/>
        <c:axId val="114275887"/>
      </c:lineChart>
      <c:catAx>
        <c:axId val="11427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5887"/>
        <c:crosses val="autoZero"/>
        <c:auto val="1"/>
        <c:lblAlgn val="ctr"/>
        <c:lblOffset val="100"/>
        <c:noMultiLvlLbl val="0"/>
      </c:catAx>
      <c:valAx>
        <c:axId val="11427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[Amazon_cleaned_data.xlsx]Sheet2!PivotTable3</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Sheet2!$M$20:$M$32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Sheet2!$N$20:$N$32</c:f>
              <c:numCache>
                <c:formatCode>General</c:formatCode>
                <c:ptCount val="12"/>
                <c:pt idx="0">
                  <c:v>568.23379999999997</c:v>
                </c:pt>
                <c:pt idx="1">
                  <c:v>342.42900000000003</c:v>
                </c:pt>
                <c:pt idx="2">
                  <c:v>103.7774</c:v>
                </c:pt>
                <c:pt idx="3">
                  <c:v>463.93440000000004</c:v>
                </c:pt>
                <c:pt idx="4">
                  <c:v>641.86190000000011</c:v>
                </c:pt>
                <c:pt idx="5">
                  <c:v>1180.5652999999998</c:v>
                </c:pt>
                <c:pt idx="6">
                  <c:v>1053.0381999999997</c:v>
                </c:pt>
                <c:pt idx="7">
                  <c:v>874.72910000000002</c:v>
                </c:pt>
                <c:pt idx="8">
                  <c:v>1777.9072000000003</c:v>
                </c:pt>
                <c:pt idx="9">
                  <c:v>658.92229999999995</c:v>
                </c:pt>
                <c:pt idx="10">
                  <c:v>1591.6652000000001</c:v>
                </c:pt>
                <c:pt idx="11">
                  <c:v>1503.5164</c:v>
                </c:pt>
              </c:numCache>
            </c:numRef>
          </c:val>
          <c:smooth val="0"/>
          <c:extLst>
            <c:ext xmlns:c16="http://schemas.microsoft.com/office/drawing/2014/chart" uri="{C3380CC4-5D6E-409C-BE32-E72D297353CC}">
              <c16:uniqueId val="{00000000-D024-4CD1-A6D9-2320DBB839D2}"/>
            </c:ext>
          </c:extLst>
        </c:ser>
        <c:dLbls>
          <c:showLegendKey val="0"/>
          <c:showVal val="0"/>
          <c:showCatName val="0"/>
          <c:showSerName val="0"/>
          <c:showPercent val="0"/>
          <c:showBubbleSize val="0"/>
        </c:dLbls>
        <c:marker val="1"/>
        <c:smooth val="0"/>
        <c:axId val="114271087"/>
        <c:axId val="114287407"/>
      </c:lineChart>
      <c:catAx>
        <c:axId val="1142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87407"/>
        <c:crosses val="autoZero"/>
        <c:auto val="1"/>
        <c:lblAlgn val="ctr"/>
        <c:lblOffset val="100"/>
        <c:noMultiLvlLbl val="0"/>
      </c:catAx>
      <c:valAx>
        <c:axId val="11428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Sheet2!$K$7</c:f>
              <c:strCache>
                <c:ptCount val="1"/>
                <c:pt idx="0">
                  <c:v>Total</c:v>
                </c:pt>
              </c:strCache>
            </c:strRef>
          </c:tx>
          <c:spPr>
            <a:solidFill>
              <a:schemeClr val="accent1"/>
            </a:solidFill>
            <a:ln>
              <a:noFill/>
            </a:ln>
            <a:effectLst/>
          </c:spPr>
          <c:invertIfNegative val="0"/>
          <c:cat>
            <c:strRef>
              <c:f>Sheet2!$J$8:$J$101</c:f>
              <c:strCache>
                <c:ptCount val="93"/>
                <c:pt idx="0">
                  <c:v>United States,Anaheim,California</c:v>
                </c:pt>
                <c:pt idx="1">
                  <c:v>United States,Antioch,California</c:v>
                </c:pt>
                <c:pt idx="2">
                  <c:v>United States,Arvada,Colorado</c:v>
                </c:pt>
                <c:pt idx="3">
                  <c:v>United States,Auburn,Washington</c:v>
                </c:pt>
                <c:pt idx="4">
                  <c:v>United States,Aurora,Colorado</c:v>
                </c:pt>
                <c:pt idx="5">
                  <c:v>United States,Bakersfield,California</c:v>
                </c:pt>
                <c:pt idx="6">
                  <c:v>United States,Bellevue,Washington</c:v>
                </c:pt>
                <c:pt idx="7">
                  <c:v>United States,Broomfield,Colorado</c:v>
                </c:pt>
                <c:pt idx="8">
                  <c:v>United States,Carlsbad,New Mexico</c:v>
                </c:pt>
                <c:pt idx="9">
                  <c:v>United States,Chula Vista,California</c:v>
                </c:pt>
                <c:pt idx="10">
                  <c:v>United States,Colorado Springs,Colorado</c:v>
                </c:pt>
                <c:pt idx="11">
                  <c:v>United States,Concord,California</c:v>
                </c:pt>
                <c:pt idx="12">
                  <c:v>United States,Costa Mesa,California</c:v>
                </c:pt>
                <c:pt idx="13">
                  <c:v>United States,Covington,Washington</c:v>
                </c:pt>
                <c:pt idx="14">
                  <c:v>United States,Davis,California</c:v>
                </c:pt>
                <c:pt idx="15">
                  <c:v>United States,Denver,Colorado</c:v>
                </c:pt>
                <c:pt idx="16">
                  <c:v>United States,Des Moines,Washington</c:v>
                </c:pt>
                <c:pt idx="17">
                  <c:v>United States,Edmonds,Washington</c:v>
                </c:pt>
                <c:pt idx="18">
                  <c:v>United States,El Cajon,California</c:v>
                </c:pt>
                <c:pt idx="19">
                  <c:v>United States,Encinitas,California</c:v>
                </c:pt>
                <c:pt idx="20">
                  <c:v>United States,Englewood,Colorado</c:v>
                </c:pt>
                <c:pt idx="21">
                  <c:v>United States,Eugene,Oregon</c:v>
                </c:pt>
                <c:pt idx="22">
                  <c:v>United States,Fort Collins,Colorado</c:v>
                </c:pt>
                <c:pt idx="23">
                  <c:v>United States,Fresno,California</c:v>
                </c:pt>
                <c:pt idx="24">
                  <c:v>United States,Glendale,Arizona</c:v>
                </c:pt>
                <c:pt idx="25">
                  <c:v>United States,Gresham,Oregon</c:v>
                </c:pt>
                <c:pt idx="26">
                  <c:v>United States,Henderson,Nevada</c:v>
                </c:pt>
                <c:pt idx="27">
                  <c:v>United States,Hesperia,California</c:v>
                </c:pt>
                <c:pt idx="28">
                  <c:v>United States,Huntington Beach,California</c:v>
                </c:pt>
                <c:pt idx="29">
                  <c:v>United States,Laguna Niguel,California</c:v>
                </c:pt>
                <c:pt idx="30">
                  <c:v>United States,Lake Forest,California</c:v>
                </c:pt>
                <c:pt idx="31">
                  <c:v>United States,Lakewood,California</c:v>
                </c:pt>
                <c:pt idx="32">
                  <c:v>United States,Lancaster,California</c:v>
                </c:pt>
                <c:pt idx="33">
                  <c:v>United States,Littleton,Colorado</c:v>
                </c:pt>
                <c:pt idx="34">
                  <c:v>United States,Long Beach,California</c:v>
                </c:pt>
                <c:pt idx="35">
                  <c:v>United States,Longmont,Colorado</c:v>
                </c:pt>
                <c:pt idx="36">
                  <c:v>United States,Longview,Washington</c:v>
                </c:pt>
                <c:pt idx="37">
                  <c:v>United States,Los Angeles,California</c:v>
                </c:pt>
                <c:pt idx="38">
                  <c:v>United States,Louisville,Colorado</c:v>
                </c:pt>
                <c:pt idx="39">
                  <c:v>United States,Marysville,Washington</c:v>
                </c:pt>
                <c:pt idx="40">
                  <c:v>United States,Medford,Oregon</c:v>
                </c:pt>
                <c:pt idx="41">
                  <c:v>United States,Mesa,Arizona</c:v>
                </c:pt>
                <c:pt idx="42">
                  <c:v>United States,Mission Viejo,California</c:v>
                </c:pt>
                <c:pt idx="43">
                  <c:v>United States,Montebello,California</c:v>
                </c:pt>
                <c:pt idx="44">
                  <c:v>United States,Moreno Valley,California</c:v>
                </c:pt>
                <c:pt idx="45">
                  <c:v>United States,Morgan Hill,California</c:v>
                </c:pt>
                <c:pt idx="46">
                  <c:v>United States,North Las Vegas,Nevada</c:v>
                </c:pt>
                <c:pt idx="47">
                  <c:v>United States,Oakland,California</c:v>
                </c:pt>
                <c:pt idx="48">
                  <c:v>United States,Oceanside,California</c:v>
                </c:pt>
                <c:pt idx="49">
                  <c:v>United States,Orem,Utah</c:v>
                </c:pt>
                <c:pt idx="50">
                  <c:v>United States,Oxnard,California</c:v>
                </c:pt>
                <c:pt idx="51">
                  <c:v>United States,Parker,Colorado</c:v>
                </c:pt>
                <c:pt idx="52">
                  <c:v>United States,Pasadena,California</c:v>
                </c:pt>
                <c:pt idx="53">
                  <c:v>United States,Phoenix,Arizona</c:v>
                </c:pt>
                <c:pt idx="54">
                  <c:v>United States,Pocatello,Idaho</c:v>
                </c:pt>
                <c:pt idx="55">
                  <c:v>United States,Portland,Oregon</c:v>
                </c:pt>
                <c:pt idx="56">
                  <c:v>United States,Provo,Utah</c:v>
                </c:pt>
                <c:pt idx="57">
                  <c:v>United States,Pueblo,Colorado</c:v>
                </c:pt>
                <c:pt idx="58">
                  <c:v>United States,Redlands,California</c:v>
                </c:pt>
                <c:pt idx="59">
                  <c:v>United States,Redmond,Oregon</c:v>
                </c:pt>
                <c:pt idx="60">
                  <c:v>United States,Redmond,Washington</c:v>
                </c:pt>
                <c:pt idx="61">
                  <c:v>United States,Redondo Beach,California</c:v>
                </c:pt>
                <c:pt idx="62">
                  <c:v>United States,Redwood City,California</c:v>
                </c:pt>
                <c:pt idx="63">
                  <c:v>United States,Riverside,California</c:v>
                </c:pt>
                <c:pt idx="64">
                  <c:v>United States,Roseville,California</c:v>
                </c:pt>
                <c:pt idx="65">
                  <c:v>United States,Sacramento,California</c:v>
                </c:pt>
                <c:pt idx="66">
                  <c:v>United States,Salem,Oregon</c:v>
                </c:pt>
                <c:pt idx="67">
                  <c:v>United States,Salinas,California</c:v>
                </c:pt>
                <c:pt idx="68">
                  <c:v>United States,Salt Lake City,Utah</c:v>
                </c:pt>
                <c:pt idx="69">
                  <c:v>United States,San Clemente,California</c:v>
                </c:pt>
                <c:pt idx="70">
                  <c:v>United States,San Diego,California</c:v>
                </c:pt>
                <c:pt idx="71">
                  <c:v>United States,San Francisco,California</c:v>
                </c:pt>
                <c:pt idx="72">
                  <c:v>United States,San Jose,California</c:v>
                </c:pt>
                <c:pt idx="73">
                  <c:v>United States,San Luis Obispo,California</c:v>
                </c:pt>
                <c:pt idx="74">
                  <c:v>United States,Santa Ana,California</c:v>
                </c:pt>
                <c:pt idx="75">
                  <c:v>United States,Santa Barbara,California</c:v>
                </c:pt>
                <c:pt idx="76">
                  <c:v>United States,Santa Clara,California</c:v>
                </c:pt>
                <c:pt idx="77">
                  <c:v>United States,Scottsdale,Arizona</c:v>
                </c:pt>
                <c:pt idx="78">
                  <c:v>United States,Seattle,Washington</c:v>
                </c:pt>
                <c:pt idx="79">
                  <c:v>United States,Sierra Vista,Arizona</c:v>
                </c:pt>
                <c:pt idx="80">
                  <c:v>United States,Sparks,Nevada</c:v>
                </c:pt>
                <c:pt idx="81">
                  <c:v>United States,Springfield,Oregon</c:v>
                </c:pt>
                <c:pt idx="82">
                  <c:v>United States,Stockton,California</c:v>
                </c:pt>
                <c:pt idx="83">
                  <c:v>United States,Tempe,Arizona</c:v>
                </c:pt>
                <c:pt idx="84">
                  <c:v>United States,Tigard,Oregon</c:v>
                </c:pt>
                <c:pt idx="85">
                  <c:v>United States,Torrance,California</c:v>
                </c:pt>
                <c:pt idx="86">
                  <c:v>United States,Tucson,Arizona</c:v>
                </c:pt>
                <c:pt idx="87">
                  <c:v>United States,Twin Falls,Idaho</c:v>
                </c:pt>
                <c:pt idx="88">
                  <c:v>United States,Vallejo,California</c:v>
                </c:pt>
                <c:pt idx="89">
                  <c:v>United States,Vancouver,Washington</c:v>
                </c:pt>
                <c:pt idx="90">
                  <c:v>United States,Visalia,California</c:v>
                </c:pt>
                <c:pt idx="91">
                  <c:v>United States,Woodland,California</c:v>
                </c:pt>
                <c:pt idx="92">
                  <c:v>United States,Yuma,Arizona</c:v>
                </c:pt>
              </c:strCache>
            </c:strRef>
          </c:cat>
          <c:val>
            <c:numRef>
              <c:f>Sheet2!$K$8:$K$101</c:f>
              <c:numCache>
                <c:formatCode>General</c:formatCode>
                <c:ptCount val="93"/>
                <c:pt idx="0">
                  <c:v>1045.788</c:v>
                </c:pt>
                <c:pt idx="1">
                  <c:v>19.440000000000001</c:v>
                </c:pt>
                <c:pt idx="2">
                  <c:v>503.4</c:v>
                </c:pt>
                <c:pt idx="3">
                  <c:v>4.18</c:v>
                </c:pt>
                <c:pt idx="4">
                  <c:v>851.56200000000001</c:v>
                </c:pt>
                <c:pt idx="5">
                  <c:v>87.274000000000001</c:v>
                </c:pt>
                <c:pt idx="6">
                  <c:v>25.35</c:v>
                </c:pt>
                <c:pt idx="7">
                  <c:v>130.624</c:v>
                </c:pt>
                <c:pt idx="8">
                  <c:v>64.08</c:v>
                </c:pt>
                <c:pt idx="9">
                  <c:v>192.8</c:v>
                </c:pt>
                <c:pt idx="10">
                  <c:v>70.62299999999999</c:v>
                </c:pt>
                <c:pt idx="11">
                  <c:v>61.12</c:v>
                </c:pt>
                <c:pt idx="12">
                  <c:v>686.24399999999991</c:v>
                </c:pt>
                <c:pt idx="13">
                  <c:v>366.78</c:v>
                </c:pt>
                <c:pt idx="14">
                  <c:v>32.4</c:v>
                </c:pt>
                <c:pt idx="15">
                  <c:v>775.74600000000009</c:v>
                </c:pt>
                <c:pt idx="16">
                  <c:v>281.916</c:v>
                </c:pt>
                <c:pt idx="17">
                  <c:v>323.21000000000004</c:v>
                </c:pt>
                <c:pt idx="18">
                  <c:v>387.13600000000002</c:v>
                </c:pt>
                <c:pt idx="19">
                  <c:v>305.49600000000004</c:v>
                </c:pt>
                <c:pt idx="20">
                  <c:v>124.056</c:v>
                </c:pt>
                <c:pt idx="21">
                  <c:v>185.49600000000001</c:v>
                </c:pt>
                <c:pt idx="22">
                  <c:v>98.328000000000003</c:v>
                </c:pt>
                <c:pt idx="23">
                  <c:v>848.54399999999998</c:v>
                </c:pt>
                <c:pt idx="24">
                  <c:v>191.17399999999998</c:v>
                </c:pt>
                <c:pt idx="25">
                  <c:v>624.65599999999995</c:v>
                </c:pt>
                <c:pt idx="26">
                  <c:v>5.7279999999999998</c:v>
                </c:pt>
                <c:pt idx="27">
                  <c:v>776.46749999999997</c:v>
                </c:pt>
                <c:pt idx="28">
                  <c:v>12.78</c:v>
                </c:pt>
                <c:pt idx="29">
                  <c:v>12.96</c:v>
                </c:pt>
                <c:pt idx="30">
                  <c:v>112.53999999999999</c:v>
                </c:pt>
                <c:pt idx="31">
                  <c:v>257.49900000000002</c:v>
                </c:pt>
                <c:pt idx="32">
                  <c:v>100.16</c:v>
                </c:pt>
                <c:pt idx="33">
                  <c:v>72.293999999999997</c:v>
                </c:pt>
                <c:pt idx="34">
                  <c:v>1139.3680000000002</c:v>
                </c:pt>
                <c:pt idx="35">
                  <c:v>915.08799999999997</c:v>
                </c:pt>
                <c:pt idx="36">
                  <c:v>24.85</c:v>
                </c:pt>
                <c:pt idx="37">
                  <c:v>17932.535999999996</c:v>
                </c:pt>
                <c:pt idx="38">
                  <c:v>230.08799999999999</c:v>
                </c:pt>
                <c:pt idx="39">
                  <c:v>102.18</c:v>
                </c:pt>
                <c:pt idx="40">
                  <c:v>24.783999999999999</c:v>
                </c:pt>
                <c:pt idx="41">
                  <c:v>59.39</c:v>
                </c:pt>
                <c:pt idx="42">
                  <c:v>128.66999999999999</c:v>
                </c:pt>
                <c:pt idx="43">
                  <c:v>27.88</c:v>
                </c:pt>
                <c:pt idx="44">
                  <c:v>41.96</c:v>
                </c:pt>
                <c:pt idx="45">
                  <c:v>545.01</c:v>
                </c:pt>
                <c:pt idx="46">
                  <c:v>207.68</c:v>
                </c:pt>
                <c:pt idx="47">
                  <c:v>589.67600000000004</c:v>
                </c:pt>
                <c:pt idx="48">
                  <c:v>12.9</c:v>
                </c:pt>
                <c:pt idx="49">
                  <c:v>58.94</c:v>
                </c:pt>
                <c:pt idx="50">
                  <c:v>102.78</c:v>
                </c:pt>
                <c:pt idx="51">
                  <c:v>72.740000000000009</c:v>
                </c:pt>
                <c:pt idx="52">
                  <c:v>1048.76</c:v>
                </c:pt>
                <c:pt idx="53">
                  <c:v>1562.9449999999997</c:v>
                </c:pt>
                <c:pt idx="54">
                  <c:v>34.68</c:v>
                </c:pt>
                <c:pt idx="55">
                  <c:v>923.86899999999991</c:v>
                </c:pt>
                <c:pt idx="56">
                  <c:v>44.4</c:v>
                </c:pt>
                <c:pt idx="57">
                  <c:v>97.839999999999989</c:v>
                </c:pt>
                <c:pt idx="58">
                  <c:v>124.58</c:v>
                </c:pt>
                <c:pt idx="59">
                  <c:v>65.943999999999988</c:v>
                </c:pt>
                <c:pt idx="60">
                  <c:v>12.32</c:v>
                </c:pt>
                <c:pt idx="61">
                  <c:v>112.12</c:v>
                </c:pt>
                <c:pt idx="62">
                  <c:v>41.904000000000003</c:v>
                </c:pt>
                <c:pt idx="63">
                  <c:v>133.88800000000001</c:v>
                </c:pt>
                <c:pt idx="64">
                  <c:v>687.56599999999992</c:v>
                </c:pt>
                <c:pt idx="65">
                  <c:v>387.09000000000003</c:v>
                </c:pt>
                <c:pt idx="66">
                  <c:v>743.12699999999995</c:v>
                </c:pt>
                <c:pt idx="67">
                  <c:v>44.040000000000006</c:v>
                </c:pt>
                <c:pt idx="68">
                  <c:v>219.11999999999998</c:v>
                </c:pt>
                <c:pt idx="69">
                  <c:v>90.057999999999993</c:v>
                </c:pt>
                <c:pt idx="70">
                  <c:v>2907.1619999999998</c:v>
                </c:pt>
                <c:pt idx="71">
                  <c:v>7845.5760000000009</c:v>
                </c:pt>
                <c:pt idx="72">
                  <c:v>1704.7040000000002</c:v>
                </c:pt>
                <c:pt idx="73">
                  <c:v>3.62</c:v>
                </c:pt>
                <c:pt idx="74">
                  <c:v>1285.3479999999997</c:v>
                </c:pt>
                <c:pt idx="75">
                  <c:v>504.56</c:v>
                </c:pt>
                <c:pt idx="76">
                  <c:v>79.792000000000002</c:v>
                </c:pt>
                <c:pt idx="77">
                  <c:v>744.98400000000004</c:v>
                </c:pt>
                <c:pt idx="78">
                  <c:v>7888.1819999999971</c:v>
                </c:pt>
                <c:pt idx="79">
                  <c:v>76.071999999999989</c:v>
                </c:pt>
                <c:pt idx="80">
                  <c:v>86.2</c:v>
                </c:pt>
                <c:pt idx="81">
                  <c:v>114.96000000000001</c:v>
                </c:pt>
                <c:pt idx="82">
                  <c:v>489.16</c:v>
                </c:pt>
                <c:pt idx="83">
                  <c:v>307.92</c:v>
                </c:pt>
                <c:pt idx="84">
                  <c:v>65.070000000000007</c:v>
                </c:pt>
                <c:pt idx="85">
                  <c:v>6.0960000000000001</c:v>
                </c:pt>
                <c:pt idx="86">
                  <c:v>852.48800000000006</c:v>
                </c:pt>
                <c:pt idx="87">
                  <c:v>20.416</c:v>
                </c:pt>
                <c:pt idx="88">
                  <c:v>15.423999999999999</c:v>
                </c:pt>
                <c:pt idx="89">
                  <c:v>677.19599999999991</c:v>
                </c:pt>
                <c:pt idx="90">
                  <c:v>310.86</c:v>
                </c:pt>
                <c:pt idx="91">
                  <c:v>239.98400000000001</c:v>
                </c:pt>
                <c:pt idx="92">
                  <c:v>240.88</c:v>
                </c:pt>
              </c:numCache>
            </c:numRef>
          </c:val>
          <c:extLst>
            <c:ext xmlns:c16="http://schemas.microsoft.com/office/drawing/2014/chart" uri="{C3380CC4-5D6E-409C-BE32-E72D297353CC}">
              <c16:uniqueId val="{00000000-7B1C-4414-A8BC-301C91870B07}"/>
            </c:ext>
          </c:extLst>
        </c:ser>
        <c:dLbls>
          <c:showLegendKey val="0"/>
          <c:showVal val="0"/>
          <c:showCatName val="0"/>
          <c:showSerName val="0"/>
          <c:showPercent val="0"/>
          <c:showBubbleSize val="0"/>
        </c:dLbls>
        <c:gapWidth val="182"/>
        <c:axId val="114240847"/>
        <c:axId val="114230767"/>
      </c:barChart>
      <c:catAx>
        <c:axId val="11424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0767"/>
        <c:crosses val="autoZero"/>
        <c:auto val="1"/>
        <c:lblAlgn val="ctr"/>
        <c:lblOffset val="100"/>
        <c:noMultiLvlLbl val="0"/>
      </c:catAx>
      <c:valAx>
        <c:axId val="11423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Sheet2!$E$15</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Sheet2!$D$16:$D$26</c:f>
              <c:strCache>
                <c:ptCount val="10"/>
                <c:pt idx="0">
                  <c:v>Logitech G35 7.1-Channel Surround Sound Headset</c:v>
                </c:pt>
                <c:pt idx="1">
                  <c:v>Fellowes PB200 Plastic Comb Binding Machine</c:v>
                </c:pt>
                <c:pt idx="2">
                  <c:v>Global Deluxe High-Back Office Chair in Storm</c:v>
                </c:pt>
                <c:pt idx="3">
                  <c:v>Howard Miller 14-1/2" Diameter Chrome Round Wall Clock</c:v>
                </c:pt>
                <c:pt idx="4">
                  <c:v>Bevis Steel Folding Chairs</c:v>
                </c:pt>
                <c:pt idx="5">
                  <c:v>Mitel 5320 IP Phone VoIP phone</c:v>
                </c:pt>
                <c:pt idx="6">
                  <c:v>Global Manager's Adjustable Task Chair, Storm</c:v>
                </c:pt>
                <c:pt idx="7">
                  <c:v>SAFCO Boltless Steel Shelving</c:v>
                </c:pt>
                <c:pt idx="8">
                  <c:v>Nortel Business Series Terminal T7208 Digital phone</c:v>
                </c:pt>
                <c:pt idx="9">
                  <c:v>Panasonic KX TS3282W Corded phone</c:v>
                </c:pt>
              </c:strCache>
            </c:strRef>
          </c:cat>
          <c:val>
            <c:numRef>
              <c:f>Sheet2!$E$16:$E$26</c:f>
              <c:numCache>
                <c:formatCode>General</c:formatCode>
                <c:ptCount val="10"/>
                <c:pt idx="0">
                  <c:v>779.94</c:v>
                </c:pt>
                <c:pt idx="1">
                  <c:v>679.96</c:v>
                </c:pt>
                <c:pt idx="2">
                  <c:v>652.75199999999995</c:v>
                </c:pt>
                <c:pt idx="3">
                  <c:v>639.4</c:v>
                </c:pt>
                <c:pt idx="4">
                  <c:v>614.08000000000004</c:v>
                </c:pt>
                <c:pt idx="5">
                  <c:v>604.76800000000003</c:v>
                </c:pt>
                <c:pt idx="6">
                  <c:v>603.92000000000007</c:v>
                </c:pt>
                <c:pt idx="7">
                  <c:v>568.20000000000005</c:v>
                </c:pt>
                <c:pt idx="8">
                  <c:v>555.96</c:v>
                </c:pt>
                <c:pt idx="9">
                  <c:v>543.93599999999992</c:v>
                </c:pt>
              </c:numCache>
            </c:numRef>
          </c:val>
          <c:extLst>
            <c:ext xmlns:c16="http://schemas.microsoft.com/office/drawing/2014/chart" uri="{C3380CC4-5D6E-409C-BE32-E72D297353CC}">
              <c16:uniqueId val="{00000000-8A2F-407C-BE96-59EC82CB50F2}"/>
            </c:ext>
          </c:extLst>
        </c:ser>
        <c:dLbls>
          <c:showLegendKey val="0"/>
          <c:showVal val="0"/>
          <c:showCatName val="0"/>
          <c:showSerName val="0"/>
          <c:showPercent val="0"/>
          <c:showBubbleSize val="0"/>
        </c:dLbls>
        <c:gapWidth val="182"/>
        <c:axId val="213716335"/>
        <c:axId val="213716815"/>
      </c:barChart>
      <c:catAx>
        <c:axId val="21371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6815"/>
        <c:crosses val="autoZero"/>
        <c:auto val="1"/>
        <c:lblAlgn val="ctr"/>
        <c:lblOffset val="100"/>
        <c:noMultiLvlLbl val="0"/>
      </c:catAx>
      <c:valAx>
        <c:axId val="213716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c:f>
              <c:strCache>
                <c:ptCount val="1"/>
                <c:pt idx="0">
                  <c:v>Total</c:v>
                </c:pt>
              </c:strCache>
            </c:strRef>
          </c:tx>
          <c:spPr>
            <a:solidFill>
              <a:schemeClr val="accent1"/>
            </a:solidFill>
            <a:ln>
              <a:noFill/>
            </a:ln>
            <a:effectLst/>
          </c:spPr>
          <c:invertIfNegative val="0"/>
          <c:cat>
            <c:strRef>
              <c:f>Sheet2!$P$4:$P$21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Sheet2!$Q$4:$Q$21</c:f>
              <c:numCache>
                <c:formatCode>General</c:formatCode>
                <c:ptCount val="17"/>
                <c:pt idx="0">
                  <c:v>4.24</c:v>
                </c:pt>
                <c:pt idx="1">
                  <c:v>4.666666666666667</c:v>
                </c:pt>
                <c:pt idx="2">
                  <c:v>4.0227272727272725</c:v>
                </c:pt>
                <c:pt idx="3">
                  <c:v>3.783582089552239</c:v>
                </c:pt>
                <c:pt idx="4">
                  <c:v>3.3636363636363638</c:v>
                </c:pt>
                <c:pt idx="5">
                  <c:v>3.4615384615384617</c:v>
                </c:pt>
                <c:pt idx="6">
                  <c:v>6</c:v>
                </c:pt>
                <c:pt idx="7">
                  <c:v>3.7</c:v>
                </c:pt>
                <c:pt idx="8">
                  <c:v>3.7333333333333334</c:v>
                </c:pt>
                <c:pt idx="9">
                  <c:v>4.3382352941176467</c:v>
                </c:pt>
                <c:pt idx="10">
                  <c:v>3.9666666666666668</c:v>
                </c:pt>
                <c:pt idx="11">
                  <c:v>4</c:v>
                </c:pt>
                <c:pt idx="12">
                  <c:v>4.0161290322580649</c:v>
                </c:pt>
                <c:pt idx="13">
                  <c:v>4.2631578947368425</c:v>
                </c:pt>
                <c:pt idx="14">
                  <c:v>3.7555555555555555</c:v>
                </c:pt>
                <c:pt idx="15">
                  <c:v>3.8888888888888888</c:v>
                </c:pt>
                <c:pt idx="16">
                  <c:v>3.4545454545454546</c:v>
                </c:pt>
              </c:numCache>
            </c:numRef>
          </c:val>
          <c:extLst>
            <c:ext xmlns:c16="http://schemas.microsoft.com/office/drawing/2014/chart" uri="{C3380CC4-5D6E-409C-BE32-E72D297353CC}">
              <c16:uniqueId val="{00000000-36D4-4E48-988C-E8F850BD2DFA}"/>
            </c:ext>
          </c:extLst>
        </c:ser>
        <c:dLbls>
          <c:showLegendKey val="0"/>
          <c:showVal val="0"/>
          <c:showCatName val="0"/>
          <c:showSerName val="0"/>
          <c:showPercent val="0"/>
          <c:showBubbleSize val="0"/>
        </c:dLbls>
        <c:gapWidth val="219"/>
        <c:overlap val="-27"/>
        <c:axId val="213713455"/>
        <c:axId val="213720175"/>
      </c:barChart>
      <c:catAx>
        <c:axId val="21371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0175"/>
        <c:crosses val="autoZero"/>
        <c:auto val="1"/>
        <c:lblAlgn val="ctr"/>
        <c:lblOffset val="100"/>
        <c:noMultiLvlLbl val="0"/>
      </c:catAx>
      <c:valAx>
        <c:axId val="21372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1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[Amazon_cleaned_data.xlsx]Sheet2!PivotTable49</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1880327787762371E-2"/>
              <c:y val="-8.25332374994638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957259924200852"/>
              <c:y val="4.9519942499678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DA0-40E2-B469-0AC0652F50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A0-40E2-B469-0AC0652F5077}"/>
              </c:ext>
            </c:extLst>
          </c:dPt>
          <c:dLbls>
            <c:dLbl>
              <c:idx val="0"/>
              <c:layout>
                <c:manualLayout>
                  <c:x val="4.1880327787762371E-2"/>
                  <c:y val="-8.25332374994638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A0-40E2-B469-0AC0652F5077}"/>
                </c:ext>
              </c:extLst>
            </c:dLbl>
            <c:dLbl>
              <c:idx val="1"/>
              <c:layout>
                <c:manualLayout>
                  <c:x val="-0.14957259924200852"/>
                  <c:y val="4.95199424996783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A0-40E2-B469-0AC0652F50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Sheet2!$G$16:$G$18</c:f>
              <c:strCache>
                <c:ptCount val="2"/>
                <c:pt idx="0">
                  <c:v>new</c:v>
                </c:pt>
                <c:pt idx="1">
                  <c:v>repeat</c:v>
                </c:pt>
              </c:strCache>
            </c:strRef>
          </c:cat>
          <c:val>
            <c:numRef>
              <c:f>Sheet2!$H$16:$H$18</c:f>
              <c:numCache>
                <c:formatCode>General</c:formatCode>
                <c:ptCount val="2"/>
                <c:pt idx="0">
                  <c:v>1990.8460000000002</c:v>
                </c:pt>
                <c:pt idx="1">
                  <c:v>62704.430499999915</c:v>
                </c:pt>
              </c:numCache>
            </c:numRef>
          </c:val>
          <c:extLst>
            <c:ext xmlns:c16="http://schemas.microsoft.com/office/drawing/2014/chart" uri="{C3380CC4-5D6E-409C-BE32-E72D297353CC}">
              <c16:uniqueId val="{00000000-8DA0-40E2-B469-0AC0652F507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[Amazon_cleaned_data.xlsx]Sheet2!PivotTable50</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Sheet2!$H$22</c:f>
              <c:strCache>
                <c:ptCount val="1"/>
                <c:pt idx="0">
                  <c:v>Total</c:v>
                </c:pt>
              </c:strCache>
            </c:strRef>
          </c:tx>
          <c:spPr>
            <a:ln w="28575" cap="rnd">
              <a:solidFill>
                <a:schemeClr val="tx2">
                  <a:lumMod val="75000"/>
                </a:schemeClr>
              </a:solidFill>
              <a:round/>
            </a:ln>
            <a:effectLst/>
          </c:spPr>
          <c:marker>
            <c:symbol val="circle"/>
            <c:size val="5"/>
            <c:spPr>
              <a:solidFill>
                <a:schemeClr val="accent1"/>
              </a:solidFill>
              <a:ln w="9525">
                <a:solidFill>
                  <a:schemeClr val="accent1"/>
                </a:solidFill>
              </a:ln>
              <a:effectLst/>
            </c:spPr>
          </c:marker>
          <c:cat>
            <c:strRef>
              <c:f>Sheet2!$G$23:$G$35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Sheet2!$H$23:$H$35</c:f>
              <c:numCache>
                <c:formatCode>General</c:formatCode>
                <c:ptCount val="12"/>
                <c:pt idx="0">
                  <c:v>2644.3340000000007</c:v>
                </c:pt>
                <c:pt idx="1">
                  <c:v>1918.4739999999999</c:v>
                </c:pt>
                <c:pt idx="2">
                  <c:v>2330.9949999999994</c:v>
                </c:pt>
                <c:pt idx="3">
                  <c:v>2742.1879999999996</c:v>
                </c:pt>
                <c:pt idx="4">
                  <c:v>4314.6869999999999</c:v>
                </c:pt>
                <c:pt idx="5">
                  <c:v>4988.8080000000009</c:v>
                </c:pt>
                <c:pt idx="6">
                  <c:v>5468.2319999999982</c:v>
                </c:pt>
                <c:pt idx="7">
                  <c:v>4404.6040000000003</c:v>
                </c:pt>
                <c:pt idx="8">
                  <c:v>9063.1045000000013</c:v>
                </c:pt>
                <c:pt idx="9">
                  <c:v>5415.4820000000018</c:v>
                </c:pt>
                <c:pt idx="10">
                  <c:v>8118.9730000000009</c:v>
                </c:pt>
                <c:pt idx="11">
                  <c:v>13285.394999999999</c:v>
                </c:pt>
              </c:numCache>
            </c:numRef>
          </c:val>
          <c:smooth val="0"/>
          <c:extLst>
            <c:ext xmlns:c16="http://schemas.microsoft.com/office/drawing/2014/chart" uri="{C3380CC4-5D6E-409C-BE32-E72D297353CC}">
              <c16:uniqueId val="{00000000-8568-4CF8-A29E-33E44956EC5B}"/>
            </c:ext>
          </c:extLst>
        </c:ser>
        <c:dLbls>
          <c:showLegendKey val="0"/>
          <c:showVal val="0"/>
          <c:showCatName val="0"/>
          <c:showSerName val="0"/>
          <c:showPercent val="0"/>
          <c:showBubbleSize val="0"/>
        </c:dLbls>
        <c:marker val="1"/>
        <c:smooth val="0"/>
        <c:axId val="114274927"/>
        <c:axId val="114275887"/>
      </c:lineChart>
      <c:catAx>
        <c:axId val="11427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Segoe UI Semibold" panose="020B0702040204020203" pitchFamily="34" charset="0"/>
              </a:defRPr>
            </a:pPr>
            <a:endParaRPr lang="en-US"/>
          </a:p>
        </c:txPr>
        <c:crossAx val="114275887"/>
        <c:crosses val="autoZero"/>
        <c:auto val="1"/>
        <c:lblAlgn val="ctr"/>
        <c:lblOffset val="100"/>
        <c:noMultiLvlLbl val="0"/>
      </c:catAx>
      <c:valAx>
        <c:axId val="11427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42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[Amazon_cleaned_data.xlsx]Sheet2!PivotTable3</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6823742137031"/>
          <c:y val="7.8683834048640919E-2"/>
          <c:w val="0.76233584325843173"/>
          <c:h val="0.54511225259932639"/>
        </c:manualLayout>
      </c:layout>
      <c:lineChart>
        <c:grouping val="standard"/>
        <c:varyColors val="0"/>
        <c:ser>
          <c:idx val="0"/>
          <c:order val="0"/>
          <c:tx>
            <c:strRef>
              <c:f>Sheet2!$N$19</c:f>
              <c:strCache>
                <c:ptCount val="1"/>
                <c:pt idx="0">
                  <c:v>Total</c:v>
                </c:pt>
              </c:strCache>
            </c:strRef>
          </c:tx>
          <c:spPr>
            <a:ln w="28575" cap="rnd">
              <a:solidFill>
                <a:schemeClr val="tx2">
                  <a:lumMod val="75000"/>
                </a:schemeClr>
              </a:solidFill>
              <a:round/>
            </a:ln>
            <a:effectLst/>
          </c:spPr>
          <c:marker>
            <c:symbol val="circle"/>
            <c:size val="5"/>
            <c:spPr>
              <a:solidFill>
                <a:schemeClr val="accent1"/>
              </a:solidFill>
              <a:ln w="9525">
                <a:solidFill>
                  <a:schemeClr val="accent1"/>
                </a:solidFill>
              </a:ln>
              <a:effectLst/>
            </c:spPr>
          </c:marker>
          <c:cat>
            <c:strRef>
              <c:f>Sheet2!$M$20:$M$32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Sheet2!$N$20:$N$32</c:f>
              <c:numCache>
                <c:formatCode>General</c:formatCode>
                <c:ptCount val="12"/>
                <c:pt idx="0">
                  <c:v>568.23379999999997</c:v>
                </c:pt>
                <c:pt idx="1">
                  <c:v>342.42900000000003</c:v>
                </c:pt>
                <c:pt idx="2">
                  <c:v>103.7774</c:v>
                </c:pt>
                <c:pt idx="3">
                  <c:v>463.93440000000004</c:v>
                </c:pt>
                <c:pt idx="4">
                  <c:v>641.86190000000011</c:v>
                </c:pt>
                <c:pt idx="5">
                  <c:v>1180.5652999999998</c:v>
                </c:pt>
                <c:pt idx="6">
                  <c:v>1053.0381999999997</c:v>
                </c:pt>
                <c:pt idx="7">
                  <c:v>874.72910000000002</c:v>
                </c:pt>
                <c:pt idx="8">
                  <c:v>1777.9072000000003</c:v>
                </c:pt>
                <c:pt idx="9">
                  <c:v>658.92229999999995</c:v>
                </c:pt>
                <c:pt idx="10">
                  <c:v>1591.6652000000001</c:v>
                </c:pt>
                <c:pt idx="11">
                  <c:v>1503.5164</c:v>
                </c:pt>
              </c:numCache>
            </c:numRef>
          </c:val>
          <c:smooth val="0"/>
          <c:extLst>
            <c:ext xmlns:c16="http://schemas.microsoft.com/office/drawing/2014/chart" uri="{C3380CC4-5D6E-409C-BE32-E72D297353CC}">
              <c16:uniqueId val="{00000000-C961-4A3B-A421-EFE4493D00DD}"/>
            </c:ext>
          </c:extLst>
        </c:ser>
        <c:dLbls>
          <c:showLegendKey val="0"/>
          <c:showVal val="0"/>
          <c:showCatName val="0"/>
          <c:showSerName val="0"/>
          <c:showPercent val="0"/>
          <c:showBubbleSize val="0"/>
        </c:dLbls>
        <c:marker val="1"/>
        <c:smooth val="0"/>
        <c:axId val="114271087"/>
        <c:axId val="114287407"/>
      </c:lineChart>
      <c:catAx>
        <c:axId val="1142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287407"/>
        <c:crosses val="autoZero"/>
        <c:auto val="1"/>
        <c:lblAlgn val="ctr"/>
        <c:lblOffset val="100"/>
        <c:noMultiLvlLbl val="0"/>
      </c:catAx>
      <c:valAx>
        <c:axId val="11428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Segoe UI Semibold" panose="020B0702040204020203" pitchFamily="34" charset="0"/>
              </a:defRPr>
            </a:pPr>
            <a:endParaRPr lang="en-US"/>
          </a:p>
        </c:txPr>
        <c:crossAx val="11427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50342814291071"/>
          <c:y val="0.11082842585853239"/>
          <c:w val="0.49374922377605007"/>
          <c:h val="0.72671871898365648"/>
        </c:manualLayout>
      </c:layout>
      <c:barChart>
        <c:barDir val="bar"/>
        <c:grouping val="clustered"/>
        <c:varyColors val="0"/>
        <c:ser>
          <c:idx val="0"/>
          <c:order val="0"/>
          <c:tx>
            <c:strRef>
              <c:f>Sheet2!$K$7</c:f>
              <c:strCache>
                <c:ptCount val="1"/>
                <c:pt idx="0">
                  <c:v>Total</c:v>
                </c:pt>
              </c:strCache>
            </c:strRef>
          </c:tx>
          <c:spPr>
            <a:solidFill>
              <a:schemeClr val="tx2">
                <a:lumMod val="75000"/>
              </a:schemeClr>
            </a:solidFill>
            <a:ln>
              <a:noFill/>
            </a:ln>
            <a:effectLst/>
          </c:spPr>
          <c:invertIfNegative val="0"/>
          <c:cat>
            <c:strRef>
              <c:f>Sheet2!$J$8:$J$101</c:f>
              <c:strCache>
                <c:ptCount val="93"/>
                <c:pt idx="0">
                  <c:v>United States,Anaheim,California</c:v>
                </c:pt>
                <c:pt idx="1">
                  <c:v>United States,Antioch,California</c:v>
                </c:pt>
                <c:pt idx="2">
                  <c:v>United States,Arvada,Colorado</c:v>
                </c:pt>
                <c:pt idx="3">
                  <c:v>United States,Auburn,Washington</c:v>
                </c:pt>
                <c:pt idx="4">
                  <c:v>United States,Aurora,Colorado</c:v>
                </c:pt>
                <c:pt idx="5">
                  <c:v>United States,Bakersfield,California</c:v>
                </c:pt>
                <c:pt idx="6">
                  <c:v>United States,Bellevue,Washington</c:v>
                </c:pt>
                <c:pt idx="7">
                  <c:v>United States,Broomfield,Colorado</c:v>
                </c:pt>
                <c:pt idx="8">
                  <c:v>United States,Carlsbad,New Mexico</c:v>
                </c:pt>
                <c:pt idx="9">
                  <c:v>United States,Chula Vista,California</c:v>
                </c:pt>
                <c:pt idx="10">
                  <c:v>United States,Colorado Springs,Colorado</c:v>
                </c:pt>
                <c:pt idx="11">
                  <c:v>United States,Concord,California</c:v>
                </c:pt>
                <c:pt idx="12">
                  <c:v>United States,Costa Mesa,California</c:v>
                </c:pt>
                <c:pt idx="13">
                  <c:v>United States,Covington,Washington</c:v>
                </c:pt>
                <c:pt idx="14">
                  <c:v>United States,Davis,California</c:v>
                </c:pt>
                <c:pt idx="15">
                  <c:v>United States,Denver,Colorado</c:v>
                </c:pt>
                <c:pt idx="16">
                  <c:v>United States,Des Moines,Washington</c:v>
                </c:pt>
                <c:pt idx="17">
                  <c:v>United States,Edmonds,Washington</c:v>
                </c:pt>
                <c:pt idx="18">
                  <c:v>United States,El Cajon,California</c:v>
                </c:pt>
                <c:pt idx="19">
                  <c:v>United States,Encinitas,California</c:v>
                </c:pt>
                <c:pt idx="20">
                  <c:v>United States,Englewood,Colorado</c:v>
                </c:pt>
                <c:pt idx="21">
                  <c:v>United States,Eugene,Oregon</c:v>
                </c:pt>
                <c:pt idx="22">
                  <c:v>United States,Fort Collins,Colorado</c:v>
                </c:pt>
                <c:pt idx="23">
                  <c:v>United States,Fresno,California</c:v>
                </c:pt>
                <c:pt idx="24">
                  <c:v>United States,Glendale,Arizona</c:v>
                </c:pt>
                <c:pt idx="25">
                  <c:v>United States,Gresham,Oregon</c:v>
                </c:pt>
                <c:pt idx="26">
                  <c:v>United States,Henderson,Nevada</c:v>
                </c:pt>
                <c:pt idx="27">
                  <c:v>United States,Hesperia,California</c:v>
                </c:pt>
                <c:pt idx="28">
                  <c:v>United States,Huntington Beach,California</c:v>
                </c:pt>
                <c:pt idx="29">
                  <c:v>United States,Laguna Niguel,California</c:v>
                </c:pt>
                <c:pt idx="30">
                  <c:v>United States,Lake Forest,California</c:v>
                </c:pt>
                <c:pt idx="31">
                  <c:v>United States,Lakewood,California</c:v>
                </c:pt>
                <c:pt idx="32">
                  <c:v>United States,Lancaster,California</c:v>
                </c:pt>
                <c:pt idx="33">
                  <c:v>United States,Littleton,Colorado</c:v>
                </c:pt>
                <c:pt idx="34">
                  <c:v>United States,Long Beach,California</c:v>
                </c:pt>
                <c:pt idx="35">
                  <c:v>United States,Longmont,Colorado</c:v>
                </c:pt>
                <c:pt idx="36">
                  <c:v>United States,Longview,Washington</c:v>
                </c:pt>
                <c:pt idx="37">
                  <c:v>United States,Los Angeles,California</c:v>
                </c:pt>
                <c:pt idx="38">
                  <c:v>United States,Louisville,Colorado</c:v>
                </c:pt>
                <c:pt idx="39">
                  <c:v>United States,Marysville,Washington</c:v>
                </c:pt>
                <c:pt idx="40">
                  <c:v>United States,Medford,Oregon</c:v>
                </c:pt>
                <c:pt idx="41">
                  <c:v>United States,Mesa,Arizona</c:v>
                </c:pt>
                <c:pt idx="42">
                  <c:v>United States,Mission Viejo,California</c:v>
                </c:pt>
                <c:pt idx="43">
                  <c:v>United States,Montebello,California</c:v>
                </c:pt>
                <c:pt idx="44">
                  <c:v>United States,Moreno Valley,California</c:v>
                </c:pt>
                <c:pt idx="45">
                  <c:v>United States,Morgan Hill,California</c:v>
                </c:pt>
                <c:pt idx="46">
                  <c:v>United States,North Las Vegas,Nevada</c:v>
                </c:pt>
                <c:pt idx="47">
                  <c:v>United States,Oakland,California</c:v>
                </c:pt>
                <c:pt idx="48">
                  <c:v>United States,Oceanside,California</c:v>
                </c:pt>
                <c:pt idx="49">
                  <c:v>United States,Orem,Utah</c:v>
                </c:pt>
                <c:pt idx="50">
                  <c:v>United States,Oxnard,California</c:v>
                </c:pt>
                <c:pt idx="51">
                  <c:v>United States,Parker,Colorado</c:v>
                </c:pt>
                <c:pt idx="52">
                  <c:v>United States,Pasadena,California</c:v>
                </c:pt>
                <c:pt idx="53">
                  <c:v>United States,Phoenix,Arizona</c:v>
                </c:pt>
                <c:pt idx="54">
                  <c:v>United States,Pocatello,Idaho</c:v>
                </c:pt>
                <c:pt idx="55">
                  <c:v>United States,Portland,Oregon</c:v>
                </c:pt>
                <c:pt idx="56">
                  <c:v>United States,Provo,Utah</c:v>
                </c:pt>
                <c:pt idx="57">
                  <c:v>United States,Pueblo,Colorado</c:v>
                </c:pt>
                <c:pt idx="58">
                  <c:v>United States,Redlands,California</c:v>
                </c:pt>
                <c:pt idx="59">
                  <c:v>United States,Redmond,Oregon</c:v>
                </c:pt>
                <c:pt idx="60">
                  <c:v>United States,Redmond,Washington</c:v>
                </c:pt>
                <c:pt idx="61">
                  <c:v>United States,Redondo Beach,California</c:v>
                </c:pt>
                <c:pt idx="62">
                  <c:v>United States,Redwood City,California</c:v>
                </c:pt>
                <c:pt idx="63">
                  <c:v>United States,Riverside,California</c:v>
                </c:pt>
                <c:pt idx="64">
                  <c:v>United States,Roseville,California</c:v>
                </c:pt>
                <c:pt idx="65">
                  <c:v>United States,Sacramento,California</c:v>
                </c:pt>
                <c:pt idx="66">
                  <c:v>United States,Salem,Oregon</c:v>
                </c:pt>
                <c:pt idx="67">
                  <c:v>United States,Salinas,California</c:v>
                </c:pt>
                <c:pt idx="68">
                  <c:v>United States,Salt Lake City,Utah</c:v>
                </c:pt>
                <c:pt idx="69">
                  <c:v>United States,San Clemente,California</c:v>
                </c:pt>
                <c:pt idx="70">
                  <c:v>United States,San Diego,California</c:v>
                </c:pt>
                <c:pt idx="71">
                  <c:v>United States,San Francisco,California</c:v>
                </c:pt>
                <c:pt idx="72">
                  <c:v>United States,San Jose,California</c:v>
                </c:pt>
                <c:pt idx="73">
                  <c:v>United States,San Luis Obispo,California</c:v>
                </c:pt>
                <c:pt idx="74">
                  <c:v>United States,Santa Ana,California</c:v>
                </c:pt>
                <c:pt idx="75">
                  <c:v>United States,Santa Barbara,California</c:v>
                </c:pt>
                <c:pt idx="76">
                  <c:v>United States,Santa Clara,California</c:v>
                </c:pt>
                <c:pt idx="77">
                  <c:v>United States,Scottsdale,Arizona</c:v>
                </c:pt>
                <c:pt idx="78">
                  <c:v>United States,Seattle,Washington</c:v>
                </c:pt>
                <c:pt idx="79">
                  <c:v>United States,Sierra Vista,Arizona</c:v>
                </c:pt>
                <c:pt idx="80">
                  <c:v>United States,Sparks,Nevada</c:v>
                </c:pt>
                <c:pt idx="81">
                  <c:v>United States,Springfield,Oregon</c:v>
                </c:pt>
                <c:pt idx="82">
                  <c:v>United States,Stockton,California</c:v>
                </c:pt>
                <c:pt idx="83">
                  <c:v>United States,Tempe,Arizona</c:v>
                </c:pt>
                <c:pt idx="84">
                  <c:v>United States,Tigard,Oregon</c:v>
                </c:pt>
                <c:pt idx="85">
                  <c:v>United States,Torrance,California</c:v>
                </c:pt>
                <c:pt idx="86">
                  <c:v>United States,Tucson,Arizona</c:v>
                </c:pt>
                <c:pt idx="87">
                  <c:v>United States,Twin Falls,Idaho</c:v>
                </c:pt>
                <c:pt idx="88">
                  <c:v>United States,Vallejo,California</c:v>
                </c:pt>
                <c:pt idx="89">
                  <c:v>United States,Vancouver,Washington</c:v>
                </c:pt>
                <c:pt idx="90">
                  <c:v>United States,Visalia,California</c:v>
                </c:pt>
                <c:pt idx="91">
                  <c:v>United States,Woodland,California</c:v>
                </c:pt>
                <c:pt idx="92">
                  <c:v>United States,Yuma,Arizona</c:v>
                </c:pt>
              </c:strCache>
            </c:strRef>
          </c:cat>
          <c:val>
            <c:numRef>
              <c:f>Sheet2!$K$8:$K$101</c:f>
              <c:numCache>
                <c:formatCode>General</c:formatCode>
                <c:ptCount val="93"/>
                <c:pt idx="0">
                  <c:v>1045.788</c:v>
                </c:pt>
                <c:pt idx="1">
                  <c:v>19.440000000000001</c:v>
                </c:pt>
                <c:pt idx="2">
                  <c:v>503.4</c:v>
                </c:pt>
                <c:pt idx="3">
                  <c:v>4.18</c:v>
                </c:pt>
                <c:pt idx="4">
                  <c:v>851.56200000000001</c:v>
                </c:pt>
                <c:pt idx="5">
                  <c:v>87.274000000000001</c:v>
                </c:pt>
                <c:pt idx="6">
                  <c:v>25.35</c:v>
                </c:pt>
                <c:pt idx="7">
                  <c:v>130.624</c:v>
                </c:pt>
                <c:pt idx="8">
                  <c:v>64.08</c:v>
                </c:pt>
                <c:pt idx="9">
                  <c:v>192.8</c:v>
                </c:pt>
                <c:pt idx="10">
                  <c:v>70.62299999999999</c:v>
                </c:pt>
                <c:pt idx="11">
                  <c:v>61.12</c:v>
                </c:pt>
                <c:pt idx="12">
                  <c:v>686.24399999999991</c:v>
                </c:pt>
                <c:pt idx="13">
                  <c:v>366.78</c:v>
                </c:pt>
                <c:pt idx="14">
                  <c:v>32.4</c:v>
                </c:pt>
                <c:pt idx="15">
                  <c:v>775.74600000000009</c:v>
                </c:pt>
                <c:pt idx="16">
                  <c:v>281.916</c:v>
                </c:pt>
                <c:pt idx="17">
                  <c:v>323.21000000000004</c:v>
                </c:pt>
                <c:pt idx="18">
                  <c:v>387.13600000000002</c:v>
                </c:pt>
                <c:pt idx="19">
                  <c:v>305.49600000000004</c:v>
                </c:pt>
                <c:pt idx="20">
                  <c:v>124.056</c:v>
                </c:pt>
                <c:pt idx="21">
                  <c:v>185.49600000000001</c:v>
                </c:pt>
                <c:pt idx="22">
                  <c:v>98.328000000000003</c:v>
                </c:pt>
                <c:pt idx="23">
                  <c:v>848.54399999999998</c:v>
                </c:pt>
                <c:pt idx="24">
                  <c:v>191.17399999999998</c:v>
                </c:pt>
                <c:pt idx="25">
                  <c:v>624.65599999999995</c:v>
                </c:pt>
                <c:pt idx="26">
                  <c:v>5.7279999999999998</c:v>
                </c:pt>
                <c:pt idx="27">
                  <c:v>776.46749999999997</c:v>
                </c:pt>
                <c:pt idx="28">
                  <c:v>12.78</c:v>
                </c:pt>
                <c:pt idx="29">
                  <c:v>12.96</c:v>
                </c:pt>
                <c:pt idx="30">
                  <c:v>112.53999999999999</c:v>
                </c:pt>
                <c:pt idx="31">
                  <c:v>257.49900000000002</c:v>
                </c:pt>
                <c:pt idx="32">
                  <c:v>100.16</c:v>
                </c:pt>
                <c:pt idx="33">
                  <c:v>72.293999999999997</c:v>
                </c:pt>
                <c:pt idx="34">
                  <c:v>1139.3680000000002</c:v>
                </c:pt>
                <c:pt idx="35">
                  <c:v>915.08799999999997</c:v>
                </c:pt>
                <c:pt idx="36">
                  <c:v>24.85</c:v>
                </c:pt>
                <c:pt idx="37">
                  <c:v>17932.535999999996</c:v>
                </c:pt>
                <c:pt idx="38">
                  <c:v>230.08799999999999</c:v>
                </c:pt>
                <c:pt idx="39">
                  <c:v>102.18</c:v>
                </c:pt>
                <c:pt idx="40">
                  <c:v>24.783999999999999</c:v>
                </c:pt>
                <c:pt idx="41">
                  <c:v>59.39</c:v>
                </c:pt>
                <c:pt idx="42">
                  <c:v>128.66999999999999</c:v>
                </c:pt>
                <c:pt idx="43">
                  <c:v>27.88</c:v>
                </c:pt>
                <c:pt idx="44">
                  <c:v>41.96</c:v>
                </c:pt>
                <c:pt idx="45">
                  <c:v>545.01</c:v>
                </c:pt>
                <c:pt idx="46">
                  <c:v>207.68</c:v>
                </c:pt>
                <c:pt idx="47">
                  <c:v>589.67600000000004</c:v>
                </c:pt>
                <c:pt idx="48">
                  <c:v>12.9</c:v>
                </c:pt>
                <c:pt idx="49">
                  <c:v>58.94</c:v>
                </c:pt>
                <c:pt idx="50">
                  <c:v>102.78</c:v>
                </c:pt>
                <c:pt idx="51">
                  <c:v>72.740000000000009</c:v>
                </c:pt>
                <c:pt idx="52">
                  <c:v>1048.76</c:v>
                </c:pt>
                <c:pt idx="53">
                  <c:v>1562.9449999999997</c:v>
                </c:pt>
                <c:pt idx="54">
                  <c:v>34.68</c:v>
                </c:pt>
                <c:pt idx="55">
                  <c:v>923.86899999999991</c:v>
                </c:pt>
                <c:pt idx="56">
                  <c:v>44.4</c:v>
                </c:pt>
                <c:pt idx="57">
                  <c:v>97.839999999999989</c:v>
                </c:pt>
                <c:pt idx="58">
                  <c:v>124.58</c:v>
                </c:pt>
                <c:pt idx="59">
                  <c:v>65.943999999999988</c:v>
                </c:pt>
                <c:pt idx="60">
                  <c:v>12.32</c:v>
                </c:pt>
                <c:pt idx="61">
                  <c:v>112.12</c:v>
                </c:pt>
                <c:pt idx="62">
                  <c:v>41.904000000000003</c:v>
                </c:pt>
                <c:pt idx="63">
                  <c:v>133.88800000000001</c:v>
                </c:pt>
                <c:pt idx="64">
                  <c:v>687.56599999999992</c:v>
                </c:pt>
                <c:pt idx="65">
                  <c:v>387.09000000000003</c:v>
                </c:pt>
                <c:pt idx="66">
                  <c:v>743.12699999999995</c:v>
                </c:pt>
                <c:pt idx="67">
                  <c:v>44.040000000000006</c:v>
                </c:pt>
                <c:pt idx="68">
                  <c:v>219.11999999999998</c:v>
                </c:pt>
                <c:pt idx="69">
                  <c:v>90.057999999999993</c:v>
                </c:pt>
                <c:pt idx="70">
                  <c:v>2907.1619999999998</c:v>
                </c:pt>
                <c:pt idx="71">
                  <c:v>7845.5760000000009</c:v>
                </c:pt>
                <c:pt idx="72">
                  <c:v>1704.7040000000002</c:v>
                </c:pt>
                <c:pt idx="73">
                  <c:v>3.62</c:v>
                </c:pt>
                <c:pt idx="74">
                  <c:v>1285.3479999999997</c:v>
                </c:pt>
                <c:pt idx="75">
                  <c:v>504.56</c:v>
                </c:pt>
                <c:pt idx="76">
                  <c:v>79.792000000000002</c:v>
                </c:pt>
                <c:pt idx="77">
                  <c:v>744.98400000000004</c:v>
                </c:pt>
                <c:pt idx="78">
                  <c:v>7888.1819999999971</c:v>
                </c:pt>
                <c:pt idx="79">
                  <c:v>76.071999999999989</c:v>
                </c:pt>
                <c:pt idx="80">
                  <c:v>86.2</c:v>
                </c:pt>
                <c:pt idx="81">
                  <c:v>114.96000000000001</c:v>
                </c:pt>
                <c:pt idx="82">
                  <c:v>489.16</c:v>
                </c:pt>
                <c:pt idx="83">
                  <c:v>307.92</c:v>
                </c:pt>
                <c:pt idx="84">
                  <c:v>65.070000000000007</c:v>
                </c:pt>
                <c:pt idx="85">
                  <c:v>6.0960000000000001</c:v>
                </c:pt>
                <c:pt idx="86">
                  <c:v>852.48800000000006</c:v>
                </c:pt>
                <c:pt idx="87">
                  <c:v>20.416</c:v>
                </c:pt>
                <c:pt idx="88">
                  <c:v>15.423999999999999</c:v>
                </c:pt>
                <c:pt idx="89">
                  <c:v>677.19599999999991</c:v>
                </c:pt>
                <c:pt idx="90">
                  <c:v>310.86</c:v>
                </c:pt>
                <c:pt idx="91">
                  <c:v>239.98400000000001</c:v>
                </c:pt>
                <c:pt idx="92">
                  <c:v>240.88</c:v>
                </c:pt>
              </c:numCache>
            </c:numRef>
          </c:val>
          <c:extLst>
            <c:ext xmlns:c16="http://schemas.microsoft.com/office/drawing/2014/chart" uri="{C3380CC4-5D6E-409C-BE32-E72D297353CC}">
              <c16:uniqueId val="{00000000-E58B-41A1-A9A8-BB75C1F57FDF}"/>
            </c:ext>
          </c:extLst>
        </c:ser>
        <c:dLbls>
          <c:showLegendKey val="0"/>
          <c:showVal val="0"/>
          <c:showCatName val="0"/>
          <c:showSerName val="0"/>
          <c:showPercent val="0"/>
          <c:showBubbleSize val="0"/>
        </c:dLbls>
        <c:gapWidth val="182"/>
        <c:axId val="114240847"/>
        <c:axId val="114230767"/>
      </c:barChart>
      <c:catAx>
        <c:axId val="11424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0767"/>
        <c:crosses val="autoZero"/>
        <c:auto val="1"/>
        <c:lblAlgn val="ctr"/>
        <c:lblOffset val="100"/>
        <c:noMultiLvlLbl val="0"/>
      </c:catAx>
      <c:valAx>
        <c:axId val="11423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Sheet2!$E$15</c:f>
              <c:strCache>
                <c:ptCount val="1"/>
                <c:pt idx="0">
                  <c:v>Total</c:v>
                </c:pt>
              </c:strCache>
            </c:strRef>
          </c:tx>
          <c:spPr>
            <a:solidFill>
              <a:schemeClr val="tx2">
                <a:lumMod val="75000"/>
              </a:schemeClr>
            </a:solidFill>
            <a:ln>
              <a:noFill/>
            </a:ln>
            <a:effectLst/>
          </c:spPr>
          <c:invertIfNegative val="0"/>
          <c:trendline>
            <c:spPr>
              <a:ln w="19050" cap="rnd">
                <a:solidFill>
                  <a:schemeClr val="accent1"/>
                </a:solidFill>
                <a:prstDash val="sysDot"/>
              </a:ln>
              <a:effectLst/>
            </c:spPr>
            <c:trendlineType val="linear"/>
            <c:dispRSqr val="0"/>
            <c:dispEq val="0"/>
          </c:trendline>
          <c:cat>
            <c:strRef>
              <c:f>Sheet2!$D$16:$D$26</c:f>
              <c:strCache>
                <c:ptCount val="10"/>
                <c:pt idx="0">
                  <c:v>Logitech G35 7.1-Channel Surround Sound Headset</c:v>
                </c:pt>
                <c:pt idx="1">
                  <c:v>Fellowes PB200 Plastic Comb Binding Machine</c:v>
                </c:pt>
                <c:pt idx="2">
                  <c:v>Global Deluxe High-Back Office Chair in Storm</c:v>
                </c:pt>
                <c:pt idx="3">
                  <c:v>Howard Miller 14-1/2" Diameter Chrome Round Wall Clock</c:v>
                </c:pt>
                <c:pt idx="4">
                  <c:v>Bevis Steel Folding Chairs</c:v>
                </c:pt>
                <c:pt idx="5">
                  <c:v>Mitel 5320 IP Phone VoIP phone</c:v>
                </c:pt>
                <c:pt idx="6">
                  <c:v>Global Manager's Adjustable Task Chair, Storm</c:v>
                </c:pt>
                <c:pt idx="7">
                  <c:v>SAFCO Boltless Steel Shelving</c:v>
                </c:pt>
                <c:pt idx="8">
                  <c:v>Nortel Business Series Terminal T7208 Digital phone</c:v>
                </c:pt>
                <c:pt idx="9">
                  <c:v>Panasonic KX TS3282W Corded phone</c:v>
                </c:pt>
              </c:strCache>
            </c:strRef>
          </c:cat>
          <c:val>
            <c:numRef>
              <c:f>Sheet2!$E$16:$E$26</c:f>
              <c:numCache>
                <c:formatCode>General</c:formatCode>
                <c:ptCount val="10"/>
                <c:pt idx="0">
                  <c:v>779.94</c:v>
                </c:pt>
                <c:pt idx="1">
                  <c:v>679.96</c:v>
                </c:pt>
                <c:pt idx="2">
                  <c:v>652.75199999999995</c:v>
                </c:pt>
                <c:pt idx="3">
                  <c:v>639.4</c:v>
                </c:pt>
                <c:pt idx="4">
                  <c:v>614.08000000000004</c:v>
                </c:pt>
                <c:pt idx="5">
                  <c:v>604.76800000000003</c:v>
                </c:pt>
                <c:pt idx="6">
                  <c:v>603.92000000000007</c:v>
                </c:pt>
                <c:pt idx="7">
                  <c:v>568.20000000000005</c:v>
                </c:pt>
                <c:pt idx="8">
                  <c:v>555.96</c:v>
                </c:pt>
                <c:pt idx="9">
                  <c:v>543.93599999999992</c:v>
                </c:pt>
              </c:numCache>
            </c:numRef>
          </c:val>
          <c:extLst>
            <c:ext xmlns:c16="http://schemas.microsoft.com/office/drawing/2014/chart" uri="{C3380CC4-5D6E-409C-BE32-E72D297353CC}">
              <c16:uniqueId val="{00000001-5C7F-44C8-A134-ED985B2FEB34}"/>
            </c:ext>
          </c:extLst>
        </c:ser>
        <c:dLbls>
          <c:showLegendKey val="0"/>
          <c:showVal val="0"/>
          <c:showCatName val="0"/>
          <c:showSerName val="0"/>
          <c:showPercent val="0"/>
          <c:showBubbleSize val="0"/>
        </c:dLbls>
        <c:gapWidth val="182"/>
        <c:axId val="213716335"/>
        <c:axId val="213716815"/>
      </c:barChart>
      <c:catAx>
        <c:axId val="21371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716815"/>
        <c:crosses val="autoZero"/>
        <c:auto val="1"/>
        <c:lblAlgn val="ctr"/>
        <c:lblOffset val="100"/>
        <c:noMultiLvlLbl val="0"/>
      </c:catAx>
      <c:valAx>
        <c:axId val="21371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71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c:f>
              <c:strCache>
                <c:ptCount val="1"/>
                <c:pt idx="0">
                  <c:v>Total</c:v>
                </c:pt>
              </c:strCache>
            </c:strRef>
          </c:tx>
          <c:spPr>
            <a:solidFill>
              <a:schemeClr val="tx2">
                <a:lumMod val="75000"/>
              </a:schemeClr>
            </a:solidFill>
            <a:ln>
              <a:noFill/>
            </a:ln>
            <a:effectLst/>
          </c:spPr>
          <c:invertIfNegative val="0"/>
          <c:cat>
            <c:strRef>
              <c:f>Sheet2!$P$4:$P$21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Sheet2!$Q$4:$Q$21</c:f>
              <c:numCache>
                <c:formatCode>General</c:formatCode>
                <c:ptCount val="17"/>
                <c:pt idx="0">
                  <c:v>4.24</c:v>
                </c:pt>
                <c:pt idx="1">
                  <c:v>4.666666666666667</c:v>
                </c:pt>
                <c:pt idx="2">
                  <c:v>4.0227272727272725</c:v>
                </c:pt>
                <c:pt idx="3">
                  <c:v>3.783582089552239</c:v>
                </c:pt>
                <c:pt idx="4">
                  <c:v>3.3636363636363638</c:v>
                </c:pt>
                <c:pt idx="5">
                  <c:v>3.4615384615384617</c:v>
                </c:pt>
                <c:pt idx="6">
                  <c:v>6</c:v>
                </c:pt>
                <c:pt idx="7">
                  <c:v>3.7</c:v>
                </c:pt>
                <c:pt idx="8">
                  <c:v>3.7333333333333334</c:v>
                </c:pt>
                <c:pt idx="9">
                  <c:v>4.3382352941176467</c:v>
                </c:pt>
                <c:pt idx="10">
                  <c:v>3.9666666666666668</c:v>
                </c:pt>
                <c:pt idx="11">
                  <c:v>4</c:v>
                </c:pt>
                <c:pt idx="12">
                  <c:v>4.0161290322580649</c:v>
                </c:pt>
                <c:pt idx="13">
                  <c:v>4.2631578947368425</c:v>
                </c:pt>
                <c:pt idx="14">
                  <c:v>3.7555555555555555</c:v>
                </c:pt>
                <c:pt idx="15">
                  <c:v>3.8888888888888888</c:v>
                </c:pt>
                <c:pt idx="16">
                  <c:v>3.4545454545454546</c:v>
                </c:pt>
              </c:numCache>
            </c:numRef>
          </c:val>
          <c:extLst>
            <c:ext xmlns:c16="http://schemas.microsoft.com/office/drawing/2014/chart" uri="{C3380CC4-5D6E-409C-BE32-E72D297353CC}">
              <c16:uniqueId val="{00000000-D353-4811-ADE7-F17A46E70001}"/>
            </c:ext>
          </c:extLst>
        </c:ser>
        <c:dLbls>
          <c:showLegendKey val="0"/>
          <c:showVal val="0"/>
          <c:showCatName val="0"/>
          <c:showSerName val="0"/>
          <c:showPercent val="0"/>
          <c:showBubbleSize val="0"/>
        </c:dLbls>
        <c:gapWidth val="219"/>
        <c:overlap val="-27"/>
        <c:axId val="213713455"/>
        <c:axId val="213720175"/>
      </c:barChart>
      <c:catAx>
        <c:axId val="21371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720175"/>
        <c:crosses val="autoZero"/>
        <c:auto val="1"/>
        <c:lblAlgn val="ctr"/>
        <c:lblOffset val="100"/>
        <c:noMultiLvlLbl val="0"/>
      </c:catAx>
      <c:valAx>
        <c:axId val="21372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71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[Amazon_cleaned_data.xlsx]Sheet2!PivotTable49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schemeClr>
          </a:solidFill>
          <a:ln w="19050">
            <a:solidFill>
              <a:schemeClr val="lt1"/>
            </a:solidFill>
          </a:ln>
          <a:effectLst/>
        </c:spPr>
        <c:dLbl>
          <c:idx val="0"/>
          <c:layout>
            <c:manualLayout>
              <c:x val="6.2893081761006289E-2"/>
              <c:y val="-8.8075880758807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006289308176101"/>
              <c:y val="6.097560975609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Sheet2!$H$15</c:f>
              <c:strCache>
                <c:ptCount val="1"/>
                <c:pt idx="0">
                  <c:v>Total</c:v>
                </c:pt>
              </c:strCache>
            </c:strRef>
          </c:tx>
          <c:spPr>
            <a:solidFill>
              <a:schemeClr val="accent5">
                <a:lumMod val="50000"/>
              </a:schemeClr>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2A2A-47DD-9291-3AB7BCF4A7D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A2A-47DD-9291-3AB7BCF4A7DF}"/>
              </c:ext>
            </c:extLst>
          </c:dPt>
          <c:dLbls>
            <c:dLbl>
              <c:idx val="0"/>
              <c:layout>
                <c:manualLayout>
                  <c:x val="6.2893081761006289E-2"/>
                  <c:y val="-8.807588075880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A2A-47DD-9291-3AB7BCF4A7DF}"/>
                </c:ext>
              </c:extLst>
            </c:dLbl>
            <c:dLbl>
              <c:idx val="1"/>
              <c:layout>
                <c:manualLayout>
                  <c:x val="-0.11006289308176101"/>
                  <c:y val="6.0975609756097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2A-47DD-9291-3AB7BCF4A7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Sheet2!$G$16:$G$18</c:f>
              <c:strCache>
                <c:ptCount val="2"/>
                <c:pt idx="0">
                  <c:v>new</c:v>
                </c:pt>
                <c:pt idx="1">
                  <c:v>repeat</c:v>
                </c:pt>
              </c:strCache>
            </c:strRef>
          </c:cat>
          <c:val>
            <c:numRef>
              <c:f>Sheet2!$H$16:$H$18</c:f>
              <c:numCache>
                <c:formatCode>General</c:formatCode>
                <c:ptCount val="2"/>
                <c:pt idx="0">
                  <c:v>1990.8460000000002</c:v>
                </c:pt>
                <c:pt idx="1">
                  <c:v>62704.430499999915</c:v>
                </c:pt>
              </c:numCache>
            </c:numRef>
          </c:val>
          <c:extLst>
            <c:ext xmlns:c16="http://schemas.microsoft.com/office/drawing/2014/chart" uri="{C3380CC4-5D6E-409C-BE32-E72D297353CC}">
              <c16:uniqueId val="{00000004-2A2A-47DD-9291-3AB7BCF4A7D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hyperlink" Target="#Sheet2!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7.png"/><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hyperlink" Target="#Sheet1!A1"/></Relationships>
</file>

<file path=xl/drawings/drawing1.xml><?xml version="1.0" encoding="utf-8"?>
<xdr:wsDr xmlns:xdr="http://schemas.openxmlformats.org/drawingml/2006/spreadsheetDrawing" xmlns:a="http://schemas.openxmlformats.org/drawingml/2006/main">
  <xdr:twoCellAnchor editAs="oneCell">
    <xdr:from>
      <xdr:col>5</xdr:col>
      <xdr:colOff>740435</xdr:colOff>
      <xdr:row>82</xdr:row>
      <xdr:rowOff>86263</xdr:rowOff>
    </xdr:from>
    <xdr:to>
      <xdr:col>8</xdr:col>
      <xdr:colOff>93254</xdr:colOff>
      <xdr:row>91</xdr:row>
      <xdr:rowOff>158151</xdr:rowOff>
    </xdr:to>
    <mc:AlternateContent xmlns:mc="http://schemas.openxmlformats.org/markup-compatibility/2006" xmlns:a14="http://schemas.microsoft.com/office/drawing/2010/main">
      <mc:Choice Requires="a14">
        <xdr:graphicFrame macro="">
          <xdr:nvGraphicFramePr>
            <xdr:cNvPr id="3" name="geography">
              <a:extLst>
                <a:ext uri="{FF2B5EF4-FFF2-40B4-BE49-F238E27FC236}">
                  <a16:creationId xmlns:a16="http://schemas.microsoft.com/office/drawing/2014/main" id="{E045BDCA-3FAF-5F79-5DAE-208CF19FA8B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0574998" y="14730951"/>
              <a:ext cx="1813524" cy="1679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688531</xdr:colOff>
      <xdr:row>72</xdr:row>
      <xdr:rowOff>42413</xdr:rowOff>
    </xdr:from>
    <xdr:to>
      <xdr:col>8</xdr:col>
      <xdr:colOff>41350</xdr:colOff>
      <xdr:row>80</xdr:row>
      <xdr:rowOff>158151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0E55C65-814A-3226-9777-A99606F37E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23094" y="12901163"/>
              <a:ext cx="1813524" cy="1544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622252</xdr:colOff>
      <xdr:row>62</xdr:row>
      <xdr:rowOff>103230</xdr:rowOff>
    </xdr:from>
    <xdr:to>
      <xdr:col>7</xdr:col>
      <xdr:colOff>770772</xdr:colOff>
      <xdr:row>70</xdr:row>
      <xdr:rowOff>143774</xdr:rowOff>
    </xdr:to>
    <mc:AlternateContent xmlns:mc="http://schemas.openxmlformats.org/markup-compatibility/2006" xmlns:a14="http://schemas.microsoft.com/office/drawing/2010/main">
      <mc:Choice Requires="a14">
        <xdr:graphicFrame macro="">
          <xdr:nvGraphicFramePr>
            <xdr:cNvPr id="5" name="order_year">
              <a:extLst>
                <a:ext uri="{FF2B5EF4-FFF2-40B4-BE49-F238E27FC236}">
                  <a16:creationId xmlns:a16="http://schemas.microsoft.com/office/drawing/2014/main" id="{7C2BB97E-1EEA-854E-E2F6-ECDF20A7702D}"/>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10456815" y="11176043"/>
              <a:ext cx="1808348" cy="1469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627859</xdr:colOff>
      <xdr:row>54</xdr:row>
      <xdr:rowOff>116888</xdr:rowOff>
    </xdr:from>
    <xdr:to>
      <xdr:col>7</xdr:col>
      <xdr:colOff>776379</xdr:colOff>
      <xdr:row>61</xdr:row>
      <xdr:rowOff>71887</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7E9ABEC1-8A41-76B0-04A3-6DFEF508ADFF}"/>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462422" y="9760951"/>
              <a:ext cx="1808348" cy="1205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676598</xdr:colOff>
      <xdr:row>47</xdr:row>
      <xdr:rowOff>19554</xdr:rowOff>
    </xdr:from>
    <xdr:to>
      <xdr:col>8</xdr:col>
      <xdr:colOff>30136</xdr:colOff>
      <xdr:row>53</xdr:row>
      <xdr:rowOff>86264</xdr:rowOff>
    </xdr:to>
    <mc:AlternateContent xmlns:mc="http://schemas.openxmlformats.org/markup-compatibility/2006" xmlns:a14="http://schemas.microsoft.com/office/drawing/2010/main">
      <mc:Choice Requires="a14">
        <xdr:graphicFrame macro="">
          <xdr:nvGraphicFramePr>
            <xdr:cNvPr id="7" name="loss_flag">
              <a:extLst>
                <a:ext uri="{FF2B5EF4-FFF2-40B4-BE49-F238E27FC236}">
                  <a16:creationId xmlns:a16="http://schemas.microsoft.com/office/drawing/2014/main" id="{2F2330E7-0B73-57E2-2E09-BA0D57E3DB0D}"/>
                </a:ext>
              </a:extLst>
            </xdr:cNvPr>
            <xdr:cNvGraphicFramePr/>
          </xdr:nvGraphicFramePr>
          <xdr:xfrm>
            <a:off x="0" y="0"/>
            <a:ext cx="0" cy="0"/>
          </xdr:xfrm>
          <a:graphic>
            <a:graphicData uri="http://schemas.microsoft.com/office/drawing/2010/slicer">
              <sle:slicer xmlns:sle="http://schemas.microsoft.com/office/drawing/2010/slicer" name="loss_flag"/>
            </a:graphicData>
          </a:graphic>
        </xdr:graphicFrame>
      </mc:Choice>
      <mc:Fallback xmlns="">
        <xdr:sp macro="" textlink="">
          <xdr:nvSpPr>
            <xdr:cNvPr id="0" name=""/>
            <xdr:cNvSpPr>
              <a:spLocks noTextEdit="1"/>
            </xdr:cNvSpPr>
          </xdr:nvSpPr>
          <xdr:spPr>
            <a:xfrm>
              <a:off x="4890925" y="8790330"/>
              <a:ext cx="1818374" cy="1186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754093</xdr:colOff>
      <xdr:row>37</xdr:row>
      <xdr:rowOff>123502</xdr:rowOff>
    </xdr:from>
    <xdr:to>
      <xdr:col>7</xdr:col>
      <xdr:colOff>759612</xdr:colOff>
      <xdr:row>45</xdr:row>
      <xdr:rowOff>158151</xdr:rowOff>
    </xdr:to>
    <mc:AlternateContent xmlns:mc="http://schemas.openxmlformats.org/markup-compatibility/2006" xmlns:a14="http://schemas.microsoft.com/office/drawing/2010/main">
      <mc:Choice Requires="a14">
        <xdr:graphicFrame macro="">
          <xdr:nvGraphicFramePr>
            <xdr:cNvPr id="8" name="high_value_order">
              <a:extLst>
                <a:ext uri="{FF2B5EF4-FFF2-40B4-BE49-F238E27FC236}">
                  <a16:creationId xmlns:a16="http://schemas.microsoft.com/office/drawing/2014/main" id="{EC5A20CE-30BA-2715-D62F-AB9BA22B592E}"/>
                </a:ext>
              </a:extLst>
            </xdr:cNvPr>
            <xdr:cNvGraphicFramePr/>
          </xdr:nvGraphicFramePr>
          <xdr:xfrm>
            <a:off x="0" y="0"/>
            <a:ext cx="0" cy="0"/>
          </xdr:xfrm>
          <a:graphic>
            <a:graphicData uri="http://schemas.microsoft.com/office/drawing/2010/slicer">
              <sle:slicer xmlns:sle="http://schemas.microsoft.com/office/drawing/2010/slicer" name="high_value_order"/>
            </a:graphicData>
          </a:graphic>
        </xdr:graphicFrame>
      </mc:Choice>
      <mc:Fallback xmlns="">
        <xdr:sp macro="" textlink="">
          <xdr:nvSpPr>
            <xdr:cNvPr id="0" name=""/>
            <xdr:cNvSpPr>
              <a:spLocks noTextEdit="1"/>
            </xdr:cNvSpPr>
          </xdr:nvSpPr>
          <xdr:spPr>
            <a:xfrm>
              <a:off x="10588656" y="6731471"/>
              <a:ext cx="1665347" cy="146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520960</xdr:colOff>
      <xdr:row>26</xdr:row>
      <xdr:rowOff>94086</xdr:rowOff>
    </xdr:from>
    <xdr:to>
      <xdr:col>8</xdr:col>
      <xdr:colOff>559838</xdr:colOff>
      <xdr:row>37</xdr:row>
      <xdr:rowOff>85532</xdr:rowOff>
    </xdr:to>
    <xdr:graphicFrame macro="">
      <xdr:nvGraphicFramePr>
        <xdr:cNvPr id="10" name="Chart 9">
          <a:extLst>
            <a:ext uri="{FF2B5EF4-FFF2-40B4-BE49-F238E27FC236}">
              <a16:creationId xmlns:a16="http://schemas.microsoft.com/office/drawing/2014/main" id="{8CE67824-9A7C-519C-B802-826B4EC9D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31102</xdr:colOff>
      <xdr:row>24</xdr:row>
      <xdr:rowOff>777</xdr:rowOff>
    </xdr:from>
    <xdr:to>
      <xdr:col>18</xdr:col>
      <xdr:colOff>443204</xdr:colOff>
      <xdr:row>35</xdr:row>
      <xdr:rowOff>171060</xdr:rowOff>
    </xdr:to>
    <xdr:graphicFrame macro="">
      <xdr:nvGraphicFramePr>
        <xdr:cNvPr id="11" name="Chart 10">
          <a:extLst>
            <a:ext uri="{FF2B5EF4-FFF2-40B4-BE49-F238E27FC236}">
              <a16:creationId xmlns:a16="http://schemas.microsoft.com/office/drawing/2014/main" id="{934E4C73-AD8E-66A3-4833-7F27E5DB7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995264</xdr:colOff>
      <xdr:row>12</xdr:row>
      <xdr:rowOff>117410</xdr:rowOff>
    </xdr:from>
    <xdr:to>
      <xdr:col>11</xdr:col>
      <xdr:colOff>108857</xdr:colOff>
      <xdr:row>23</xdr:row>
      <xdr:rowOff>155510</xdr:rowOff>
    </xdr:to>
    <xdr:graphicFrame macro="">
      <xdr:nvGraphicFramePr>
        <xdr:cNvPr id="12" name="Chart 11">
          <a:extLst>
            <a:ext uri="{FF2B5EF4-FFF2-40B4-BE49-F238E27FC236}">
              <a16:creationId xmlns:a16="http://schemas.microsoft.com/office/drawing/2014/main" id="{7B9BFA39-B671-4AB9-DD84-C0CFB125C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552061</xdr:colOff>
      <xdr:row>29</xdr:row>
      <xdr:rowOff>54429</xdr:rowOff>
    </xdr:from>
    <xdr:to>
      <xdr:col>4</xdr:col>
      <xdr:colOff>520960</xdr:colOff>
      <xdr:row>39</xdr:row>
      <xdr:rowOff>108858</xdr:rowOff>
    </xdr:to>
    <xdr:graphicFrame macro="">
      <xdr:nvGraphicFramePr>
        <xdr:cNvPr id="13" name="Chart 12">
          <a:extLst>
            <a:ext uri="{FF2B5EF4-FFF2-40B4-BE49-F238E27FC236}">
              <a16:creationId xmlns:a16="http://schemas.microsoft.com/office/drawing/2014/main" id="{70BC7BB1-8805-F8DE-FB20-D993C00A9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69981</xdr:colOff>
      <xdr:row>3</xdr:row>
      <xdr:rowOff>47429</xdr:rowOff>
    </xdr:from>
    <xdr:to>
      <xdr:col>23</xdr:col>
      <xdr:colOff>23327</xdr:colOff>
      <xdr:row>12</xdr:row>
      <xdr:rowOff>124407</xdr:rowOff>
    </xdr:to>
    <xdr:graphicFrame macro="">
      <xdr:nvGraphicFramePr>
        <xdr:cNvPr id="14" name="Chart 13">
          <a:extLst>
            <a:ext uri="{FF2B5EF4-FFF2-40B4-BE49-F238E27FC236}">
              <a16:creationId xmlns:a16="http://schemas.microsoft.com/office/drawing/2014/main" id="{BAE0745B-5E61-1AF9-41BD-BFC8D829F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692020</xdr:colOff>
      <xdr:row>11</xdr:row>
      <xdr:rowOff>94083</xdr:rowOff>
    </xdr:from>
    <xdr:to>
      <xdr:col>8</xdr:col>
      <xdr:colOff>684245</xdr:colOff>
      <xdr:row>19</xdr:row>
      <xdr:rowOff>139959</xdr:rowOff>
    </xdr:to>
    <xdr:graphicFrame macro="">
      <xdr:nvGraphicFramePr>
        <xdr:cNvPr id="15" name="Chart 14">
          <a:extLst>
            <a:ext uri="{FF2B5EF4-FFF2-40B4-BE49-F238E27FC236}">
              <a16:creationId xmlns:a16="http://schemas.microsoft.com/office/drawing/2014/main" id="{5D741095-2FCB-A359-7CFD-1615FB096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2</xdr:row>
      <xdr:rowOff>53339</xdr:rowOff>
    </xdr:from>
    <xdr:to>
      <xdr:col>18</xdr:col>
      <xdr:colOff>426720</xdr:colOff>
      <xdr:row>32</xdr:row>
      <xdr:rowOff>120804</xdr:rowOff>
    </xdr:to>
    <xdr:sp macro="" textlink="">
      <xdr:nvSpPr>
        <xdr:cNvPr id="2" name="Rectangle 1">
          <a:extLst>
            <a:ext uri="{FF2B5EF4-FFF2-40B4-BE49-F238E27FC236}">
              <a16:creationId xmlns:a16="http://schemas.microsoft.com/office/drawing/2014/main" id="{CD630041-DBC4-53E8-AF57-A8BA3F442DB0}"/>
            </a:ext>
          </a:extLst>
        </xdr:cNvPr>
        <xdr:cNvSpPr/>
      </xdr:nvSpPr>
      <xdr:spPr>
        <a:xfrm>
          <a:off x="2053311" y="425046"/>
          <a:ext cx="9413116" cy="5643075"/>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228600</xdr:colOff>
      <xdr:row>5</xdr:row>
      <xdr:rowOff>137160</xdr:rowOff>
    </xdr:from>
    <xdr:to>
      <xdr:col>8</xdr:col>
      <xdr:colOff>472440</xdr:colOff>
      <xdr:row>9</xdr:row>
      <xdr:rowOff>99060</xdr:rowOff>
    </xdr:to>
    <xdr:sp macro="" textlink="">
      <xdr:nvSpPr>
        <xdr:cNvPr id="3" name="Rectangle: Rounded Corners 2">
          <a:extLst>
            <a:ext uri="{FF2B5EF4-FFF2-40B4-BE49-F238E27FC236}">
              <a16:creationId xmlns:a16="http://schemas.microsoft.com/office/drawing/2014/main" id="{2DD1AFF9-0228-3609-80E3-7AE8A8F575B3}"/>
            </a:ext>
          </a:extLst>
        </xdr:cNvPr>
        <xdr:cNvSpPr/>
      </xdr:nvSpPr>
      <xdr:spPr>
        <a:xfrm>
          <a:off x="3886200" y="1051560"/>
          <a:ext cx="1463040" cy="693420"/>
        </a:xfrm>
        <a:prstGeom prst="roundRect">
          <a:avLst/>
        </a:prstGeom>
        <a:gradFill>
          <a:gsLst>
            <a:gs pos="1000">
              <a:schemeClr val="tx2">
                <a:lumMod val="75000"/>
              </a:schemeClr>
            </a:gs>
            <a:gs pos="0">
              <a:schemeClr val="bg1"/>
            </a:gs>
          </a:gsLst>
          <a:lin ang="12000000" scaled="0"/>
        </a:gra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2</xdr:row>
      <xdr:rowOff>91440</xdr:rowOff>
    </xdr:from>
    <xdr:to>
      <xdr:col>18</xdr:col>
      <xdr:colOff>381000</xdr:colOff>
      <xdr:row>5</xdr:row>
      <xdr:rowOff>99060</xdr:rowOff>
    </xdr:to>
    <xdr:sp macro="" textlink="">
      <xdr:nvSpPr>
        <xdr:cNvPr id="7" name="Rectangle: Rounded Corners 6">
          <a:extLst>
            <a:ext uri="{FF2B5EF4-FFF2-40B4-BE49-F238E27FC236}">
              <a16:creationId xmlns:a16="http://schemas.microsoft.com/office/drawing/2014/main" id="{40DDE199-B085-441F-A516-73601595C7D5}"/>
            </a:ext>
          </a:extLst>
        </xdr:cNvPr>
        <xdr:cNvSpPr/>
      </xdr:nvSpPr>
      <xdr:spPr>
        <a:xfrm>
          <a:off x="2087880" y="457200"/>
          <a:ext cx="9265920" cy="556260"/>
        </a:xfrm>
        <a:prstGeom prst="roundRect">
          <a:avLst/>
        </a:prstGeom>
        <a:gradFill flip="none" rotWithShape="1">
          <a:gsLst>
            <a:gs pos="0">
              <a:schemeClr val="tx2">
                <a:lumMod val="75000"/>
              </a:schemeClr>
            </a:gs>
            <a:gs pos="74000">
              <a:schemeClr val="tx2">
                <a:lumMod val="75000"/>
              </a:schemeClr>
            </a:gs>
            <a:gs pos="83000">
              <a:schemeClr val="tx2">
                <a:lumMod val="75000"/>
              </a:schemeClr>
            </a:gs>
            <a:gs pos="100000">
              <a:schemeClr val="tx2">
                <a:lumMod val="75000"/>
              </a:schemeClr>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259080</xdr:colOff>
      <xdr:row>5</xdr:row>
      <xdr:rowOff>144780</xdr:rowOff>
    </xdr:from>
    <xdr:to>
      <xdr:col>6</xdr:col>
      <xdr:colOff>175260</xdr:colOff>
      <xdr:row>32</xdr:row>
      <xdr:rowOff>37171</xdr:rowOff>
    </xdr:to>
    <xdr:sp macro="" textlink="">
      <xdr:nvSpPr>
        <xdr:cNvPr id="8" name="Rectangle: Rounded Corners 7">
          <a:extLst>
            <a:ext uri="{FF2B5EF4-FFF2-40B4-BE49-F238E27FC236}">
              <a16:creationId xmlns:a16="http://schemas.microsoft.com/office/drawing/2014/main" id="{42D18640-0998-4125-A3AD-02A421330428}"/>
            </a:ext>
          </a:extLst>
        </xdr:cNvPr>
        <xdr:cNvSpPr/>
      </xdr:nvSpPr>
      <xdr:spPr>
        <a:xfrm>
          <a:off x="2099031" y="1074048"/>
          <a:ext cx="1756131" cy="4910440"/>
        </a:xfrm>
        <a:prstGeom prst="roundRect">
          <a:avLst>
            <a:gd name="adj" fmla="val 0"/>
          </a:avLst>
        </a:prstGeom>
        <a:solidFill>
          <a:schemeClr val="tx2">
            <a:lumMod val="75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502920</xdr:colOff>
      <xdr:row>5</xdr:row>
      <xdr:rowOff>144780</xdr:rowOff>
    </xdr:from>
    <xdr:to>
      <xdr:col>11</xdr:col>
      <xdr:colOff>137160</xdr:colOff>
      <xdr:row>9</xdr:row>
      <xdr:rowOff>91440</xdr:rowOff>
    </xdr:to>
    <xdr:sp macro="" textlink="">
      <xdr:nvSpPr>
        <xdr:cNvPr id="9" name="Rectangle: Rounded Corners 8">
          <a:extLst>
            <a:ext uri="{FF2B5EF4-FFF2-40B4-BE49-F238E27FC236}">
              <a16:creationId xmlns:a16="http://schemas.microsoft.com/office/drawing/2014/main" id="{C68064C8-FCA0-47B5-8282-916D74008746}"/>
            </a:ext>
          </a:extLst>
        </xdr:cNvPr>
        <xdr:cNvSpPr/>
      </xdr:nvSpPr>
      <xdr:spPr>
        <a:xfrm>
          <a:off x="5379720" y="1059180"/>
          <a:ext cx="1463040" cy="678180"/>
        </a:xfrm>
        <a:prstGeom prst="roundRect">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175260</xdr:colOff>
      <xdr:row>5</xdr:row>
      <xdr:rowOff>144780</xdr:rowOff>
    </xdr:from>
    <xdr:to>
      <xdr:col>13</xdr:col>
      <xdr:colOff>419100</xdr:colOff>
      <xdr:row>9</xdr:row>
      <xdr:rowOff>91440</xdr:rowOff>
    </xdr:to>
    <xdr:sp macro="" textlink="">
      <xdr:nvSpPr>
        <xdr:cNvPr id="10" name="Rectangle: Rounded Corners 9">
          <a:extLst>
            <a:ext uri="{FF2B5EF4-FFF2-40B4-BE49-F238E27FC236}">
              <a16:creationId xmlns:a16="http://schemas.microsoft.com/office/drawing/2014/main" id="{B4891B63-C2F8-4837-A4C1-26A04D878DBB}"/>
            </a:ext>
          </a:extLst>
        </xdr:cNvPr>
        <xdr:cNvSpPr/>
      </xdr:nvSpPr>
      <xdr:spPr>
        <a:xfrm>
          <a:off x="6880860" y="1059180"/>
          <a:ext cx="1463040" cy="678180"/>
        </a:xfrm>
        <a:prstGeom prst="roundRect">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457200</xdr:colOff>
      <xdr:row>5</xdr:row>
      <xdr:rowOff>144780</xdr:rowOff>
    </xdr:from>
    <xdr:to>
      <xdr:col>16</xdr:col>
      <xdr:colOff>91440</xdr:colOff>
      <xdr:row>9</xdr:row>
      <xdr:rowOff>76200</xdr:rowOff>
    </xdr:to>
    <xdr:sp macro="" textlink="">
      <xdr:nvSpPr>
        <xdr:cNvPr id="11" name="Rectangle: Rounded Corners 10">
          <a:extLst>
            <a:ext uri="{FF2B5EF4-FFF2-40B4-BE49-F238E27FC236}">
              <a16:creationId xmlns:a16="http://schemas.microsoft.com/office/drawing/2014/main" id="{369124B0-743C-4073-8C0F-506CD92F42E3}"/>
            </a:ext>
          </a:extLst>
        </xdr:cNvPr>
        <xdr:cNvSpPr/>
      </xdr:nvSpPr>
      <xdr:spPr>
        <a:xfrm>
          <a:off x="8382000" y="1059180"/>
          <a:ext cx="1463040" cy="662940"/>
        </a:xfrm>
        <a:prstGeom prst="roundRect">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137160</xdr:colOff>
      <xdr:row>5</xdr:row>
      <xdr:rowOff>144780</xdr:rowOff>
    </xdr:from>
    <xdr:to>
      <xdr:col>18</xdr:col>
      <xdr:colOff>381000</xdr:colOff>
      <xdr:row>9</xdr:row>
      <xdr:rowOff>76200</xdr:rowOff>
    </xdr:to>
    <xdr:sp macro="" textlink="">
      <xdr:nvSpPr>
        <xdr:cNvPr id="12" name="Rectangle: Rounded Corners 11">
          <a:extLst>
            <a:ext uri="{FF2B5EF4-FFF2-40B4-BE49-F238E27FC236}">
              <a16:creationId xmlns:a16="http://schemas.microsoft.com/office/drawing/2014/main" id="{AA25C3F4-4FF8-4B2B-BB42-CBC5CD7EDA4B}"/>
            </a:ext>
          </a:extLst>
        </xdr:cNvPr>
        <xdr:cNvSpPr/>
      </xdr:nvSpPr>
      <xdr:spPr>
        <a:xfrm>
          <a:off x="9890760" y="1059180"/>
          <a:ext cx="1463040" cy="662940"/>
        </a:xfrm>
        <a:prstGeom prst="roundRect">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213360</xdr:colOff>
      <xdr:row>9</xdr:row>
      <xdr:rowOff>167639</xdr:rowOff>
    </xdr:from>
    <xdr:to>
      <xdr:col>10</xdr:col>
      <xdr:colOff>213360</xdr:colOff>
      <xdr:row>32</xdr:row>
      <xdr:rowOff>27878</xdr:rowOff>
    </xdr:to>
    <xdr:sp macro="" textlink="">
      <xdr:nvSpPr>
        <xdr:cNvPr id="13" name="Rectangle: Rounded Corners 12">
          <a:extLst>
            <a:ext uri="{FF2B5EF4-FFF2-40B4-BE49-F238E27FC236}">
              <a16:creationId xmlns:a16="http://schemas.microsoft.com/office/drawing/2014/main" id="{9BE0CF7D-F83B-9A38-F18C-3DC386E6908D}"/>
            </a:ext>
          </a:extLst>
        </xdr:cNvPr>
        <xdr:cNvSpPr/>
      </xdr:nvSpPr>
      <xdr:spPr>
        <a:xfrm>
          <a:off x="3893262" y="1840322"/>
          <a:ext cx="2453269" cy="4134873"/>
        </a:xfrm>
        <a:prstGeom prst="roundRect">
          <a:avLst>
            <a:gd name="adj" fmla="val 1383"/>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266700</xdr:colOff>
      <xdr:row>9</xdr:row>
      <xdr:rowOff>167639</xdr:rowOff>
    </xdr:from>
    <xdr:to>
      <xdr:col>14</xdr:col>
      <xdr:colOff>266700</xdr:colOff>
      <xdr:row>32</xdr:row>
      <xdr:rowOff>18584</xdr:rowOff>
    </xdr:to>
    <xdr:sp macro="" textlink="">
      <xdr:nvSpPr>
        <xdr:cNvPr id="14" name="Rectangle: Rounded Corners 13">
          <a:extLst>
            <a:ext uri="{FF2B5EF4-FFF2-40B4-BE49-F238E27FC236}">
              <a16:creationId xmlns:a16="http://schemas.microsoft.com/office/drawing/2014/main" id="{77F66725-0E4E-4778-8CBD-EBF994A9D49D}"/>
            </a:ext>
          </a:extLst>
        </xdr:cNvPr>
        <xdr:cNvSpPr/>
      </xdr:nvSpPr>
      <xdr:spPr>
        <a:xfrm>
          <a:off x="6399871" y="1840322"/>
          <a:ext cx="2453268" cy="4125579"/>
        </a:xfrm>
        <a:prstGeom prst="roundRect">
          <a:avLst>
            <a:gd name="adj" fmla="val 0"/>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320040</xdr:colOff>
      <xdr:row>9</xdr:row>
      <xdr:rowOff>160020</xdr:rowOff>
    </xdr:from>
    <xdr:to>
      <xdr:col>18</xdr:col>
      <xdr:colOff>373380</xdr:colOff>
      <xdr:row>32</xdr:row>
      <xdr:rowOff>18586</xdr:rowOff>
    </xdr:to>
    <xdr:sp macro="" textlink="">
      <xdr:nvSpPr>
        <xdr:cNvPr id="15" name="Rectangle: Rounded Corners 14">
          <a:extLst>
            <a:ext uri="{FF2B5EF4-FFF2-40B4-BE49-F238E27FC236}">
              <a16:creationId xmlns:a16="http://schemas.microsoft.com/office/drawing/2014/main" id="{B1FC0414-34B8-437E-8770-7C12E208BE58}"/>
            </a:ext>
          </a:extLst>
        </xdr:cNvPr>
        <xdr:cNvSpPr/>
      </xdr:nvSpPr>
      <xdr:spPr>
        <a:xfrm>
          <a:off x="8906479" y="1832703"/>
          <a:ext cx="2506608" cy="4133200"/>
        </a:xfrm>
        <a:prstGeom prst="roundRect">
          <a:avLst>
            <a:gd name="adj" fmla="val 0"/>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213360</xdr:colOff>
      <xdr:row>20</xdr:row>
      <xdr:rowOff>91440</xdr:rowOff>
    </xdr:from>
    <xdr:to>
      <xdr:col>10</xdr:col>
      <xdr:colOff>213360</xdr:colOff>
      <xdr:row>20</xdr:row>
      <xdr:rowOff>91440</xdr:rowOff>
    </xdr:to>
    <xdr:cxnSp macro="">
      <xdr:nvCxnSpPr>
        <xdr:cNvPr id="17" name="Straight Connector 16">
          <a:extLst>
            <a:ext uri="{FF2B5EF4-FFF2-40B4-BE49-F238E27FC236}">
              <a16:creationId xmlns:a16="http://schemas.microsoft.com/office/drawing/2014/main" id="{48F0C575-D433-B7E7-E102-5BFB50D569F7}"/>
            </a:ext>
          </a:extLst>
        </xdr:cNvPr>
        <xdr:cNvCxnSpPr/>
      </xdr:nvCxnSpPr>
      <xdr:spPr>
        <a:xfrm>
          <a:off x="3870960" y="3749040"/>
          <a:ext cx="24384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289560</xdr:colOff>
      <xdr:row>20</xdr:row>
      <xdr:rowOff>83820</xdr:rowOff>
    </xdr:from>
    <xdr:to>
      <xdr:col>14</xdr:col>
      <xdr:colOff>304800</xdr:colOff>
      <xdr:row>20</xdr:row>
      <xdr:rowOff>91440</xdr:rowOff>
    </xdr:to>
    <xdr:cxnSp macro="">
      <xdr:nvCxnSpPr>
        <xdr:cNvPr id="18" name="Straight Connector 17">
          <a:extLst>
            <a:ext uri="{FF2B5EF4-FFF2-40B4-BE49-F238E27FC236}">
              <a16:creationId xmlns:a16="http://schemas.microsoft.com/office/drawing/2014/main" id="{555371D6-D721-41AF-B8D2-C94FFF4C03E0}"/>
            </a:ext>
          </a:extLst>
        </xdr:cNvPr>
        <xdr:cNvCxnSpPr/>
      </xdr:nvCxnSpPr>
      <xdr:spPr>
        <a:xfrm flipV="1">
          <a:off x="6385560" y="3741420"/>
          <a:ext cx="2453640" cy="76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320040</xdr:colOff>
      <xdr:row>20</xdr:row>
      <xdr:rowOff>76200</xdr:rowOff>
    </xdr:from>
    <xdr:to>
      <xdr:col>18</xdr:col>
      <xdr:colOff>350520</xdr:colOff>
      <xdr:row>20</xdr:row>
      <xdr:rowOff>83820</xdr:rowOff>
    </xdr:to>
    <xdr:cxnSp macro="">
      <xdr:nvCxnSpPr>
        <xdr:cNvPr id="19" name="Straight Connector 18">
          <a:extLst>
            <a:ext uri="{FF2B5EF4-FFF2-40B4-BE49-F238E27FC236}">
              <a16:creationId xmlns:a16="http://schemas.microsoft.com/office/drawing/2014/main" id="{AC8E51D2-A371-458B-A5FF-E9156C3ADC66}"/>
            </a:ext>
          </a:extLst>
        </xdr:cNvPr>
        <xdr:cNvCxnSpPr/>
      </xdr:nvCxnSpPr>
      <xdr:spPr>
        <a:xfrm flipV="1">
          <a:off x="8854440" y="3733800"/>
          <a:ext cx="2468880" cy="76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541020</xdr:colOff>
      <xdr:row>8</xdr:row>
      <xdr:rowOff>7620</xdr:rowOff>
    </xdr:from>
    <xdr:to>
      <xdr:col>8</xdr:col>
      <xdr:colOff>220980</xdr:colOff>
      <xdr:row>9</xdr:row>
      <xdr:rowOff>38100</xdr:rowOff>
    </xdr:to>
    <xdr:sp macro="" textlink="">
      <xdr:nvSpPr>
        <xdr:cNvPr id="4" name="TextBox 3">
          <a:extLst>
            <a:ext uri="{FF2B5EF4-FFF2-40B4-BE49-F238E27FC236}">
              <a16:creationId xmlns:a16="http://schemas.microsoft.com/office/drawing/2014/main" id="{981234E3-5022-7009-C9AA-E46D93B91F80}"/>
            </a:ext>
          </a:extLst>
        </xdr:cNvPr>
        <xdr:cNvSpPr txBox="1"/>
      </xdr:nvSpPr>
      <xdr:spPr>
        <a:xfrm>
          <a:off x="4198620" y="1470660"/>
          <a:ext cx="899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6</xdr:col>
      <xdr:colOff>436433</xdr:colOff>
      <xdr:row>6</xdr:row>
      <xdr:rowOff>30479</xdr:rowOff>
    </xdr:from>
    <xdr:to>
      <xdr:col>8</xdr:col>
      <xdr:colOff>328707</xdr:colOff>
      <xdr:row>7</xdr:row>
      <xdr:rowOff>164352</xdr:rowOff>
    </xdr:to>
    <xdr:sp macro="" textlink="Sheet2!D3">
      <xdr:nvSpPr>
        <xdr:cNvPr id="5" name="TextBox 4">
          <a:extLst>
            <a:ext uri="{FF2B5EF4-FFF2-40B4-BE49-F238E27FC236}">
              <a16:creationId xmlns:a16="http://schemas.microsoft.com/office/drawing/2014/main" id="{98E6000D-6748-4D7B-8805-054D829513AF}"/>
            </a:ext>
          </a:extLst>
        </xdr:cNvPr>
        <xdr:cNvSpPr txBox="1"/>
      </xdr:nvSpPr>
      <xdr:spPr>
        <a:xfrm>
          <a:off x="4111962" y="1106244"/>
          <a:ext cx="1117451" cy="31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679531-F2B2-40F1-BEB8-70BCF8912EF2}" type="TxLink">
            <a:rPr lang="en-US" sz="1400" b="1" i="0" u="none" strike="noStrike">
              <a:solidFill>
                <a:schemeClr val="bg1"/>
              </a:solidFill>
              <a:latin typeface="Segoe UI Semibold" panose="020B0702040204020203" pitchFamily="34" charset="0"/>
              <a:ea typeface="Calibri"/>
              <a:cs typeface="Segoe UI Semibold" panose="020B0702040204020203" pitchFamily="34" charset="0"/>
            </a:rPr>
            <a:pPr/>
            <a:t>64695.2765</a:t>
          </a:fld>
          <a:endParaRPr lang="en-IN" sz="1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213360</xdr:colOff>
      <xdr:row>8</xdr:row>
      <xdr:rowOff>15240</xdr:rowOff>
    </xdr:from>
    <xdr:to>
      <xdr:col>10</xdr:col>
      <xdr:colOff>525780</xdr:colOff>
      <xdr:row>9</xdr:row>
      <xdr:rowOff>45720</xdr:rowOff>
    </xdr:to>
    <xdr:sp macro="" textlink="">
      <xdr:nvSpPr>
        <xdr:cNvPr id="6" name="TextBox 5">
          <a:extLst>
            <a:ext uri="{FF2B5EF4-FFF2-40B4-BE49-F238E27FC236}">
              <a16:creationId xmlns:a16="http://schemas.microsoft.com/office/drawing/2014/main" id="{776F1CEE-CB65-4223-A05F-915374652FBB}"/>
            </a:ext>
          </a:extLst>
        </xdr:cNvPr>
        <xdr:cNvSpPr txBox="1"/>
      </xdr:nvSpPr>
      <xdr:spPr>
        <a:xfrm>
          <a:off x="5699760" y="1478280"/>
          <a:ext cx="9220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Profit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137160</xdr:colOff>
      <xdr:row>6</xdr:row>
      <xdr:rowOff>38100</xdr:rowOff>
    </xdr:from>
    <xdr:to>
      <xdr:col>11</xdr:col>
      <xdr:colOff>45720</xdr:colOff>
      <xdr:row>7</xdr:row>
      <xdr:rowOff>152400</xdr:rowOff>
    </xdr:to>
    <xdr:sp macro="" textlink="Sheet2!J4">
      <xdr:nvSpPr>
        <xdr:cNvPr id="16" name="TextBox 15">
          <a:extLst>
            <a:ext uri="{FF2B5EF4-FFF2-40B4-BE49-F238E27FC236}">
              <a16:creationId xmlns:a16="http://schemas.microsoft.com/office/drawing/2014/main" id="{A138EC9C-438B-491C-B738-35193EB4FEF2}"/>
            </a:ext>
          </a:extLst>
        </xdr:cNvPr>
        <xdr:cNvSpPr txBox="1"/>
      </xdr:nvSpPr>
      <xdr:spPr>
        <a:xfrm>
          <a:off x="5623560" y="1135380"/>
          <a:ext cx="11277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B9C6A3-A4A5-4D5F-BE6A-664888E29860}"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t>10760.5802</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11</xdr:col>
      <xdr:colOff>281940</xdr:colOff>
      <xdr:row>8</xdr:row>
      <xdr:rowOff>0</xdr:rowOff>
    </xdr:from>
    <xdr:to>
      <xdr:col>13</xdr:col>
      <xdr:colOff>304800</xdr:colOff>
      <xdr:row>9</xdr:row>
      <xdr:rowOff>68580</xdr:rowOff>
    </xdr:to>
    <xdr:sp macro="" textlink="">
      <xdr:nvSpPr>
        <xdr:cNvPr id="20" name="TextBox 19">
          <a:extLst>
            <a:ext uri="{FF2B5EF4-FFF2-40B4-BE49-F238E27FC236}">
              <a16:creationId xmlns:a16="http://schemas.microsoft.com/office/drawing/2014/main" id="{ACA838BA-0741-4BE2-825C-DD6E6402D5B5}"/>
            </a:ext>
          </a:extLst>
        </xdr:cNvPr>
        <xdr:cNvSpPr txBox="1"/>
      </xdr:nvSpPr>
      <xdr:spPr>
        <a:xfrm>
          <a:off x="6987540" y="1463040"/>
          <a:ext cx="1242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Profit</a:t>
          </a:r>
          <a:r>
            <a:rPr lang="en-IN" sz="1100" baseline="0">
              <a:latin typeface="Segoe UI Semibold" panose="020B0702040204020203" pitchFamily="34" charset="0"/>
              <a:cs typeface="Segoe UI Semibold" panose="020B0702040204020203" pitchFamily="34" charset="0"/>
            </a:rPr>
            <a:t> Margin%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586740</xdr:colOff>
      <xdr:row>6</xdr:row>
      <xdr:rowOff>15240</xdr:rowOff>
    </xdr:from>
    <xdr:to>
      <xdr:col>12</xdr:col>
      <xdr:colOff>601980</xdr:colOff>
      <xdr:row>7</xdr:row>
      <xdr:rowOff>175260</xdr:rowOff>
    </xdr:to>
    <xdr:sp macro="" textlink="Sheet2!N9">
      <xdr:nvSpPr>
        <xdr:cNvPr id="21" name="TextBox 20">
          <a:extLst>
            <a:ext uri="{FF2B5EF4-FFF2-40B4-BE49-F238E27FC236}">
              <a16:creationId xmlns:a16="http://schemas.microsoft.com/office/drawing/2014/main" id="{DE2179E5-5562-4065-BD02-133AD786C4B8}"/>
            </a:ext>
          </a:extLst>
        </xdr:cNvPr>
        <xdr:cNvSpPr txBox="1"/>
      </xdr:nvSpPr>
      <xdr:spPr>
        <a:xfrm>
          <a:off x="7292340" y="1112520"/>
          <a:ext cx="6248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434978-07CE-4F6E-88FB-D3E7435D81C0}"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t>17%</a:t>
          </a:fld>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14</xdr:col>
      <xdr:colOff>91440</xdr:colOff>
      <xdr:row>7</xdr:row>
      <xdr:rowOff>152400</xdr:rowOff>
    </xdr:from>
    <xdr:to>
      <xdr:col>15</xdr:col>
      <xdr:colOff>464820</xdr:colOff>
      <xdr:row>9</xdr:row>
      <xdr:rowOff>38100</xdr:rowOff>
    </xdr:to>
    <xdr:sp macro="" textlink="">
      <xdr:nvSpPr>
        <xdr:cNvPr id="22" name="TextBox 21">
          <a:extLst>
            <a:ext uri="{FF2B5EF4-FFF2-40B4-BE49-F238E27FC236}">
              <a16:creationId xmlns:a16="http://schemas.microsoft.com/office/drawing/2014/main" id="{8F430AAE-B2FD-4933-A6DD-28ED68BCB0F7}"/>
            </a:ext>
          </a:extLst>
        </xdr:cNvPr>
        <xdr:cNvSpPr txBox="1"/>
      </xdr:nvSpPr>
      <xdr:spPr>
        <a:xfrm>
          <a:off x="8625840" y="1432560"/>
          <a:ext cx="9829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Orders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16</xdr:col>
      <xdr:colOff>124310</xdr:colOff>
      <xdr:row>7</xdr:row>
      <xdr:rowOff>127448</xdr:rowOff>
    </xdr:from>
    <xdr:to>
      <xdr:col>18</xdr:col>
      <xdr:colOff>313765</xdr:colOff>
      <xdr:row>9</xdr:row>
      <xdr:rowOff>0</xdr:rowOff>
    </xdr:to>
    <xdr:sp macro="" textlink="">
      <xdr:nvSpPr>
        <xdr:cNvPr id="23" name="TextBox 22">
          <a:extLst>
            <a:ext uri="{FF2B5EF4-FFF2-40B4-BE49-F238E27FC236}">
              <a16:creationId xmlns:a16="http://schemas.microsoft.com/office/drawing/2014/main" id="{9B45A3AC-2DFC-4C0B-A49D-D248645B9527}"/>
            </a:ext>
          </a:extLst>
        </xdr:cNvPr>
        <xdr:cNvSpPr txBox="1"/>
      </xdr:nvSpPr>
      <xdr:spPr>
        <a:xfrm>
          <a:off x="9925722" y="1382507"/>
          <a:ext cx="1414631" cy="231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Avg</a:t>
          </a:r>
          <a:r>
            <a:rPr lang="en-IN" sz="1100" baseline="0">
              <a:latin typeface="Segoe UI Semibold" panose="020B0702040204020203" pitchFamily="34" charset="0"/>
              <a:cs typeface="Segoe UI Semibold" panose="020B0702040204020203" pitchFamily="34" charset="0"/>
            </a:rPr>
            <a:t> Shipping Days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236220</xdr:colOff>
      <xdr:row>6</xdr:row>
      <xdr:rowOff>15240</xdr:rowOff>
    </xdr:from>
    <xdr:to>
      <xdr:col>15</xdr:col>
      <xdr:colOff>342900</xdr:colOff>
      <xdr:row>7</xdr:row>
      <xdr:rowOff>137160</xdr:rowOff>
    </xdr:to>
    <xdr:sp macro="" textlink="Sheet2!N14">
      <xdr:nvSpPr>
        <xdr:cNvPr id="24" name="TextBox 23">
          <a:extLst>
            <a:ext uri="{FF2B5EF4-FFF2-40B4-BE49-F238E27FC236}">
              <a16:creationId xmlns:a16="http://schemas.microsoft.com/office/drawing/2014/main" id="{C09584BE-FBD7-4EBD-8723-65906B078C9D}"/>
            </a:ext>
          </a:extLst>
        </xdr:cNvPr>
        <xdr:cNvSpPr txBox="1"/>
      </xdr:nvSpPr>
      <xdr:spPr>
        <a:xfrm>
          <a:off x="8770620" y="1112520"/>
          <a:ext cx="7162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D6624A-BD53-4EAD-8EF9-29A87C394EE6}" type="TxLink">
            <a:rPr lang="en-US" sz="1600" b="1" i="0" u="none" strike="noStrike">
              <a:solidFill>
                <a:srgbClr val="000000"/>
              </a:solidFill>
              <a:latin typeface="Segoe UI Semibold" panose="020B0702040204020203" pitchFamily="34" charset="0"/>
              <a:ea typeface="Calibri"/>
              <a:cs typeface="Segoe UI Semibold" panose="020B0702040204020203" pitchFamily="34" charset="0"/>
            </a:rPr>
            <a:pPr/>
            <a:t>705</a:t>
          </a:fld>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297777</xdr:colOff>
      <xdr:row>6</xdr:row>
      <xdr:rowOff>39594</xdr:rowOff>
    </xdr:from>
    <xdr:to>
      <xdr:col>18</xdr:col>
      <xdr:colOff>320637</xdr:colOff>
      <xdr:row>7</xdr:row>
      <xdr:rowOff>104588</xdr:rowOff>
    </xdr:to>
    <xdr:sp macro="" textlink="Sheet2!N4">
      <xdr:nvSpPr>
        <xdr:cNvPr id="25" name="TextBox 24">
          <a:extLst>
            <a:ext uri="{FF2B5EF4-FFF2-40B4-BE49-F238E27FC236}">
              <a16:creationId xmlns:a16="http://schemas.microsoft.com/office/drawing/2014/main" id="{04E156D1-3E03-4EB6-B908-F841B2DD2E77}"/>
            </a:ext>
          </a:extLst>
        </xdr:cNvPr>
        <xdr:cNvSpPr txBox="1"/>
      </xdr:nvSpPr>
      <xdr:spPr>
        <a:xfrm>
          <a:off x="10099189" y="1115359"/>
          <a:ext cx="1248036" cy="24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2A5E3C-5443-45CD-AB76-6B98D658F15E}" type="TxLink">
            <a:rPr lang="en-US" sz="1400" b="0" i="0" u="none" strike="noStrike">
              <a:solidFill>
                <a:srgbClr val="000000"/>
              </a:solidFill>
              <a:latin typeface="Segoe UI Semibold" panose="020B0702040204020203" pitchFamily="34" charset="0"/>
              <a:ea typeface="Calibri"/>
              <a:cs typeface="Segoe UI Semibold" panose="020B0702040204020203" pitchFamily="34" charset="0"/>
            </a:rPr>
            <a:pPr/>
            <a:t>3.985815603</a:t>
          </a:fld>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7</xdr:col>
      <xdr:colOff>266700</xdr:colOff>
      <xdr:row>9</xdr:row>
      <xdr:rowOff>134559</xdr:rowOff>
    </xdr:from>
    <xdr:to>
      <xdr:col>8</xdr:col>
      <xdr:colOff>601980</xdr:colOff>
      <xdr:row>11</xdr:row>
      <xdr:rowOff>17286</xdr:rowOff>
    </xdr:to>
    <xdr:sp macro="" textlink="">
      <xdr:nvSpPr>
        <xdr:cNvPr id="26" name="TextBox 25">
          <a:extLst>
            <a:ext uri="{FF2B5EF4-FFF2-40B4-BE49-F238E27FC236}">
              <a16:creationId xmlns:a16="http://schemas.microsoft.com/office/drawing/2014/main" id="{82E2724B-7B9C-4E7A-B042-97B7230EEA23}"/>
            </a:ext>
          </a:extLst>
        </xdr:cNvPr>
        <xdr:cNvSpPr txBox="1"/>
      </xdr:nvSpPr>
      <xdr:spPr>
        <a:xfrm>
          <a:off x="4559920" y="1807242"/>
          <a:ext cx="948597"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Sales</a:t>
          </a:r>
          <a:r>
            <a:rPr lang="en-IN" sz="1100" baseline="0">
              <a:latin typeface="Segoe UI Semibold" panose="020B0702040204020203" pitchFamily="34" charset="0"/>
              <a:cs typeface="Segoe UI Semibold" panose="020B0702040204020203" pitchFamily="34" charset="0"/>
            </a:rPr>
            <a:t> Trend</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312420</xdr:colOff>
      <xdr:row>9</xdr:row>
      <xdr:rowOff>125266</xdr:rowOff>
    </xdr:from>
    <xdr:to>
      <xdr:col>13</xdr:col>
      <xdr:colOff>38100</xdr:colOff>
      <xdr:row>11</xdr:row>
      <xdr:rowOff>7993</xdr:rowOff>
    </xdr:to>
    <xdr:sp macro="" textlink="">
      <xdr:nvSpPr>
        <xdr:cNvPr id="27" name="TextBox 26">
          <a:extLst>
            <a:ext uri="{FF2B5EF4-FFF2-40B4-BE49-F238E27FC236}">
              <a16:creationId xmlns:a16="http://schemas.microsoft.com/office/drawing/2014/main" id="{1A4CC6A0-2F3E-491D-8130-38C168AEA583}"/>
            </a:ext>
          </a:extLst>
        </xdr:cNvPr>
        <xdr:cNvSpPr txBox="1"/>
      </xdr:nvSpPr>
      <xdr:spPr>
        <a:xfrm>
          <a:off x="7058908" y="1797949"/>
          <a:ext cx="952314"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Profit</a:t>
          </a:r>
          <a:r>
            <a:rPr lang="en-IN" sz="1100" baseline="0">
              <a:latin typeface="Segoe UI Semibold" panose="020B0702040204020203" pitchFamily="34" charset="0"/>
              <a:cs typeface="Segoe UI Semibold" panose="020B0702040204020203" pitchFamily="34" charset="0"/>
            </a:rPr>
            <a:t> Trend</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7</xdr:col>
      <xdr:colOff>297180</xdr:colOff>
      <xdr:row>20</xdr:row>
      <xdr:rowOff>43119</xdr:rowOff>
    </xdr:from>
    <xdr:to>
      <xdr:col>9</xdr:col>
      <xdr:colOff>289560</xdr:colOff>
      <xdr:row>21</xdr:row>
      <xdr:rowOff>111699</xdr:rowOff>
    </xdr:to>
    <xdr:sp macro="" textlink="">
      <xdr:nvSpPr>
        <xdr:cNvPr id="28" name="TextBox 27">
          <a:extLst>
            <a:ext uri="{FF2B5EF4-FFF2-40B4-BE49-F238E27FC236}">
              <a16:creationId xmlns:a16="http://schemas.microsoft.com/office/drawing/2014/main" id="{A0F5514F-F514-4094-B916-BE283606B826}"/>
            </a:ext>
          </a:extLst>
        </xdr:cNvPr>
        <xdr:cNvSpPr txBox="1"/>
      </xdr:nvSpPr>
      <xdr:spPr>
        <a:xfrm>
          <a:off x="4590400" y="3760192"/>
          <a:ext cx="1219014"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Top</a:t>
          </a:r>
          <a:r>
            <a:rPr lang="en-IN" sz="1100" baseline="0">
              <a:latin typeface="Segoe UI Semibold" panose="020B0702040204020203" pitchFamily="34" charset="0"/>
              <a:cs typeface="Segoe UI Semibold" panose="020B0702040204020203" pitchFamily="34" charset="0"/>
            </a:rPr>
            <a:t> 10 Products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228600</xdr:colOff>
      <xdr:row>9</xdr:row>
      <xdr:rowOff>125266</xdr:rowOff>
    </xdr:from>
    <xdr:to>
      <xdr:col>17</xdr:col>
      <xdr:colOff>487680</xdr:colOff>
      <xdr:row>11</xdr:row>
      <xdr:rowOff>7993</xdr:rowOff>
    </xdr:to>
    <xdr:sp macro="" textlink="">
      <xdr:nvSpPr>
        <xdr:cNvPr id="29" name="TextBox 28">
          <a:extLst>
            <a:ext uri="{FF2B5EF4-FFF2-40B4-BE49-F238E27FC236}">
              <a16:creationId xmlns:a16="http://schemas.microsoft.com/office/drawing/2014/main" id="{49951A63-EF80-4FD0-A409-5785C07B17ED}"/>
            </a:ext>
          </a:extLst>
        </xdr:cNvPr>
        <xdr:cNvSpPr txBox="1"/>
      </xdr:nvSpPr>
      <xdr:spPr>
        <a:xfrm>
          <a:off x="9428356" y="1797949"/>
          <a:ext cx="1485714"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Sales</a:t>
          </a:r>
          <a:r>
            <a:rPr lang="en-IN" sz="1100" baseline="0">
              <a:latin typeface="Segoe UI Semibold" panose="020B0702040204020203" pitchFamily="34" charset="0"/>
              <a:cs typeface="Segoe UI Semibold" panose="020B0702040204020203" pitchFamily="34" charset="0"/>
            </a:rPr>
            <a:t> by Geography</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114300</xdr:colOff>
      <xdr:row>20</xdr:row>
      <xdr:rowOff>50739</xdr:rowOff>
    </xdr:from>
    <xdr:to>
      <xdr:col>18</xdr:col>
      <xdr:colOff>38100</xdr:colOff>
      <xdr:row>21</xdr:row>
      <xdr:rowOff>119319</xdr:rowOff>
    </xdr:to>
    <xdr:sp macro="" textlink="">
      <xdr:nvSpPr>
        <xdr:cNvPr id="30" name="TextBox 29">
          <a:extLst>
            <a:ext uri="{FF2B5EF4-FFF2-40B4-BE49-F238E27FC236}">
              <a16:creationId xmlns:a16="http://schemas.microsoft.com/office/drawing/2014/main" id="{3C6F384B-35C8-4B4D-BCA5-5E354810CB19}"/>
            </a:ext>
          </a:extLst>
        </xdr:cNvPr>
        <xdr:cNvSpPr txBox="1"/>
      </xdr:nvSpPr>
      <xdr:spPr>
        <a:xfrm>
          <a:off x="9314056" y="3767812"/>
          <a:ext cx="1763751"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Customers</a:t>
          </a:r>
          <a:r>
            <a:rPr lang="en-IN" sz="1100" baseline="0">
              <a:latin typeface="Segoe UI Semibold" panose="020B0702040204020203" pitchFamily="34" charset="0"/>
              <a:cs typeface="Segoe UI Semibold" panose="020B0702040204020203" pitchFamily="34" charset="0"/>
            </a:rPr>
            <a:t> Analysis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175260</xdr:colOff>
      <xdr:row>20</xdr:row>
      <xdr:rowOff>49066</xdr:rowOff>
    </xdr:from>
    <xdr:to>
      <xdr:col>13</xdr:col>
      <xdr:colOff>586740</xdr:colOff>
      <xdr:row>21</xdr:row>
      <xdr:rowOff>117646</xdr:rowOff>
    </xdr:to>
    <xdr:sp macro="" textlink="">
      <xdr:nvSpPr>
        <xdr:cNvPr id="31" name="TextBox 30">
          <a:extLst>
            <a:ext uri="{FF2B5EF4-FFF2-40B4-BE49-F238E27FC236}">
              <a16:creationId xmlns:a16="http://schemas.microsoft.com/office/drawing/2014/main" id="{D49E47AC-FCF8-4D98-BE36-EC57C7A1044A}"/>
            </a:ext>
          </a:extLst>
        </xdr:cNvPr>
        <xdr:cNvSpPr txBox="1"/>
      </xdr:nvSpPr>
      <xdr:spPr>
        <a:xfrm>
          <a:off x="6921748" y="3766139"/>
          <a:ext cx="1638114" cy="2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Shipping</a:t>
          </a:r>
          <a:r>
            <a:rPr lang="en-IN" sz="1100" baseline="0">
              <a:latin typeface="Segoe UI Semibold" panose="020B0702040204020203" pitchFamily="34" charset="0"/>
              <a:cs typeface="Segoe UI Semibold" panose="020B0702040204020203" pitchFamily="34" charset="0"/>
            </a:rPr>
            <a:t> Performance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6</xdr:col>
      <xdr:colOff>236220</xdr:colOff>
      <xdr:row>10</xdr:row>
      <xdr:rowOff>152400</xdr:rowOff>
    </xdr:from>
    <xdr:to>
      <xdr:col>10</xdr:col>
      <xdr:colOff>182880</xdr:colOff>
      <xdr:row>20</xdr:row>
      <xdr:rowOff>68580</xdr:rowOff>
    </xdr:to>
    <xdr:graphicFrame macro="">
      <xdr:nvGraphicFramePr>
        <xdr:cNvPr id="32" name="Chart 31">
          <a:extLst>
            <a:ext uri="{FF2B5EF4-FFF2-40B4-BE49-F238E27FC236}">
              <a16:creationId xmlns:a16="http://schemas.microsoft.com/office/drawing/2014/main" id="{402DCE6F-1BEE-4589-A4C0-50ADAEE63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266700</xdr:colOff>
      <xdr:row>10</xdr:row>
      <xdr:rowOff>137160</xdr:rowOff>
    </xdr:from>
    <xdr:to>
      <xdr:col>14</xdr:col>
      <xdr:colOff>236220</xdr:colOff>
      <xdr:row>20</xdr:row>
      <xdr:rowOff>60960</xdr:rowOff>
    </xdr:to>
    <xdr:graphicFrame macro="">
      <xdr:nvGraphicFramePr>
        <xdr:cNvPr id="33" name="Chart 32">
          <a:extLst>
            <a:ext uri="{FF2B5EF4-FFF2-40B4-BE49-F238E27FC236}">
              <a16:creationId xmlns:a16="http://schemas.microsoft.com/office/drawing/2014/main" id="{09B477FB-5E36-4899-BF7F-0325D2754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358140</xdr:colOff>
      <xdr:row>10</xdr:row>
      <xdr:rowOff>144781</xdr:rowOff>
    </xdr:from>
    <xdr:to>
      <xdr:col>18</xdr:col>
      <xdr:colOff>335280</xdr:colOff>
      <xdr:row>20</xdr:row>
      <xdr:rowOff>60961</xdr:rowOff>
    </xdr:to>
    <xdr:graphicFrame macro="">
      <xdr:nvGraphicFramePr>
        <xdr:cNvPr id="34" name="Chart 33">
          <a:extLst>
            <a:ext uri="{FF2B5EF4-FFF2-40B4-BE49-F238E27FC236}">
              <a16:creationId xmlns:a16="http://schemas.microsoft.com/office/drawing/2014/main" id="{F5DBD893-71D4-4E8A-89E2-318E401B8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243840</xdr:colOff>
      <xdr:row>21</xdr:row>
      <xdr:rowOff>68580</xdr:rowOff>
    </xdr:from>
    <xdr:to>
      <xdr:col>10</xdr:col>
      <xdr:colOff>213360</xdr:colOff>
      <xdr:row>31</xdr:row>
      <xdr:rowOff>144780</xdr:rowOff>
    </xdr:to>
    <xdr:graphicFrame macro="">
      <xdr:nvGraphicFramePr>
        <xdr:cNvPr id="35" name="Chart 34">
          <a:extLst>
            <a:ext uri="{FF2B5EF4-FFF2-40B4-BE49-F238E27FC236}">
              <a16:creationId xmlns:a16="http://schemas.microsoft.com/office/drawing/2014/main" id="{A8A5DBDA-F59F-46C7-9FB9-BA3848011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297180</xdr:colOff>
      <xdr:row>21</xdr:row>
      <xdr:rowOff>68580</xdr:rowOff>
    </xdr:from>
    <xdr:to>
      <xdr:col>14</xdr:col>
      <xdr:colOff>238086</xdr:colOff>
      <xdr:row>31</xdr:row>
      <xdr:rowOff>129540</xdr:rowOff>
    </xdr:to>
    <xdr:graphicFrame macro="">
      <xdr:nvGraphicFramePr>
        <xdr:cNvPr id="36" name="Chart 35">
          <a:extLst>
            <a:ext uri="{FF2B5EF4-FFF2-40B4-BE49-F238E27FC236}">
              <a16:creationId xmlns:a16="http://schemas.microsoft.com/office/drawing/2014/main" id="{C63942FD-1122-4EDE-9866-C52EB0ACA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373380</xdr:colOff>
      <xdr:row>21</xdr:row>
      <xdr:rowOff>76200</xdr:rowOff>
    </xdr:from>
    <xdr:to>
      <xdr:col>18</xdr:col>
      <xdr:colOff>358140</xdr:colOff>
      <xdr:row>31</xdr:row>
      <xdr:rowOff>121920</xdr:rowOff>
    </xdr:to>
    <xdr:graphicFrame macro="">
      <xdr:nvGraphicFramePr>
        <xdr:cNvPr id="37" name="Chart 36">
          <a:extLst>
            <a:ext uri="{FF2B5EF4-FFF2-40B4-BE49-F238E27FC236}">
              <a16:creationId xmlns:a16="http://schemas.microsoft.com/office/drawing/2014/main" id="{AD5750E2-77A4-4A62-AD11-510B47E7A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381000</xdr:colOff>
      <xdr:row>6</xdr:row>
      <xdr:rowOff>76200</xdr:rowOff>
    </xdr:from>
    <xdr:to>
      <xdr:col>6</xdr:col>
      <xdr:colOff>38100</xdr:colOff>
      <xdr:row>12</xdr:row>
      <xdr:rowOff>83820</xdr:rowOff>
    </xdr:to>
    <mc:AlternateContent xmlns:mc="http://schemas.openxmlformats.org/markup-compatibility/2006" xmlns:a14="http://schemas.microsoft.com/office/drawing/2010/main">
      <mc:Choice Requires="a14">
        <xdr:graphicFrame macro="">
          <xdr:nvGraphicFramePr>
            <xdr:cNvPr id="38" name="order_year 1">
              <a:extLst>
                <a:ext uri="{FF2B5EF4-FFF2-40B4-BE49-F238E27FC236}">
                  <a16:creationId xmlns:a16="http://schemas.microsoft.com/office/drawing/2014/main" id="{8E0BEF7B-B1DF-467B-8A97-E7B7128C887F}"/>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2220951" y="1191322"/>
              <a:ext cx="1497051" cy="1122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365761</xdr:colOff>
      <xdr:row>13</xdr:row>
      <xdr:rowOff>30480</xdr:rowOff>
    </xdr:from>
    <xdr:to>
      <xdr:col>6</xdr:col>
      <xdr:colOff>38101</xdr:colOff>
      <xdr:row>19</xdr:row>
      <xdr:rowOff>106680</xdr:rowOff>
    </xdr:to>
    <mc:AlternateContent xmlns:mc="http://schemas.openxmlformats.org/markup-compatibility/2006" xmlns:a14="http://schemas.microsoft.com/office/drawing/2010/main">
      <mc:Choice Requires="a14">
        <xdr:graphicFrame macro="">
          <xdr:nvGraphicFramePr>
            <xdr:cNvPr id="39" name="geography 1">
              <a:extLst>
                <a:ext uri="{FF2B5EF4-FFF2-40B4-BE49-F238E27FC236}">
                  <a16:creationId xmlns:a16="http://schemas.microsoft.com/office/drawing/2014/main" id="{AA82FEA1-D233-403E-9B5E-5F4172A43D48}"/>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2205712" y="2446578"/>
              <a:ext cx="1512291" cy="1191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350521</xdr:colOff>
      <xdr:row>19</xdr:row>
      <xdr:rowOff>177488</xdr:rowOff>
    </xdr:from>
    <xdr:to>
      <xdr:col>6</xdr:col>
      <xdr:colOff>38100</xdr:colOff>
      <xdr:row>25</xdr:row>
      <xdr:rowOff>75455</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4036B25B-047E-4553-9950-CD9F399AAA8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90472" y="3708708"/>
              <a:ext cx="1527530" cy="1013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373381</xdr:colOff>
      <xdr:row>25</xdr:row>
      <xdr:rowOff>158341</xdr:rowOff>
    </xdr:from>
    <xdr:to>
      <xdr:col>6</xdr:col>
      <xdr:colOff>76200</xdr:colOff>
      <xdr:row>30</xdr:row>
      <xdr:rowOff>120240</xdr:rowOff>
    </xdr:to>
    <mc:AlternateContent xmlns:mc="http://schemas.openxmlformats.org/markup-compatibility/2006" xmlns:a14="http://schemas.microsoft.com/office/drawing/2010/main">
      <mc:Choice Requires="a14">
        <xdr:graphicFrame macro="">
          <xdr:nvGraphicFramePr>
            <xdr:cNvPr id="41" name="customer_type 1">
              <a:extLst>
                <a:ext uri="{FF2B5EF4-FFF2-40B4-BE49-F238E27FC236}">
                  <a16:creationId xmlns:a16="http://schemas.microsoft.com/office/drawing/2014/main" id="{EE08D721-52A4-4B7C-8EB3-002627036E40}"/>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2213332" y="4804682"/>
              <a:ext cx="1542770" cy="891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8</xdr:row>
      <xdr:rowOff>106680</xdr:rowOff>
    </xdr:from>
    <xdr:to>
      <xdr:col>8</xdr:col>
      <xdr:colOff>373380</xdr:colOff>
      <xdr:row>9</xdr:row>
      <xdr:rowOff>45720</xdr:rowOff>
    </xdr:to>
    <xdr:pic>
      <xdr:nvPicPr>
        <xdr:cNvPr id="42" name="Picture 41">
          <a:extLst>
            <a:ext uri="{FF2B5EF4-FFF2-40B4-BE49-F238E27FC236}">
              <a16:creationId xmlns:a16="http://schemas.microsoft.com/office/drawing/2014/main" id="{4A4A16DC-8111-902F-76F7-3D14870A96E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128260" y="1569720"/>
          <a:ext cx="12192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426720</xdr:colOff>
      <xdr:row>2</xdr:row>
      <xdr:rowOff>129540</xdr:rowOff>
    </xdr:from>
    <xdr:to>
      <xdr:col>14</xdr:col>
      <xdr:colOff>175260</xdr:colOff>
      <xdr:row>5</xdr:row>
      <xdr:rowOff>45720</xdr:rowOff>
    </xdr:to>
    <xdr:sp macro="" textlink="">
      <xdr:nvSpPr>
        <xdr:cNvPr id="43" name="TextBox 42">
          <a:extLst>
            <a:ext uri="{FF2B5EF4-FFF2-40B4-BE49-F238E27FC236}">
              <a16:creationId xmlns:a16="http://schemas.microsoft.com/office/drawing/2014/main" id="{362FF760-AAC5-51FE-6BB8-38FEF99B0D20}"/>
            </a:ext>
          </a:extLst>
        </xdr:cNvPr>
        <xdr:cNvSpPr txBox="1"/>
      </xdr:nvSpPr>
      <xdr:spPr>
        <a:xfrm>
          <a:off x="4693920" y="495300"/>
          <a:ext cx="40157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Amazon Sales Dashboard</a:t>
          </a:r>
        </a:p>
      </xdr:txBody>
    </xdr:sp>
    <xdr:clientData/>
  </xdr:twoCellAnchor>
  <xdr:twoCellAnchor editAs="oneCell">
    <xdr:from>
      <xdr:col>10</xdr:col>
      <xdr:colOff>480867</xdr:colOff>
      <xdr:row>8</xdr:row>
      <xdr:rowOff>29884</xdr:rowOff>
    </xdr:from>
    <xdr:to>
      <xdr:col>11</xdr:col>
      <xdr:colOff>66161</xdr:colOff>
      <xdr:row>9</xdr:row>
      <xdr:rowOff>14941</xdr:rowOff>
    </xdr:to>
    <xdr:pic>
      <xdr:nvPicPr>
        <xdr:cNvPr id="44" name="Picture 43">
          <a:extLst>
            <a:ext uri="{FF2B5EF4-FFF2-40B4-BE49-F238E27FC236}">
              <a16:creationId xmlns:a16="http://schemas.microsoft.com/office/drawing/2014/main" id="{0778A390-7B18-9A6F-CA57-0337389CA84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606749" y="1464237"/>
          <a:ext cx="197883" cy="164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149412</xdr:colOff>
      <xdr:row>8</xdr:row>
      <xdr:rowOff>14943</xdr:rowOff>
    </xdr:from>
    <xdr:to>
      <xdr:col>13</xdr:col>
      <xdr:colOff>363405</xdr:colOff>
      <xdr:row>9</xdr:row>
      <xdr:rowOff>44824</xdr:rowOff>
    </xdr:to>
    <xdr:pic>
      <xdr:nvPicPr>
        <xdr:cNvPr id="45" name="dimg_EWXeaZqHOd-R4-EPz_WS2A4_31" descr="Profit margin - Free business and ...">
          <a:extLst>
            <a:ext uri="{FF2B5EF4-FFF2-40B4-BE49-F238E27FC236}">
              <a16:creationId xmlns:a16="http://schemas.microsoft.com/office/drawing/2014/main" id="{7D00C705-729A-8D58-159E-274531AB7B8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113059" y="1449296"/>
          <a:ext cx="213993" cy="20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403411</xdr:colOff>
      <xdr:row>8</xdr:row>
      <xdr:rowOff>14942</xdr:rowOff>
    </xdr:from>
    <xdr:to>
      <xdr:col>15</xdr:col>
      <xdr:colOff>582705</xdr:colOff>
      <xdr:row>9</xdr:row>
      <xdr:rowOff>13436</xdr:rowOff>
    </xdr:to>
    <xdr:pic>
      <xdr:nvPicPr>
        <xdr:cNvPr id="47" name="Picture 46">
          <a:extLst>
            <a:ext uri="{FF2B5EF4-FFF2-40B4-BE49-F238E27FC236}">
              <a16:creationId xmlns:a16="http://schemas.microsoft.com/office/drawing/2014/main" id="{5CE2C753-7BDD-2249-5A01-D635F19B9C6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592235" y="1449295"/>
          <a:ext cx="179294" cy="177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194235</xdr:colOff>
      <xdr:row>8</xdr:row>
      <xdr:rowOff>14943</xdr:rowOff>
    </xdr:from>
    <xdr:to>
      <xdr:col>18</xdr:col>
      <xdr:colOff>362528</xdr:colOff>
      <xdr:row>9</xdr:row>
      <xdr:rowOff>0</xdr:rowOff>
    </xdr:to>
    <xdr:pic>
      <xdr:nvPicPr>
        <xdr:cNvPr id="48" name="dimg_hWXeabvGA_mf4-EPyYCN-AE_23" descr="Shipping Time Icons - Free SVG &amp; PNG ...">
          <a:extLst>
            <a:ext uri="{FF2B5EF4-FFF2-40B4-BE49-F238E27FC236}">
              <a16:creationId xmlns:a16="http://schemas.microsoft.com/office/drawing/2014/main" id="{BC2EA544-5B64-CD6C-E629-4AA87830D3E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1220823" y="1449296"/>
          <a:ext cx="168293" cy="164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455342</xdr:colOff>
      <xdr:row>30</xdr:row>
      <xdr:rowOff>157973</xdr:rowOff>
    </xdr:from>
    <xdr:to>
      <xdr:col>4</xdr:col>
      <xdr:colOff>56176</xdr:colOff>
      <xdr:row>31</xdr:row>
      <xdr:rowOff>176561</xdr:rowOff>
    </xdr:to>
    <xdr:pic>
      <xdr:nvPicPr>
        <xdr:cNvPr id="49" name="Picture 48">
          <a:hlinkClick xmlns:r="http://schemas.openxmlformats.org/officeDocument/2006/relationships" r:id="rId12"/>
          <a:extLst>
            <a:ext uri="{FF2B5EF4-FFF2-40B4-BE49-F238E27FC236}">
              <a16:creationId xmlns:a16="http://schemas.microsoft.com/office/drawing/2014/main" id="{D9A8F8AF-6F62-5B9D-BBAD-8C52F5226A6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295293" y="5733583"/>
          <a:ext cx="214151" cy="204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195148</xdr:colOff>
      <xdr:row>30</xdr:row>
      <xdr:rowOff>157977</xdr:rowOff>
    </xdr:from>
    <xdr:to>
      <xdr:col>4</xdr:col>
      <xdr:colOff>408878</xdr:colOff>
      <xdr:row>32</xdr:row>
      <xdr:rowOff>2141</xdr:rowOff>
    </xdr:to>
    <xdr:pic>
      <xdr:nvPicPr>
        <xdr:cNvPr id="50" name="Picture 49">
          <a:hlinkClick xmlns:r="http://schemas.openxmlformats.org/officeDocument/2006/relationships" r:id="rId14"/>
          <a:extLst>
            <a:ext uri="{FF2B5EF4-FFF2-40B4-BE49-F238E27FC236}">
              <a16:creationId xmlns:a16="http://schemas.microsoft.com/office/drawing/2014/main" id="{199B4FCC-08AC-BBAD-F169-8292AFD9A45B}"/>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648416" y="5733587"/>
          <a:ext cx="213730" cy="215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ar" refreshedDate="46126.846732986109" createdVersion="8" refreshedVersion="8" minRefreshableVersion="3" recordCount="2835" xr:uid="{E800D6A4-ECB7-40F3-8CC3-B1522A8AEB4C}">
  <cacheSource type="worksheet">
    <worksheetSource ref="A1:T2836" sheet="Sheet1"/>
  </cacheSource>
  <cacheFields count="21">
    <cacheField name="order_id" numFmtId="0">
      <sharedItems/>
    </cacheField>
    <cacheField name="order_date" numFmtId="164">
      <sharedItems containsSemiMixedTypes="0" containsNonDate="0" containsDate="1" containsString="0" minDate="2011-01-07T00:00:00" maxDate="2015-01-01T00:00:00"/>
    </cacheField>
    <cacheField name="ship_date" numFmtId="164">
      <sharedItems containsSemiMixedTypes="0" containsNonDate="0" containsDate="1" containsString="0" minDate="2011-01-09T00:00:00" maxDate="2015-01-07T00:00:00"/>
    </cacheField>
    <cacheField name="email_id" numFmtId="0">
      <sharedItems/>
    </cacheField>
    <cacheField name="geography" numFmtId="0">
      <sharedItems count="169">
        <s v="United States,Los Angeles,California"/>
        <s v="United States,Seattle,Washington"/>
        <s v="United States,West Jordan,Utah"/>
        <s v="United States,San Francisco,California"/>
        <s v="United States,Gilbert,Arizona"/>
        <s v="United States,Portland,Oregon"/>
        <s v="United States,Aurora,Colorado"/>
        <s v="United States,Phoenix,Arizona"/>
        <s v="United States,Roseville,California"/>
        <s v="United States,Scottsdale,Arizona"/>
        <s v="United States,San Jose,California"/>
        <s v="United States,Carlsbad,New Mexico"/>
        <s v="United States,Redlands,California"/>
        <s v="United States,Denver,Colorado"/>
        <s v="United States,Whittier,California"/>
        <s v="United States,Santa Clara,California"/>
        <s v="United States,San Diego,California"/>
        <s v="United States,Brentwood,California"/>
        <s v="United States,Inglewood,California"/>
        <s v="United States,Colorado Springs,Colorado"/>
        <s v="United States,Arvada,Colorado"/>
        <s v="United States,Long Beach,California"/>
        <s v="United States,Hesperia,California"/>
        <s v="United States,Layton,Utah"/>
        <s v="United States,Tucson,Arizona"/>
        <s v="United States,Des Moines,Washington"/>
        <s v="United States,Las Vegas,Nevada"/>
        <s v="United States,Huntington Beach,California"/>
        <s v="United States,Louisville,Colorado"/>
        <s v="United States,Concord,California"/>
        <s v="United States,Costa Mesa,California"/>
        <s v="United States,Parker,Colorado"/>
        <s v="United States,Great Falls,Montana"/>
        <s v="United States,Mesa,Arizona"/>
        <s v="United States,Marysville,Washington"/>
        <s v="United States,Salem,Oregon"/>
        <s v="United States,Vallejo,California"/>
        <s v="United States,Mission Viejo,California"/>
        <s v="United States,Sierra Vista,Arizona"/>
        <s v="United States,Vancouver,Washington"/>
        <s v="United States,Orem,Utah"/>
        <s v="United States,Lancaster,California"/>
        <s v="United States,Lake Elsinore,California"/>
        <s v="United States,Edmonds,Washington"/>
        <s v="United States,Santa Ana,California"/>
        <s v="United States,Salinas,California"/>
        <s v="United States,Farmington,New Mexico"/>
        <s v="United States,Riverside,California"/>
        <s v="United States,Torrance,California"/>
        <s v="United States,Oceanside,California"/>
        <s v="United States,Murrieta,California"/>
        <s v="United States,Olympia,Washington"/>
        <s v="United States,Oakland,California"/>
        <s v="United States,Encinitas,California"/>
        <s v="United States,Antioch,California"/>
        <s v="United States,Reno,Nevada"/>
        <s v="United States,Escondido,California"/>
        <s v="United States,Fresno,California"/>
        <s v="United States,Fairfield,California"/>
        <s v="United States,Pasadena,California"/>
        <s v="United States,Pico Rivera,California"/>
        <s v="United States,Pleasant Grove,Utah"/>
        <s v="United States,Glendale,Arizona"/>
        <s v="United States,Westminster,California"/>
        <s v="United States,Pomona,California"/>
        <s v="United States,Tempe,Arizona"/>
        <s v="United States,Laguna Niguel,California"/>
        <s v="United States,Bellevue,Washington"/>
        <s v="United States,Kent,Washington"/>
        <s v="United States,Tigard,Oregon"/>
        <s v="United States,North Las Vegas,Nevada"/>
        <s v="United States,Auburn,Washington"/>
        <s v="United States,Redmond,Oregon"/>
        <s v="United States,Henderson,Nevada"/>
        <s v="United States,Spokane,Washington"/>
        <s v="United States,Medford,Oregon"/>
        <s v="United States,Missoula,Montana"/>
        <s v="United States,Springfield,Oregon"/>
        <s v="United States,Broomfield,Colorado"/>
        <s v="United States,San Bernardino,California"/>
        <s v="United States,Bozeman,Montana"/>
        <s v="United States,Peoria,Arizona"/>
        <s v="United States,Ontario,California"/>
        <s v="United States,Rancho Cucamonga,California"/>
        <s v="United States,Stockton,California"/>
        <s v="United States,Sunnyvale,California"/>
        <s v="United States,Manteca,California"/>
        <s v="United States,Salt Lake City,Utah"/>
        <s v="United States,Littleton,Colorado"/>
        <s v="United States,Provo,Utah"/>
        <s v="United States,Fort Collins,Colorado"/>
        <s v="United States,Sacramento,California"/>
        <s v="United States,Thousand Oaks,California"/>
        <s v="United States,Albuquerque,New Mexico"/>
        <s v="United States,Coachella,California"/>
        <s v="United States,La Quinta,California"/>
        <s v="United States,Bellingham,Washington"/>
        <s v="United States,Pueblo,Colorado"/>
        <s v="United States,Englewood,Colorado"/>
        <s v="United States,Las Cruces,New Mexico"/>
        <s v="United States,Vacaville,California"/>
        <s v="United States,Murray,Utah"/>
        <s v="United States,Bakersfield,California"/>
        <s v="United States,Redondo Beach,California"/>
        <s v="United States,Anaheim,California"/>
        <s v="United States,Billings,Montana"/>
        <s v="United States,Gresham,Oregon"/>
        <s v="United States,Meridian,Idaho"/>
        <s v="United States,Apple Valley,California"/>
        <s v="United States,Woodland,California"/>
        <s v="United States,San Mateo,California"/>
        <s v="United States,Visalia,California"/>
        <s v="United States,Temecula,California"/>
        <s v="United States,Yucaipa,California"/>
        <s v="United States,Santa Fe,New Mexico"/>
        <s v="United States,Thornton,Colorado"/>
        <s v="United States,Lakewood,California"/>
        <s v="United States,Covington,Washington"/>
        <s v="United States,Boise,Idaho"/>
        <s v="United States,Citrus Heights,California"/>
        <s v="United States,Redmond,Washington"/>
        <s v="United States,Bullhead City,Arizona"/>
        <s v="United States,San Gabriel,California"/>
        <s v="United States,Lewiston,Idaho"/>
        <s v="United States,Danville,California"/>
        <s v="United States,Logan,Utah"/>
        <s v="United States,Chula Vista,California"/>
        <s v="United States,Yuma,Arizona"/>
        <s v="United States,Pasco,Washington"/>
        <s v="United States,Lehi,Utah"/>
        <s v="United States,Moreno Valley,California"/>
        <s v="United States,Loveland,Colorado"/>
        <s v="United States,Chandler,Arizona"/>
        <s v="United States,Helena,Montana"/>
        <s v="United States,Clovis,New Mexico"/>
        <s v="United States,Sparks,Nevada"/>
        <s v="United States,Santa Barbara,California"/>
        <s v="United States,Draper,Utah"/>
        <s v="United States,La Mesa,California"/>
        <s v="United States,Pocatello,Idaho"/>
        <s v="United States,Lake Forest,California"/>
        <s v="United States,Redding,California"/>
        <s v="United States,Chico,California"/>
        <s v="United States,Caldwell,Idaho"/>
        <s v="United States,Redwood City,California"/>
        <s v="United States,Santa Maria,California"/>
        <s v="United States,Longview,Washington"/>
        <s v="United States,Eugene,Oregon"/>
        <s v="United States,Oxnard,California"/>
        <s v="United States,Renton,Washington"/>
        <s v="United States,Commerce City,Colorado"/>
        <s v="United States,Rio Rancho,New Mexico"/>
        <s v="United States,Everett,Washington"/>
        <s v="United States,Montebello,California"/>
        <s v="United States,El Cajon,California"/>
        <s v="United States,Camarillo,California"/>
        <s v="United States,Hillsboro,Oregon"/>
        <s v="United States,Burbank,California"/>
        <s v="United States,Modesto,California"/>
        <s v="United States,Longmont,Colorado"/>
        <s v="United States,Davis,California"/>
        <s v="United States,Morgan Hill,California"/>
        <s v="United States,Greeley,Colorado"/>
        <s v="United States,Twin Falls,Idaho"/>
        <s v="United States,Avondale,Arizona"/>
        <s v="United States,San Clemente,California"/>
        <s v="United States,Dublin,California"/>
        <s v="United States,San Luis Obispo,California"/>
        <s v="United States,Lodi,California"/>
      </sharedItems>
    </cacheField>
    <cacheField name="category" numFmtId="0">
      <sharedItems count="17">
        <s v="Labels"/>
        <s v="Furnishings"/>
        <s v="Art"/>
        <s v="Binders"/>
        <s v="Appliances"/>
        <s v="Storage"/>
        <s v="Phones"/>
        <s v="Accessories"/>
        <s v="Paper"/>
        <s v="Chairs"/>
        <s v="Fasteners"/>
        <s v="Supplies"/>
        <s v="Envelopes"/>
        <s v="Tables"/>
        <s v="Bookcases"/>
        <s v="Machines"/>
        <s v="Copiers"/>
      </sharedItems>
    </cacheField>
    <cacheField name="product_name" numFmtId="0">
      <sharedItems count="1371">
        <s v="Self-Adhesive Address Labels for Typewriters by Universal"/>
        <s v="Eldon Expressions Wood and Plastic Desk Accessories, Cherry Wood"/>
        <s v="Newell 322"/>
        <s v="DXL Angle-View Binders with Locking Rings by Samsill"/>
        <s v="Belkin F5C206VTEL 6 Outlet Surge"/>
        <s v="Fellowes PB200 Plastic Comb Binding Machine"/>
        <s v="Fellowes Super Stor/Drawer"/>
        <s v="Newell 341"/>
        <s v="Cisco SPA 501G IP Phone"/>
        <s v="Wilson Jones Hanging View Binder, White, 1&quot;"/>
        <s v="Wilson Jones Active Use Binders"/>
        <s v="ImationÂ 8GB Mini TravelDrive USB 2.0Â Flash Drive"/>
        <s v="Eldon Base for stackable storage shelf, platinum"/>
        <s v="Verbatim 25 GB 6x Blu-ray Single Layer Recordable Disc, 3/Pack"/>
        <s v="Acco PRESSTEX Data Binder with Storage Hooks, Dark Blue, 14 7/8&quot; X 11&quot;"/>
        <s v="Xerox 1943"/>
        <s v="Luxo Economy Swing Arm Lamp"/>
        <s v="netTALK DUO VoIP Telephone Service"/>
        <s v="Premium Writing Pencils, Soft, #2 by Central Association for the Blind"/>
        <s v="Sortfiler Multipurpose Personal File Organizer, Black"/>
        <s v="Turquoise Lead Holder with Pocket Clip"/>
        <s v="Panasonic Kx-TS550"/>
        <s v="Xerox 1995"/>
        <s v="Flexible Leather- Look Classic Collection Ring Binder"/>
        <s v="Trimflex Flexible Post Binders"/>
        <s v="Logitech K350 2.4Ghz Wireless Keyboard"/>
        <s v="Deflect-o DuraMat Lighweight, Studded, Beveled Mat for Low Pile Carpeting"/>
        <s v="Avery Trapezoid Ring Binder, 3&quot; Capacity, Black, 1040 sheets"/>
        <s v="Avery Durable Slant Ring Binders, No Labels"/>
        <s v="Trav-L-File Heavy-Duty Shuttle II, Black"/>
        <s v="Global Task Chair, Black"/>
        <s v="Eldon Cleatmat Plus Chair Mats for High Pile Carpets"/>
        <s v="Xerox 195"/>
        <s v="Xerox 1880"/>
        <s v="Sanford Colorific Colored Pencils, 12/Box"/>
        <s v="Ideal Clamps"/>
        <s v="GBC Wire Binding Strips"/>
        <s v="Fiskars Softgrip Scissors"/>
        <s v="Longer-Life Soft White Bulbs"/>
        <s v="Newell 343"/>
        <s v="Convenience Packs of Business Envelopes"/>
        <s v="Xerox 1911"/>
        <s v="Belkin 7 Outlet SurgeMaster Surge Protector with Phone Protection"/>
        <s v="Jabra BIZ 2300 Duo QD Duo CordedÂ Headset"/>
        <s v="Southworth 25% Cotton Antique Laid Paper &amp; Envelopes"/>
        <s v="Xerox 1883"/>
        <s v="Tenex Personal Project File with Scoop Front Design, Black"/>
        <s v="Newell 311"/>
        <s v="Global Deluxe High-Back Manager's Chair"/>
        <s v="Xerox 1920"/>
        <s v="Staples"/>
        <s v="Wilson Jones International Size A4 Ring Binders"/>
        <s v="Adams Phone Message Book, Professional, 400 Message Capacity, 5 3/6Â” x 11Â”"/>
        <s v="Xerox 1913"/>
        <s v="Global Value Steno Chair, Gray"/>
        <s v="SanDisk Ultra 32 GB MicroSDHC Class 10 Memory Card"/>
        <s v="Poly String Tie Envelopes"/>
        <s v="BoxOffice By Design Rectangular and Half-Moon Meeting Room Tables"/>
        <s v="Bravo II Megaboss 12-Amp Hard Body Upright, Replacement Belts, 2 Belts per Pack"/>
        <s v="Nortel Business Series Terminal T7208 Digital phone"/>
        <s v="Personal Filing Tote with Lid, Black/Gray"/>
        <s v="Adtran 1202752G1"/>
        <s v="Xerox 4200 Series MultiUse Premium Copy Paper (20Lb. and 84 Bright)"/>
        <s v="Global Leather Highback Executive Chair with Pneumatic Height Adjustment, Black"/>
        <s v="Wirebound Message Books, Two 4 1/4&quot; x 5&quot; Forms per Page"/>
        <s v="Microsoft Sculpt Comfort Mouse"/>
        <s v="Logitech 910-002974 M325 Wireless Mouse for Web Scrolling"/>
        <s v="Regeneration Desk Collection"/>
        <s v="Presstex Flexible Ring Binders"/>
        <s v="Ampad Gold Fibre Wirebound Steno Books, 6&quot; x 9&quot;, Gregg Ruled"/>
        <s v="Newell 330"/>
        <s v="Microsoft Arc Touch Mouse"/>
        <s v="Xerox 216"/>
        <s v="Howard Miller 13&quot; Diameter Goldtone Round Wall Clock"/>
        <s v="Global Deluxe Office Fabric Chairs"/>
        <s v="Eldon ClusterMat Chair Mat with Cordless Antistatic Protection"/>
        <s v="Ibico Laser Imprintable Binding System Covers"/>
        <s v="Vinyl Coated Wire Paper Clips in Organizer Box, 800/Box"/>
        <s v="C-Line Cubicle Keepers Polyproplyene Holder With Velcro Backings"/>
        <s v="Hon 4070 Series Pagoda Armless Upholstered Stacking Chairs"/>
        <s v="Eldon Expressions Desk Accessory, Wood Photo Frame, Mahogany"/>
        <s v="Avery 509"/>
        <s v="OIC Binder Clips"/>
        <s v="Logitech Wireless Headset h800"/>
        <s v="Storex Dura Pro Binders"/>
        <s v="Avery Non-Stick Binders"/>
        <s v="Tuff Stuff Recycled Round Ring Binders"/>
        <s v="OIC Binder Clips, Mini, 1/4&quot; Capacity, Black"/>
        <s v="Anker 36W 4-Port USB Wall Charger Travel Power Adapter for iPhone 5s 5c 5"/>
        <s v="Gould Plastics 9-Pocket Panel Bin, 18-3/8w x 5-1/4d x 20-1/2h, Black"/>
        <s v="Wilson Jones Custom Binder Spines &amp; Labels"/>
        <s v="Newell 324"/>
        <s v="Microsoft Natural Keyboard Elite"/>
        <s v="Southworth Structures Collection"/>
        <s v="Square Ring Data Binders, Rigid 75 Pt. Covers, 11&quot; x 14-7/8&quot;"/>
        <s v="Nortel Meridian M3904 Professional Digital phone"/>
        <s v="Tuf-Vin Binders"/>
        <s v="Sony 64GB Class 10 Micro SDHC R40 Memory Card"/>
        <s v="Wirebound Message Book, 4 per Page"/>
        <s v="Wirebound Service Call Books, 5 1/2&quot; x 4&quot;"/>
        <s v="Self-Adhesive Removable Labels"/>
        <s v="Xerox 1908"/>
        <s v="Novimex High-Tech Fabric Mesh Task Chair"/>
        <s v="Xerox 191"/>
        <s v="Bulldog Vacuum Base Pencil Sharpener"/>
        <s v="Bevis Steel Folding Chairs"/>
        <s v="American Pencil"/>
        <s v="White Envelopes, White Envelopes with Clear Poly Window"/>
        <s v="KeyTronicÂ 6101 Series -Â KeyboardÂ - Black"/>
        <s v="Global Geo Office Task Chair, Gray"/>
        <s v="3M Office Air Cleaner"/>
        <s v="Acco D-Ring Binder w/DublLock"/>
        <s v="Eldon Wave Desk Accessories"/>
        <s v="Poly Designer Cover &amp; Back"/>
        <s v="Premier Electric Letter Opener"/>
        <s v="Fellowes Premier Superior Surge Suppressor, 10-Outlet, With Phone and Remote"/>
        <s v="SAFCO Boltless Steel Shelving"/>
        <s v="Sauder Mission Library with Doors, Fruitwood Finish"/>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iHome FM Clock Radio with Lightning Dock"/>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Storex Flexible Poly Binders with Double Pockets"/>
        <s v="White Dual Perf Computer Printout Paper, 2700 Sheets, 1 Part, Heavyweight, 20 lbs., 14 7/8 x 11"/>
        <s v="Newell 327"/>
        <s v="Newell 317"/>
        <s v="Advantus Rolling Storage Box"/>
        <s v="Great White Multi-Use Recycled Paper (20Lb. and 84 Bright)"/>
        <s v="Motorola HK250 Universal Bluetooth Headset"/>
        <s v="ImationÂ 16GB Mini TravelDrive USB 2.0Â Flash Drive"/>
        <s v="Safco Contoured Stacking Chairs"/>
        <s v="Tenex Chairmats For Use With Carpeted Floors"/>
        <s v="Sterilite Officeware Hinged File Box"/>
        <s v="LG Electronics Tone+ HBS-730 Bluetooth Headset"/>
        <s v="Avery 473"/>
        <s v="Xerox 226"/>
        <s v="Coloredge Poster Frame"/>
        <s v="GBC Prepunched Paper, 19-Hole, for Binding Systems, 24-lb"/>
        <s v="Alliance Big Bands Rubber Bands, 12/Pack"/>
        <s v="Cisco SPA301"/>
        <s v="Personal Creations Ink Jet Cards and Labels"/>
        <s v="GBC White Gloss Covers, Plain Front"/>
        <s v="Xerox 222"/>
        <s v="Hon Every-Day Series Multi-Task Chairs"/>
        <s v="Newell 332"/>
        <s v="Rediform S.O.S. Phone Message Books"/>
        <s v="Acme Value Line Scissors"/>
        <s v="Martin-Yale Premier Letter Opener"/>
        <s v="GE 30524EE4"/>
        <s v="AT&amp;T SB67148 SynJ"/>
        <s v="Fellowes Basic Home/Office Series Surge Protectors"/>
        <s v="Recycled Pressboard Report Cover with Reinforced Top Hinge"/>
        <s v="i.Sound Portable Power - 8000 mAh"/>
        <s v="Xerox 225"/>
        <s v="Xerox 1894"/>
        <s v="Fellowes Superior 10 Outlet Split Surge Protector"/>
        <s v="AT&amp;T 1070 Corded Phone"/>
        <s v="Dana Halogen Swing-Arm Architect Lamp"/>
        <s v="Belkin Premiere Surge Master II 8-outlet surge protector"/>
        <s v="Acco Pressboard Covers with Storage Hooks, 9 1/2&quot; x 11&quot;, Executive Red"/>
        <s v="Tennsco Regal Shelving Units"/>
        <s v="ImationÂ 32GB Pocket Pro USB 3.0Â Flash DriveÂ - 32 GB - Black - 1 P ..."/>
        <s v="Jabra SPEAK 410"/>
        <s v="Premium Transparent Presentation Covers by GBC"/>
        <s v="Tripp Lite TLP810NET Broadband Surge for Modem/Fax"/>
        <s v="Wilson Jones Turn Tabs Binder Tool for Ring Binders"/>
        <s v="Economy Rollaway Files"/>
        <s v="Avery 480"/>
        <s v="Belkin F9H710-06 7 Outlet SurgeMaster Surge Protector"/>
        <s v="3M Hangers With Command Adhesive"/>
        <s v="AT&amp;T TR1909W"/>
        <s v="First Data FD10 PIN Pad"/>
        <s v="Imation Bio 8GB USBÂ Flash Drive ImationÂ Corp"/>
        <s v="Xerox 1977"/>
        <s v="Tenex &quot;The Solids&quot; Textured Chair Mats"/>
        <s v="Laminate Occasional Tables"/>
        <s v="Cardinal Holdit Business Card Pockets"/>
        <s v="Aluminum Document Frame"/>
        <s v="Tops Green Bar Computer Printout Paper"/>
        <s v="Carina Double Wide Media Storage Towers in Natural &amp; Black"/>
        <s v="LogitechÂ Illuminated - Keyboard"/>
        <s v="Wilson Jones Century Plastic Molded Ring Binders"/>
        <s v="Wilson Jones Leather-Like Binders with DublLock Round Rings"/>
        <s v="O'Sullivan Cherrywood Estates Traditional Bookcase"/>
        <s v="Acco Translucent Poly Ring Binders"/>
        <s v="Logitech Wireless Touch Keyboard K400"/>
        <s v="Fellowes Officeware Wire Shelving"/>
        <s v="12-1/2 Diameter Round Wall Clock"/>
        <s v="Xerox 1974"/>
        <s v="Xerox 1927"/>
        <s v="Heavy-Duty E-Z-D Binders"/>
        <s v="Lifetime Advantage Folding Chairs, 4/Carton"/>
        <s v="Avery 499"/>
        <s v="Situations Contoured Folding Chairs, 4/Set"/>
        <s v="Executive Impressions 14&quot; Contract Wall Clock"/>
        <s v="Logitech Mobile Speakerphone P710e -Â speaker phone"/>
        <s v="Eldon Stackable Tray, Side-Load, Legal, Smoke"/>
        <s v="Model L Table or Wall-Mount Pencil Sharpener"/>
        <s v="Newell 32"/>
        <s v="Belkin F9G930V10-GRY 9 Outlet Surge"/>
        <s v="Sony 16GB Class 10 Micro SDHC R40 Memory Card"/>
        <s v="Kingston Digital DataTraveler 32GB USB 2.0"/>
        <s v="Sony Micro Vault Click 16 GB USB 2.0 Flash Drive"/>
        <s v="Fellowes Binding Cases"/>
        <s v="Ibico Plastic and Wire Spiral Binding Combs"/>
        <s v="Acme Preferred Stainless Steel Scissors"/>
        <s v="Avery 486"/>
        <s v="DIXON Oriole Pencils"/>
        <s v="Xerox 202"/>
        <s v="Deluxe Chalkboard Eraser Cleaner"/>
        <s v="Binney &amp; Smith Crayola Metallic Crayons, 16-Color Pack"/>
        <s v="Fellowes Black Plastic Comb Bindings"/>
        <s v="Eldon Shelf Savers Cubes and Bins"/>
        <s v="Xerox 1987"/>
        <s v="File Shuttle I and Handi-File"/>
        <s v="Binding Machine Supplies"/>
        <s v="Xerox 1923"/>
        <s v="Fellowes Neat Ideas Storage Cubes"/>
        <s v="Xerox 1931"/>
        <s v="NETGEAR AC1750 Dual Band GigabitÂ Smart WiFi Router"/>
        <s v="Xerox 213"/>
        <s v="Fellowes 8 Outlet Superior Workstation Surge Protector w/o Phone/Fax/Modem Protection"/>
        <s v="Message Book, Standard Line &quot;While You Were Out&quot;, 5 1/2&quot; X 4&quot;, 200 Sets/Book"/>
        <s v="Acco Pressboard Covers with Storage Hooks, 14 7/8&quot; x 11&quot;, Dark Blue"/>
        <s v="Avery Trapezoid Extra Heavy Duty 4&quot; Binders"/>
        <s v="Bevis Boat-Shaped Conference Table"/>
        <s v="Logitech B530 USBÂ HeadsetÂ -Â headsetÂ - Full size, Binaural"/>
        <s v="Avery Durable Slant Ring Binders"/>
        <s v="Universal Ultra Bright White Copier/Laser Paper, 8 1/2&quot; x 11&quot;, Ream"/>
        <s v="Luxo Professional Combination Clamp-On Lamps"/>
        <s v="White Business Envelopes with Contemporary Seam, Recycled White Business Envelopes"/>
        <s v="Wilson Jones Easy Flow II Sheet Lifters"/>
        <s v="BIC Brite Liner Grip Highlighters, Assorted, 5/Pack"/>
        <s v="Advantus SlideClip Paper Clips"/>
        <s v="Xerox 1979"/>
        <s v="Boston 16801 Nautilus Battery Pencil Sharpener"/>
        <s v="Fellowes Super Stor/Drawer Files"/>
        <s v="Redi-Strip #10 Envelopes, 4 1/8 x 9 1/2"/>
        <s v="UniKeep View Case Binders"/>
        <s v="Eldon Delta Triangular Chair Mat, 52&quot; x 58&quot;, Clear"/>
        <s v="Howard Miller 13-3/4&quot; Diameter Brushed Chrome Round Wall Clock"/>
        <s v="Project Tote Personal File"/>
        <s v="Enermax Acrylux Wireless Keyboard"/>
        <s v="GBC Plastic Binding Combs"/>
        <s v="Aluminum Screw Posts"/>
        <s v="Logitech Wireless Performance Mouse MX for PC and Mac"/>
        <s v="Avery Hole Reinforcements"/>
        <s v="Wilson Jones Ledger-Size, Piano-Hinge Binder, 2&quot;, Blue"/>
        <s v="Global Value Mid-Back Manager's Chair, Gray"/>
        <s v="Newell 333"/>
        <s v="Xerox 1881"/>
        <s v="Avery Durable Slant Ring Binders With Label Holder"/>
        <s v="Round Ring Binders"/>
        <s v="Micropad Numeric Keypads"/>
        <s v="Belkin 8 Outlet SurgeMaster II Gold Surge Protector"/>
        <s v="Avery Printable Repositionable Plastic Tabs"/>
        <s v="Nokia Lumia 521 (T-Mobile)"/>
        <s v="Avery 488"/>
        <s v="Stanley Contemporary Battery Pencil Sharpeners"/>
        <s v="AT&amp;T 1080 Corded phone"/>
        <s v="Hon 4060 Series Tables"/>
        <s v="Newell 326"/>
        <s v="GE General Purpose, Extra Long Life, Showcase &amp; Floodlight Incandescent Bulbs"/>
        <s v="Logitech ClearChat Comfort/USB Headset H390"/>
        <s v="Newell 346"/>
        <s v="Rediform Wirebound &quot;Phone Memo&quot; Message Book, 11 x 5-3/4"/>
        <s v="Bush Saratoga Collection 5-Shelf Bookcase, Hanover Cherry, *Special Order"/>
        <s v="Stockwell Push Pins"/>
        <s v="Xerox 223"/>
        <s v="Fellowes Mobile File Cart, Black"/>
        <s v="Crayola Anti Dust Chalk, 12/Pack"/>
        <s v="Lock-Up Easel 'Spel-Binder'"/>
        <s v="Hon Deluxe Fabric Upholstered Stacking Chairs"/>
        <s v="BOSTON Model 1800 Electric Pencil Sharpeners, Putty/Woodgrain"/>
        <s v="ACCOHIDE Binder by Acco"/>
        <s v="Peel &amp; Stick Add-On Corner Pockets"/>
        <s v="Carina 42&quot;Hx23 3/4&quot;W Media Storage Unit"/>
        <s v="Xerox 220"/>
        <s v="Recycled Data-Pak for Archival Bound Computer Printouts, 12-1/2 x 12-1/2 x 16"/>
        <s v="Kensington 6 Outlet Guardian Standard Surge Protector"/>
        <s v="Xerox 1924"/>
        <s v="Fellowes Strictly Business Drawer File, Letter/Legal Size"/>
        <s v="GE DSL Phone Line Filter"/>
        <s v="#10- 4 1/8&quot; x 9 1/2&quot; Security-Tint Envelopes"/>
        <s v="Dax Clear Box Frame"/>
        <s v="SANFORD Liquid Accent Tank-Style Highlighters"/>
        <s v="Eldon Image Series Desk Accessories, Ebony"/>
        <s v="Sanford 52201 APSCO Electric Pencil Sharpener"/>
        <s v="Bestar Classic Bookcase"/>
        <s v="Pencil and Crayon Sharpener"/>
        <s v="Letter Size Cart"/>
        <s v="ACCOHIDE 3-Ring Binder, Blue, 1&quot;"/>
        <s v="Xerox 1996"/>
        <s v="Xerox 1973"/>
        <s v="Avery 511"/>
        <s v="Cardinal Slant-D Ring Binder, Heavy Gauge Vinyl"/>
        <s v="GBC Binding covers"/>
        <s v="Xerox 1898"/>
        <s v="Belkin 6 Outlet Metallic Surge Strip"/>
        <s v="Fellowes Bankers Box Recycled Super Stor/Drawer"/>
        <s v="Hon Valutask Swivel Chairs"/>
        <s v="Eureka Recycled Copy Paper 8 1/2&quot; x 11&quot;, Ream"/>
        <s v="Seth Thomas 12&quot; Clock w/ Goldtone Case"/>
        <s v="Panasonic KP-310 Heavy-Duty Electric Pencil Sharpener"/>
        <s v="Wilson Jones Legal Size Ring Binders"/>
        <s v="Westinghouse Clip-On Gooseneck Lamps"/>
        <s v="Motorola L804"/>
        <s v="Things To Do Today Pad"/>
        <s v="Bretford Rectangular Conference Table Tops"/>
        <s v="Leather Task Chair, Black"/>
        <s v="Cardinal EasyOpen D-Ring Binders"/>
        <s v="DYMO CardScan Personal V9 Business Card Scanner"/>
        <s v="Case Logic 2.4GHz Wireless Keyboard"/>
        <s v="Deflect-o SuperTray Unbreakable Stackable Tray, Letter, Black"/>
        <s v="Dixon My First Ticonderoga Pencil, #2"/>
        <s v="Avery 490"/>
        <s v="Pressboard Data Binder, Crimson, 12&quot; X 8 1/2&quot;"/>
        <s v="Xerox 1934"/>
        <s v="Newell 329"/>
        <s v="Panasonic KX T7731-B Digital phone"/>
        <s v="Safco Wire Cube Shelving System, For Use as 4 or 5 14&quot; Cubes, Black"/>
        <s v="Ibico Standard Transparent Covers"/>
        <s v="Logitech G13 Programmable Gameboard with LCD Display"/>
        <s v="DAX Executive Solid Wood Document Frame, Desktop or Hang, Mahogany, 5 x 7"/>
        <s v="Petty Cash Envelope"/>
        <s v="GBC VeloBinder Electric Binding Machine"/>
        <s v="3M Replacement Filter for Office Air Cleaner for 20' x 33' Room"/>
        <s v="2300 Heavy-Duty Transfer File Systems by Perma"/>
        <s v="Samsung Rugby III"/>
        <s v="Prestige Round Ring Binders"/>
        <s v="Acco Four Pocket Poly Ring Binder with Label Holder, Smoke, 1&quot;"/>
        <s v="Avery 4027 File Folder Labels for Dot Matrix Printers, 5000 Labels per Box, White"/>
        <s v="Strathmore Photo Mount Cards"/>
        <s v="Deluxe Heavy-Duty Vinyl Round Ring Binder"/>
        <s v="OtterBox Defender Series Case - iPhone 5c"/>
        <s v="Wilson Jones DublLock D-Ring Binders"/>
        <s v="Wilson Jones Heavy-Duty Casebound Ring Binders with Metal Hinges"/>
        <s v="SanDisk Ultra 64 GB MicroSDHC Class 10 Memory Card"/>
        <s v="Avery 482"/>
        <s v="Square Credit Card Reader"/>
        <s v="Xerox 192"/>
        <s v="HP Office Recycled Paper (20Lb. and 87 Bright)"/>
        <s v="X-Rack File for Hanging Folders"/>
        <s v="WD My Passport Ultra 500GB Portable External Hard Drive"/>
        <s v="Logitech Trackman Marble Mouse"/>
        <s v="Magna Visual Magnetic Picture Hangers"/>
        <s v="Avery Durable Plastic 1&quot; Binders"/>
        <s v="iKross Bluetooth Portable Keyboard + Cell Phone Stand Holder + Brush for Apple iPhone 5S 5C 5, 4S 4"/>
        <s v="DAX Value U-Channel Document Frames, Easel Back"/>
        <s v="Prang Dustless Chalk Sticks"/>
        <s v="Eldon Image Series Desk Accessories, Burgundy"/>
        <s v="Boston Heavy-Duty Trimline Electric Pencil Sharpeners"/>
        <s v="4009 Highlighters by Sanford"/>
        <s v="Avery Durable Poly Binders"/>
        <s v="Howard Miller 13&quot; Diameter Pewter Finish Round Wall Clock"/>
        <s v="Xerox 1970"/>
        <s v="Xerox 1960"/>
        <s v="Belkin 19&quot; Vented Equipment Shelf, Black"/>
        <s v="Neat Ideas Personal Hanging Folder Files, Black"/>
        <s v="OIC Bulk Pack Metal Binder Clips"/>
        <s v="Bush Andora Bookcase, Maple/Graphite Gray Finish"/>
        <s v="GBC Recycled Grain Textured Covers"/>
        <s v="Newell 310"/>
        <s v="KI Adjustable-Height Table"/>
        <s v="Acco Pressboard Covers with Storage Hooks, 14 7/8&quot; x 11&quot;, Light Blue"/>
        <s v="Avery 518"/>
        <s v="Wireless Extenders zBoost YX545 SOHO Signal Booster"/>
        <s v="Pastel Pink Envelopes"/>
        <s v="Belkin F8E887 USB Wired Ergonomic Keyboard"/>
        <s v="Pyle PRT45 Retro HomeÂ Telephone"/>
        <s v="Spiral Phone Message Books with Labels by Adams"/>
        <s v="PowerGen Dual USB Car Charger"/>
        <s v="Newell 307"/>
        <s v="Panasonic KP-4ABK Battery-Operated Pencil Sharpener"/>
        <s v="Angle-D Binders with Locking Rings, Label Holders"/>
        <s v="Adams Telephone Message Book W/Dividers/Space For Phone Numbers, 5 1/4&quot;X8 1/2&quot;, 200/Messages"/>
        <s v="Avery Binder Labels"/>
        <s v="Sauder Inglewood Library Bookcases"/>
        <s v="VTech DS6151"/>
        <s v="GE 48&quot; Fluorescent Tube, Cool White Energy Saver, 34 Watts, 30/Box"/>
        <s v="Micro Innovations USB RF Wireless Keyboard with Mouse"/>
        <s v="Xerox 2"/>
        <s v="Jawbone MINI JAMBOX Wireless Bluetooth Speaker"/>
        <s v="Multicolor Computer Printout Paper"/>
        <s v="Xerox 1940"/>
        <s v="Xerox 1986"/>
        <s v="Eldon Portable Mobile Manager"/>
        <s v="Binder Clips by OIC"/>
        <s v="Wilson Jones 1&quot; Hanging DublLock Ring Binders"/>
        <s v="Fellowes Bankers Box Stor/Drawer Steel Plus"/>
        <s v="RCA Visys Integrated PBX 8-Line Router"/>
        <s v="GBC Velobind Prepunched Cover Sets, Regency Series"/>
        <s v="Cardinal Slant-D Ring Binders"/>
        <s v="Home/Office Personal File Carts"/>
        <s v="Universal Premium White Copier/Laser Paper (20Lb. and 87 Bright)"/>
        <s v="Xerox 1887"/>
        <s v="C-Line Magnetic Cubicle Keepers, Clear Polypropylene"/>
        <s v="Avery 497"/>
        <s v="GBC Standard Recycled Report Covers, Clear Plastic Sheets"/>
        <s v="Avery 500"/>
        <s v="Geemarc AmpliPOWER60"/>
        <s v="&quot;While you Were Out&quot; Message Book, One Form per Page"/>
        <s v="Global Leather Task Chair, Black"/>
        <s v="O'Sullivan Manor Hill 2-Door Library in Brianna Oak"/>
        <s v="Kingston Digital DataTraveler 16GB USB 2.0"/>
        <s v="TRENDnet 56K USB 2.0 Phone, Internet and Fax Modem"/>
        <s v="Avery 494"/>
        <s v="Xerox 1962"/>
        <s v="Sauder Camden County Barrister Bookcase, Planked Cherry Finish"/>
        <s v="DXL Angle-View Binders with Locking Rings, Black"/>
        <s v="Sauder Camden County Collection Libraries, Planked Cherry Finish"/>
        <s v="Xerox 1919"/>
        <s v="Prang Colored Pencils"/>
        <s v="Howard Miller 11-1/2&quot; Diameter Grantwood Wall Clock"/>
        <s v="SanDisk Cruzer 64 GB USB Flash Drive"/>
        <s v="KI Conference Tables"/>
        <s v="Avery 501"/>
        <s v="Binney &amp; Smith Crayola Metallic Colored Pencils, 8-Color Set"/>
        <s v="Avery 513"/>
        <s v="Avery 3 1/2&quot; Diskette Storage Pages, 10/Pack"/>
        <s v="Seth Thomas 14&quot; Day/Date Wall Clock"/>
        <s v="Executive Impressions 8-1/2&quot; Career Panel/Partition Cubicle Clock"/>
        <s v="Howard Miller 12&quot; Round Wall Clock"/>
        <s v="Newell 334"/>
        <s v="Hon 30&quot; x 60&quot; Table with Locking Drawer"/>
        <s v="Safco Drafting Table"/>
        <s v="Global High-Back Leather Tilter, Burgundy"/>
        <s v="Ultra Door Pull Handle"/>
        <s v="Xerox 1972"/>
        <s v="Avery Hi-Liter Fluorescent Desk Style Markers"/>
        <s v="IBM Multi-Purpose Copy Paper, 8 1/2 x 11&quot;, Case"/>
        <s v="Ibico Hi-Tech Manual Binding System"/>
        <s v="Xerox 218"/>
        <s v="Global Comet Stacking Armless Chair"/>
        <s v="Memorex Froggy Flash Drive 8 GB"/>
        <s v="Hand-Finished Solid Wood Document Frame"/>
        <s v="Avaya 4621SW VoIP phone"/>
        <s v="Eaton Premium Continuous-Feed Paper, 25% Cotton, Letter Size, White, 1000 Shts/Box"/>
        <s v="Xerox 214"/>
        <s v="Safco Commercial Shelving"/>
        <s v="Motorola Moto X"/>
        <s v="Tops White Computer Printout Paper"/>
        <s v="Enermax Briskie RF Wireless Keyboard and Mouse Combo"/>
        <s v="Ultra Door Push Plate"/>
        <s v="GBC Twin Loop Wire Binding Elements"/>
        <s v="Perma STOR-ALL Hanging File Box, 13 1/8&quot;W x 12 1/4&quot;D x 10 1/2&quot;H"/>
        <s v="Newell 321"/>
        <s v="Fellowes Personal Hanging Folder Files, Navy"/>
        <s v="Wirebound Message Books, Four 2 3/4 x 5 White Forms per Page"/>
        <s v="Eldon Spacemaker Box, Quick-Snap Lid, Clear"/>
        <s v="Plymouth Boxed Rubber Bands by Plymouth"/>
        <s v="Dixon Ticonderoga Erasable Colored Pencil Set, 12-Color"/>
        <s v="GBC Imprintable Covers"/>
        <s v="Acme Elite Stainless Steel Scissors"/>
        <s v="Wirebound Message Books, 5-1/2 x 4 Forms, 2 or 4 Forms per Page"/>
        <s v="GBC Recycled Regency Composition Covers"/>
        <s v="Safco Value Mate Series Steel Bookcases, Baked Enamel Finish on Steel, Gray"/>
        <s v="Xerox 1922"/>
        <s v="Flat Face Poster Frame"/>
        <s v="GBC Personal VeloBind Strips"/>
        <s v="Letter/Legal File Tote with Clear Snap-On Lid, Black Granite"/>
        <s v="Avery Framed View Binder, EZD Ring (Locking), Navy, 1 1/2&quot;"/>
        <s v="Xerox 1952"/>
        <s v="Fellowes Twister Kit, Gray/Clear, 3/pkg"/>
        <s v="Novimex Fabric Task Chair"/>
        <s v="MaxellÂ LTO Ultrium - 800 GB"/>
        <s v="Newell 325"/>
        <s v="Plantronics Audio 478 Stereo USB Headset"/>
        <s v="Newell 3-Hole Punched Plastic Slotted Magazine Holders for Binders"/>
        <s v="Anker Ultra-Slim Mini Bluetooth 3.0 Wireless Keyboard"/>
        <s v="Floodlight Indoor Halogen Bulbs, 1 Bulb per Pack, 60 Watts"/>
        <s v="Computer Printout Paper with Letter-Trim Perforations"/>
        <s v="ClearSounds CSC500 Amplified Spirit Phone Corded phone"/>
        <s v="Ampad Phone Message Book, Recycled, 400 Message Capacity, 5 Â¾Â” x 11Â”"/>
        <s v="Avery 507"/>
        <s v="Hanging Personal Folder File"/>
        <s v="Logitech Wireless Marathon Mouse M705"/>
        <s v="BOSTON Ranger #55 Pencil Sharpener, Black"/>
        <s v="Office Star - Ergonomically Designed Knee Chair"/>
        <s v="GBC DocuBind P100 Manual Binding Machine"/>
        <s v="Newell 308"/>
        <s v="Global Fabric Manager's Chair, Dark Gray"/>
        <s v="Acme Tagit Stainless Steel Antibacterial Scissors"/>
        <s v="Mobile Personal File Cube"/>
        <s v="DMI Eclipse Executive Suite Bookcases"/>
        <s v="Xerox Color Copier Paper, 11&quot; x 17&quot;, Ream"/>
        <s v="Eldon Advantage Chair Mats for Low to Medium Pile Carpets"/>
        <s v="Panasonic KP-350BK Electric Pencil Sharpener with Auto Stop"/>
        <s v="Wilson Jones data.warehouse D-Ring Binders with DublLock"/>
        <s v="Xerox 1982"/>
        <s v="Acco Data Flex Cable Posts For Top &amp; Bottom Load Binders, 6&quot; Capacity"/>
        <s v="GBC Prestige Therm-A-Bind Covers"/>
        <s v="Fellowes Mighty 8 Compact Surge Protector"/>
        <s v="GBC DocuBind P50 Personal Binding Machine"/>
        <s v="Holmes HEPA Air Purifier"/>
        <s v="Xerox 1988"/>
        <s v="Harmony HEPA Quiet Air Purifiers"/>
        <s v="Acco Hanging Data Binders"/>
        <s v="Howard Miller 16&quot; Diameter Gallery Wall Clock"/>
        <s v="Belkin 325VA UPS Surge Protector, 6'"/>
        <s v="Metal Folding Chairs, Beige, 4/Carton"/>
        <s v="Zipper Ring Binder Pockets"/>
        <s v="Super Decoflex Portable Personal File"/>
        <s v="Atlantic Metals Mobile 2-Shelf Bookcases, Custom Colors"/>
        <s v="Fellowes Advanced Computer Series Surge Protectors"/>
        <s v="HTC One"/>
        <s v="Fiskars Home &amp; Office Scissors"/>
        <s v="Avery Self-Adhesive Photo Pockets for Polaroid Photos"/>
        <s v="Newell 344"/>
        <s v="Advantus T-Pin Paper Clips"/>
        <s v="Acco Six-Outlet Power Strip, 4' Cord Length"/>
        <s v="Xerox 1959"/>
        <s v="Avery Durable Binders"/>
        <s v="Xerox 22"/>
        <s v="Holmes Odor Grabber"/>
        <s v="Wirebound Message Books, Four 2 3/4&quot; x 5&quot; Forms per Page, 600 Sets per Book"/>
        <s v="Advantus Plastic Paper Clips"/>
        <s v="Logitech G19 Programmable Gaming Keyboard"/>
        <s v="Xerox 1984"/>
        <s v="Fellowes Bases and Tops For Staxonsteel/High-Stak Systems"/>
        <s v="Deflect-o Glass Clear Studded Chair Mats"/>
        <s v="Bevis Round Conference Room Tables and Bases"/>
        <s v="Global Deluxe Stacking Chair, Gray"/>
        <s v="Newell 351"/>
        <s v="Global Leather Executive Chair"/>
        <s v="Newell 319"/>
        <s v="ImationÂ SecureÂ DriveÂ + Hardware Encrypted USBÂ flash driveÂ - 16 GB"/>
        <s v="Wausau Papers Astrobrights Colored Envelopes"/>
        <s v="Tennsco Lockers, Gray"/>
        <s v="REDIFORM Incoming/Outgoing Call Register, 11&quot; X 8 1/2&quot;, 100 Messages"/>
        <s v="Satellite Sectional Post Binders"/>
        <s v="Memorex Micro Travel Drive 32 GB"/>
        <s v="Lexmark S315 Color Inkjet Printer"/>
        <s v="Global Leather &amp; Oak Executive Chair, Burgundy"/>
        <s v="Message Book, Phone, Wirebound Standard Line Memo, 2 3/4&quot; X 5&quot;"/>
        <s v="Acco Smartsocket Color-Coded Six-Outlet AC Adapter Model Surge Protectors"/>
        <s v="Avery Arch Ring Binders"/>
        <s v="Clearsounds A400"/>
        <s v="Hewlett Packard 310 Color Digital Copier"/>
        <s v="Recycled Premium Regency Composition Covers"/>
        <s v="Avery File Folder Labels"/>
        <s v="Newell 318"/>
        <s v="Square Credit Card Reader, 4 1/2&quot; x 4 1/2&quot; x 1&quot;, White"/>
        <s v="Panasonic KX-TG9541B DECT 6.0 Digital 2-Line Expandable Cordless Phone With Digital Answering System"/>
        <s v="DAX Natural Wood-Tone Poster Frame"/>
        <s v="Razer Kraken 7.1 Surround Sound Over Ear USB Gaming Headset"/>
        <s v="Bevis Rectangular Conference Tables"/>
        <s v="Geographics Note Cards, Blank, White, 8 1/2&quot; x 11&quot;"/>
        <s v="#10- 4 1/8&quot; x 9 1/2&quot; Recycled Envelopes"/>
        <s v="Cardinal Holdit Data Disk Pockets"/>
        <s v="Xerox 1896"/>
        <s v="Global Deluxe High-Back Office Chair in Storm"/>
        <s v="Kensington K72356US Mouse-in-a-Box USB Desktop Mouse"/>
        <s v="Avery 50"/>
        <s v="Anker 24W Portable Micro USB Car Charger"/>
        <s v="White GlueTop Scratch Pads"/>
        <s v="Cameo Buff Policy Envelopes"/>
        <s v="Avery 52"/>
        <s v="Panasonic KX TS3282B Corded phone"/>
        <s v="Memorex Mini Travel Drive 8 GB USB 2.0 Flash Drive"/>
        <s v="O'Sullivan Living Dimensions 2-Shelf Bookcases"/>
        <s v="Xerox 1891"/>
        <s v="GBC Standard Plastic Binding Systems' Combs"/>
        <s v="Cisco Small Business SPA 502G VoIP phone"/>
        <s v="Berol Giant Pencil Sharpener"/>
        <s v="Global Stack Chair without Arms, Black"/>
        <s v="Acco Pressboard Covers with Storage Hooks, 14 7/8&quot; x 11&quot;, Executive Red"/>
        <s v="Avery 498"/>
        <s v="Design Ebony Sketching Pencil"/>
        <s v="Eldon Simplefile Box Office"/>
        <s v="Avery 517"/>
        <s v="24-Hour Round Wall Clock"/>
        <s v="SAFCO Optional Arm Kit for Workspace Cribbage Stacking Chair"/>
        <s v="SAFCO Arco Folding Chair"/>
        <s v="Green Bar Computer Printout Paper"/>
        <s v="GBC Pre-Punched Binding Paper, Plastic, White, 8-1/2&quot; x 11&quot;"/>
        <s v="Mini 13-1/2 Capacity Data Binder Rack, Pearl"/>
        <s v="Avery 514"/>
        <s v="Xerox 1888"/>
        <s v="Adams &quot;While You Were Out&quot; Message Pads"/>
        <s v="Wirebound Four 2-3/4 x 5 Forms per Page, 400 Sets per Book"/>
        <s v="AT&amp;T 17929 Lendline Telephone"/>
        <s v="Contract Clock, 14&quot;, Brown"/>
        <s v="Xerox 215"/>
        <s v="Xerox 1885"/>
        <s v="Computer Room Manger, 14&quot;"/>
        <s v="Prang Drawing Pencil Set"/>
        <s v="Avery 512"/>
        <s v="Tenex Contemporary Contur Chairmats for Low and Medium Pile Carpet, Computer, 39&quot; x 49&quot;"/>
        <s v="Executive Impressions 12&quot; Wall Clock"/>
        <s v="Advantus Rolling Drawer Organizers"/>
        <s v="Hon Olson Stacker Stools"/>
        <s v="Plantronics S12 Corded Telephone Headset System"/>
        <s v="Xerox 1903"/>
        <s v="Maxell 4.7GB DVD-R 5/Pack"/>
        <s v="Canvas Sectional Post Binders"/>
        <s v="Advantus Map Pennant Flags and Round Head Tacks"/>
        <s v="Lumber Crayons"/>
        <s v="9-3/4 Diameter Round Wall Clock"/>
        <s v="Xerox 1953"/>
        <s v="Xerox 228"/>
        <s v="Computer Printout Index Tabs"/>
        <s v="Bevis 36 x 72 Conference Tables"/>
        <s v="Carina Mini System Audio Rack, Model AR050B"/>
        <s v="Plantronics Voyager Pro HD - Bluetooth Headset"/>
        <s v="Xerox 201"/>
        <s v="Ibico Plastic Spiral Binding Combs"/>
        <s v="Newell 345"/>
        <s v="Xerox 1951"/>
        <s v="Office Star - Mesh Screen back chair with Vinyl seat"/>
        <s v="Dixon Prang Watercolor Pencils, 10-Color Set with Brush"/>
        <s v="Global Super Steno Chair"/>
        <s v="Eldon Regeneration Recycled Desk Accessories, Smoke"/>
        <s v="Global Deluxe Steno Chair"/>
        <s v="Wirebound Message Books, Four 2 3/4 x 5 Forms per Page, 200 Sets per Book"/>
        <s v="Dual Level, Single-Width Filing Carts"/>
        <s v="Rubber Band Ball"/>
        <s v="Space Solutions Commercial Steel Shelving"/>
        <s v="Global Ergonomic Managers Chair"/>
        <s v="Plantronics Calisto P620-M USB Wireless Speakerphone System"/>
        <s v="Google Nexus 5"/>
        <s v="Jet-Pak Recycled Peel 'N' Seal Padded Mailers"/>
        <s v="Snap-A-Way Black Print Carbonless Ruled Speed Letter, Triplicate"/>
        <s v="File Shuttle II and Handi-File, Black"/>
        <s v="Executive Impressions 13-1/2&quot; Indoor/Outdoor Wall Clock"/>
        <s v="Advantus Panel Wall Acrylic Frame"/>
        <s v="Eldon 400 Class Desk Accessories, Black Carbon"/>
        <s v="Wilson Jones Clip &amp; Carry Folder Binder Tool for Ring Binders, Clear"/>
        <s v="Memorex Micro Travel Drive 8 GB"/>
        <s v="Xerox 1978"/>
        <s v="Harbour Creations 67200 Series Stacking Chairs"/>
        <s v="Tenex V2T-RE Standard Weight Series Chair Mat, 45&quot; x 53&quot;, Lip 25&quot; x 12&quot;"/>
        <s v="Cush Cases Heavy Duty Rugged Cover Case for Samsung Galaxy S5 - Purple"/>
        <s v="Avery 478"/>
        <s v="DAX Two-Tone Rosewood/Black Document Frame, Desktop, 5 x 7"/>
        <s v="Safco Chair Connectors, 6/Carton"/>
        <s v="Self-Adhesive Ring Binder Labels"/>
        <s v="Chromcraft Bull-Nose Wood 48&quot; x 96&quot; Rectangular Conference Tables"/>
        <s v="SanDisk Ultra 16 GB MicroSDHC Class 10 Memory Card"/>
        <s v="Avery Heavy-Duty EZD  Binder With Locking Rings"/>
        <s v="VariCap6 Expandable Binder"/>
        <s v="Eldon Fold 'N Roll Cart System"/>
        <s v="Avery Premier Heavy-Duty Binder with Round Locking Rings"/>
        <s v="Insertable Tab Post Binder Dividers"/>
        <s v="GBC VeloBinder Manual Binding System"/>
        <s v="Alliance Rubber Bands"/>
        <s v="SlimView Poly Binder, 3/8&quot;"/>
        <s v="BlackBerry Q10"/>
        <s v="Lesro Sheffield Collection Coffee Table, End Table, Center Table, Corner Table"/>
        <s v="#10 Self-Seal White Envelopes"/>
        <s v="36X48 HARDFLOOR CHAIRMAT"/>
        <s v="Conquest 14 Commercial Heavy-Duty Upright Vacuum, Collection System, Accessory Kit"/>
        <s v="Ampad #10 Peel &amp; Seel Holiday Envelopes"/>
        <s v="Linden 10&quot; Round Wall Clock, Black"/>
        <s v="Anderson Hickey Conga Table Tops &amp; Accessories"/>
        <s v="SimpliFile Personal File, Black Granite, 15w x 6-15/16d x 11-1/4h"/>
        <s v="OtterBox Commuter Series Case - iPhone 5 &amp; 5s"/>
        <s v="Logitech Wireless Headset H600 Over-The-Head Design"/>
        <s v="Xerox 230"/>
        <s v="Recycled Steel Personal File for Hanging File Folders"/>
        <s v="invisibleSHIELD by ZAGG Smudge-Free Screen Protector"/>
        <s v="Tyvek  Top-Opening Peel &amp; Seel Envelopes, Plain White"/>
        <s v="Acme Rosewood Handle Letter Opener"/>
        <s v="BIC Brite Liner Highlighters, Chisel Tip"/>
        <s v="Avery 489"/>
        <s v="White Computer Printout Paper by Universal"/>
        <s v="#10 White Business Envelopes,4 1/8 x 9 1/2"/>
        <s v="Newell 34"/>
        <s v="Xerox 1971"/>
        <s v="Polycom CX300 Desktop Phone USB VoIP phone"/>
        <s v="Atlantic Metals Mobile 5-Shelf Bookcases, Custom Colors"/>
        <s v="Avery 510"/>
        <s v="Wilson Jones Four-Pocket Poly Binders"/>
        <s v="Accohide Poly Flexible Ring Binders"/>
        <s v="Memorex Froggy Flash Drive 4 GB"/>
        <s v="Southworth 100% RÃ©sumÃ© Paper, 24lb."/>
        <s v="Eldon Expressions Punched Metal &amp; Wood Desk Accessories, Pewter &amp; Cherry"/>
        <s v="Avery White Multi-Purpose Labels"/>
        <s v="Logitech G500s Laser Gaming Mouse with Adjustable Weight Tuning"/>
        <s v="Avery 485"/>
        <s v="Adams Telephone Message Book W/Dividers/Space For Phone Numbers, 5 1/4&quot;X8 1/2&quot;, 300/Messages"/>
        <s v="Bose SoundLink Bluetooth Speaker"/>
        <s v="Letter or Legal Size Expandable Poly String Tie Envelopes"/>
        <s v="Stiletto Hand Letter Openers"/>
        <s v="Pyle PMP37LED"/>
        <s v="Logitech Desktop MK120 Mouse and keyboard Combo"/>
        <s v="Fellowes Bankers Box Staxonsteel Drawer File/Stacking System"/>
        <s v="Col-Erase Pencils with Erasers"/>
        <s v="Clarity 53712"/>
        <s v="APC 7 Outlet Network SurgeArrest Surge Protector"/>
        <s v="Plantronics Voyager Pro Legend"/>
        <s v="Memorex Mini Travel Drive 64 GB USB 2.0 Flash Drive"/>
        <s v="Boston 19500 Mighty Mite Electric Pencil Sharpener"/>
        <s v="Avery 474"/>
        <s v="Newell 336"/>
        <s v="Cisco 8x8 Inc. 6753i IP Business Phone System"/>
        <s v="Tenex Chairmats For Use with Hard Floor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Sauder Facets Collection Library, Sky Alder Finish"/>
        <s v="Hon Metal Bookcases, Putty"/>
        <s v="Acco PRESSTEX Data Binder with Storage Hooks, Light Blue, 9 1/2&quot; X 11&quot;"/>
        <s v="Strathmore Photo Frame Cards"/>
        <s v="Xerox 1944"/>
        <s v="Kensington 7 Outlet MasterPiece HOMEOFFICE Power Control Center"/>
        <s v="Xerox 1991"/>
        <s v="ImationÂ Clip USBÂ flash driveÂ - 8 GB"/>
        <s v="Akro-Mils 12-Gallon Tote"/>
        <s v="Tenex Traditional Chairmats for Hard Floors, Average Lip, 36&quot; x 48&quot;"/>
        <s v="Xerox 1968"/>
        <s v="GBC Wire Binding Combs"/>
        <s v="GBC Recycled VeloBinder Covers"/>
        <s v="Holmes Replacement Filter for HEPA Air Cleaner, Medium Room"/>
        <s v="Pizazz Global Quick File"/>
        <s v="KeyTronicÂ KT400U2 -Â KeyboardÂ - Black"/>
        <s v="Xerox 204"/>
        <s v="Kensington 4 Outlet MasterPiece Compact Power Control Center"/>
        <s v="HP Standard 104 key PS/2 Keyboard"/>
        <s v="Macally Suction Cup Mount"/>
        <s v="Ativa MDM8000 8-Sheet Micro-Cut Shredder"/>
        <s v="Binney &amp; Smith inkTank Desk Highlighter, Chisel Tip, Yellow, 12/Box"/>
        <s v="Advantus Push Pins, Aluminum Head"/>
        <s v="Xerox 1905"/>
        <s v="Cardinal HOLDit! Binder Insert Strips,Extra Strips"/>
        <s v="Plantronics Audio 995 Wireless Stereo Headset"/>
        <s v="Xerox 200"/>
        <s v="Brites Rubber Bands, 1 1/2 oz. Box"/>
        <s v="Avery Hanging File Binders"/>
        <s v="While You Were Out Pads, 50 per Pad, 4 x 5 1/4, Green Cycle"/>
        <s v="Kensington Orbit Wireless Mobile Trackball for PC and Mac"/>
        <s v="QVS USB Car Charger 2-Port 2.1Amp for iPod/iPhone/iPad/iPad 2/iPad 3"/>
        <s v="Newell 314"/>
        <s v="Multi-Use Personal File Cart and Caster Set, Three Stacking Bins"/>
        <s v="Boston Home &amp; Office Model 2000 Electric Pencil Sharpeners"/>
        <s v="Newell 31"/>
        <s v="Premium Transparent Presentation Covers, No Pattern/Clear, 8 1/2&quot; x 11&quot;"/>
        <s v="Xerox 1966"/>
        <s v="Acme Kleen Earth Office Shears"/>
        <s v="Elite 5&quot; Scissors"/>
        <s v="Acco PRESSTEX Data Binder with Storage Hooks, Dark Blue, 9 1/2&quot; X 11&quot;"/>
        <s v="Samsung HM1900 Bluetooth Headset"/>
        <s v="Acco Side-Punched Conventional Columnar Pads"/>
        <s v="Avery 492"/>
        <s v="Xerox 232"/>
        <s v="Adjustable Personal File Tote"/>
        <s v="Crayola Colored Pencils"/>
        <s v="Manila Recycled Extra-Heavyweight Clasp Envelopes, 6&quot; x 9&quot;"/>
        <s v="Sharp 1540cs Digital Laser Copier"/>
        <s v="Eldon Regeneration Recycled Desk Accessories, Black"/>
        <s v="Eldon File Chest Portable File"/>
        <s v="Bush Advantage Collection Round Conference Table"/>
        <s v="Verbatim Slim CD and DVD Storage Cases, 50/Pack"/>
        <s v="Eldon Advantage Foldable Chair Mats for Low Pile Carpets"/>
        <s v="Xerox 1964"/>
        <s v="Sensible Storage WireTech Storage Systems"/>
        <s v="Quartet Omega Colored Chalk, 12/Pack"/>
        <s v="Advantus Panel Wall Certificate Holder - 8.5x11"/>
        <s v="Balt Split Level Computer Training Table"/>
        <s v="Dixon Ticonderoga Core-Lock Colored Pencils"/>
        <s v="Things To Do Today Spiral Book"/>
        <s v="Tensor Computer Mounted Lamp"/>
        <s v="Logitech Illuminated Ultrathin Keyboard with Backlighting"/>
        <s v="Serrated Blade or Curved Handle Hand Letter Openers"/>
        <s v="Premier Automatic Letter Opener"/>
        <s v="Eldon 300 Class Desk Accessories, Black"/>
        <s v="Sterilite Show Offs Storage Containers"/>
        <s v="Logitech G430 Surround Sound Gaming Headset with Dolby 7.1 Technology"/>
        <s v="Economy #2 Pencils"/>
        <s v="WD My Passport Ultra 2TB Portable External Hard Drive"/>
        <s v="Maxell DVD-RAM Discs"/>
        <s v="Global Leather and Oak Executive Chair, Black"/>
        <s v="Global Chrome Stack Chair"/>
        <s v="Xerox 196"/>
        <s v="Xerox 1895"/>
        <s v="Eldon &quot;L&quot; Workstation Diamond Chairmat"/>
        <s v="DAX Copper Panel Document Frame, 5 x 7 Size"/>
        <s v="Eldon ProFile File 'N Store Portable File Tub Letter/Legal Size Black"/>
        <s v="Riverleaf Stik-Withit Designer Note Cubes"/>
        <s v="Acco Expandable Hanging Binders"/>
        <s v="High-Back Leather Manager's Chair"/>
        <s v="Eldon Gobal File Keepers"/>
        <s v="OIC #2 Pencils, Medium Soft"/>
        <s v="Avery 505"/>
        <s v="Ooma Telo VoIP Home Phone System"/>
        <s v="RCA ViSYS 25423RE1 Corded phone"/>
        <s v="Eldon Expressions Wood Desk Accessories, Oak"/>
        <s v="Newell 320"/>
        <s v="GBC Durable Plastic Covers"/>
        <s v="Master Giant Foot Doorstop, Safety Yellow"/>
        <s v="Xerox 1942"/>
        <s v="Bush Westfield Collection Bookcases, Fully Assembled"/>
        <s v="DAX Cubicle Frames - 8x10"/>
        <s v="WD My Passport Ultra 1TB Portable External Hard Drive"/>
        <s v="Howard Miller 11-1/2&quot; Diameter Brentwood Wall Clock"/>
        <s v="Jackery Bar Premium Fast-charging Portable Charger"/>
        <s v="Belkin 7 Outlet SurgeMaster II"/>
        <s v="Stacking Trays by OIC"/>
        <s v="Xerox 1981"/>
        <s v="Mophie Juice Pack Helium for iPhone"/>
        <s v="Avery 477"/>
        <s v="Executive Impressions 10&quot; Spectator Wall Clock"/>
        <s v="Gear Head AU3700S Headset"/>
        <s v="GBC Poly Designer Binding Covers"/>
        <s v="Mitel 5320 IP Phone VoIP phone"/>
        <s v="Pressboard Covers with Storage Hooks, 9 1/2&quot; x 11&quot;, Light Blue"/>
        <s v="Avery Reinforcements for Hole-Punch Pages"/>
        <s v="Acco 6 Outlet Guardian Premium Plus Surge Suppressor"/>
        <s v="Performers Binder/Pad Holder, Black"/>
        <s v="Newell 338"/>
        <s v="Novimex Swivel Fabric Task Chair"/>
        <s v="Iris Project Case"/>
        <s v="Global Enterprise Series Seating High-Back Swivel/Tilt Chairs"/>
        <s v="Xerox 210"/>
        <s v="Boston Electric Pencil Sharpener, Model 1818, Charcoal Black"/>
        <s v="Economy Binders"/>
        <s v="Smead Alpha-Z Color-Coded Second Alphabetical Labels and Starter Set"/>
        <s v="Safco Value Mate Steel Bookcase, Baked Enamel Finish on Steel, Black"/>
        <s v="Xerox 1939"/>
        <s v="Cisco Desktop Collaboration Experience DX650 IP Video Phone"/>
        <s v="O'Sullivan 3-Shelf Heavy-Duty Bookcases"/>
        <s v="Boston 1827 Commercial Additional Cutter, Drive Gear &amp; Gear Rack for 1606"/>
        <s v="PayAnywhere Card Reader"/>
        <s v="Harmony Air Purifier"/>
        <s v="Rogers Jumbo File, Granite"/>
        <s v="Vtech CS6719"/>
        <s v="GBC Premium Transparent Covers with Diagonal Lined Pattern"/>
        <s v="Xerox 2000"/>
        <s v="Hewlett-Packard Deskjet D4360 Printer"/>
        <s v="Airmail Envelopes"/>
        <s v="Mediabridge Sport Armband iPhone 5s"/>
        <s v="LogitechÂ LS21 Speaker System - PC Multimedia - 2.1-CH - Wired"/>
        <s v="Avery Metallic Poly Binders"/>
        <s v="#6 3/4 Gummed Flap White Envelopes"/>
        <s v="Nu-Dell Float Frame 11 x 14 1/2"/>
        <s v="Tenex Traditional Chairmats for Medium Pile Carpet, Standard Lip, 36&quot; x 48&quot;"/>
        <s v="Kensington 6 Outlet MasterPiece HOMEOFFICE Power Control Center"/>
        <s v="Balt Solid Wood Rectangular Table"/>
        <s v="Polycom SoundPoint IP 450 VoIP phone"/>
        <s v="SANFORD Major Accent Highlighters"/>
        <s v="Southworth 25% Cotton Linen-Finish Paper &amp; Envelopes"/>
        <s v="Eldon 200 Class Desk Accessories"/>
        <s v="Xerox 231"/>
        <s v="Master Caster Door Stop, Brown"/>
        <s v="Inter-Office Recycled Envelopes, Brown Kraft, Button-String,10&quot; x 13&quot; , 100/Box"/>
        <s v="Gould Plastics 18-Pocket Panel Bin, 34w x 5-1/4d x 20-1/2h"/>
        <s v="Lenovo 17-Key USB Numeric Keypad"/>
        <s v="Xerox 1992"/>
        <s v="Holmes 99% HEPA Air Purifier"/>
        <s v="Xerox 1892"/>
        <s v="Chromcraft Round Conference Tables"/>
        <s v="Xerox 1930"/>
        <s v="Xerox 211"/>
        <s v="Xerox 227"/>
        <s v="Seidio BD2-HK3IPH5-BK DILEX Case and Holster Combo for Apple iPhone 5/5s - Black"/>
        <s v="Avanti 4.4 Cu. Ft. Refrigerator"/>
        <s v="Sony 32GB Class 10 Micro SDHC R40 Memory Card"/>
        <s v="Tennsco Commercial Shelving"/>
        <s v="Westinghouse Floor Lamp with Metal Mesh Shade, Black"/>
        <s v="Premier Elliptical Ring Binder, Black"/>
        <s v="TOPS &quot;Important Message&quot; Pads, Canary, 4-1/4 x 5-1/2, 50 Sheets per Pad"/>
        <s v="BIC Brite Liner Highlighters"/>
        <s v="Master Big Foot Doorstop, Beige"/>
        <s v="Zebra Zazzle Fluorescent Highlighters"/>
        <s v="Bevis Round Conference Table Top &amp; Single Column Base"/>
        <s v="Tyvek Side-Opening Peel &amp; Seel Expanding Envelopes"/>
        <s v="Jensen SMPS-640 -Â speaker phone"/>
        <s v="Master Caster Door Stop, Large Brown"/>
        <s v="Acco Perma 3000 Stacking Storage Drawers"/>
        <s v="Executive Impressions 13&quot; Chairman Wall Clock"/>
        <s v="Brother DCP1000 Digital 3 in 1 Multifunction Machine"/>
        <s v="Newell Chalk Holder"/>
        <s v="Nontoxic Chalk"/>
        <s v="Super Bands, 12/Pack"/>
        <s v="Document Clip Frames"/>
        <s v="Global Armless Task Chair, Royal Blue"/>
        <s v="Hoover Replacement Belts For Soft Guard &amp; Commercial Ltweight Upright Vacs, 2/Pk"/>
        <s v="Deflect-o EconoMat Studded, No Bevel Mat for Low Pile Carpeting"/>
        <s v="Boston School Pro Electric Pencil Sharpener, 1670"/>
        <s v="Ibico Presentation Index for Binding Systems"/>
        <s v="Xerox 1917"/>
        <s v="Acco Banker's Clasps, 5 3/4&quot;-Long"/>
        <s v="Logitech Media Keyboard K200"/>
        <s v="ImationÂ 30456 USBÂ Flash DriveÂ 8GB"/>
        <s v="Global Low Back Tilter Chair"/>
        <s v="Xerox 1954"/>
        <s v="Newell 328"/>
        <s v="Aastra 6757i CT Wireless VoIP phone"/>
        <s v="Xerox 19"/>
        <s v="Tops Wirebound Message Log Books"/>
        <s v="G.E. Longer-Life Indoor Recessed Floodlight Bulbs"/>
        <s v="Hon 61000 Series Interactive Training Tables"/>
        <s v="Avery 483"/>
        <s v="Dixon Ticonderoga Maple Cedar Pencil, #2"/>
        <s v="Acme Forged Steel Scissors with Black Enamel Handles"/>
        <s v="Tyvek Interoffice Envelopes, 9 1/2&quot; x 12 1/2&quot;, 100/Box"/>
        <s v="BIC Liqua Brite Liner"/>
        <s v="Kleencut Forged Office Shears by Acme United Corporation"/>
        <s v="Newell 313"/>
        <s v="Bush Westfield Collection Bookcases, Dark Cherry Finish"/>
        <s v="Logitech Keyboard K120"/>
        <s v="Master Caster Door Stop, Large Neon Orange"/>
        <s v="DAX Wood Document Frame"/>
        <s v="Xerox 1932"/>
        <s v="Avery Personal Creations Heavyweight Cards"/>
        <s v="Personal Folder Holder, Ebony"/>
        <s v="Acco 3-Hole Punch"/>
        <s v="Plantronics 81402"/>
        <s v="Avery Hi-Liter EverBold Pen Style Fluorescent Highlighters, 4/Pack"/>
        <s v="Hunt BOSTON Vista Battery-Operated Pencil Sharpener, Black"/>
        <s v="Hunt PowerHouse Electric Pencil Sharpener, Blue"/>
        <s v="Woodgrain Magazine Files by Perma"/>
        <s v="Deflect-o EconoMat Nonstudded, No Bevel Mat"/>
        <s v="Space Solutions HD Industrial Steel Shelving."/>
        <s v="Green Canvas Binder for 8-1/2&quot; x 14&quot; Sheets"/>
        <s v="Newell 323"/>
        <s v="Sanford EarthWrite Recycled Pencils, Medium Soft, #2"/>
        <s v="Iceberg Mobile Mega Data/Printer Cart "/>
        <s v="Fiskars Spring-Action Scissors"/>
        <s v="Newell 309"/>
        <s v="SmartStand Mobile Device Holder, Assorted Colors"/>
        <s v="O'Sullivan Elevations Bookcase, Cherry Finish"/>
        <s v="14-7/8 x 11 Blue Bar Computer Printout Paper"/>
        <s v="Advantus Push Pins"/>
        <s v="Avery 519"/>
        <s v="Belkin 8-Outlet Premiere SurgeMaster II Surge Protectors"/>
        <s v="Xerox 1909"/>
        <s v="Grandstream GXP2100 Mainstream Business Phone"/>
        <s v="Global Push Button Manager's Chair, Indigo"/>
        <s v="Permanent Self-Adhesive File Folder Labels for Typewriters by Universal"/>
        <s v="Wilson Jones Impact Binders"/>
        <s v="Acco Suede Grain Vinyl Round Ring Binder"/>
        <s v="AT&amp;T 1080 Phone"/>
        <s v="Logitech G600 MMO Gaming Mouse"/>
        <s v="Astroparche Fine Business Paper"/>
        <s v="Eldon 100 Class Desk Accessories"/>
        <s v="Acme Box Cutter Scissors"/>
        <s v="Eldon Expressions Wood and Plastic Desk Accessories, Oak"/>
        <s v="Newell 339"/>
        <s v="Acme Office Executive Series Stainless Steel Trimmers"/>
        <s v="Embossed Ink Jet Note Cards"/>
        <s v="Belkin F9S820V06 8 Outlet Surge"/>
        <s v="Howard Miller 11-1/2&quot; Diameter Ridgewood Wall Clock"/>
        <s v="Xerox 1933"/>
        <s v="Xerox 1928"/>
        <s v="Newell 347"/>
        <s v="Sauder Forest Hills Library, Woodland Oak Finish"/>
        <s v="Hammermill CopyPlus Copy Paper (20Lb. and 84 Bright)"/>
        <s v="Bagged Rubber Bands"/>
        <s v="Cardinal Hold-It CD Pocket"/>
        <s v="Nu-Dell Executive Frame"/>
        <s v="Wilson Jones Standard D-Ring Binders"/>
        <s v="Acrylic Self-Standing Desk Frames"/>
        <s v="Panasonic KX-TG6844B Expandable Digital Cordless Telephone"/>
        <s v="Plantronics MX500i Earset"/>
        <s v="Novimex Turbo Task Chair"/>
        <s v="Aastra 57i VoIP phone"/>
        <s v="Peel &amp; Seel Recycled Catalog Envelopes, Brown"/>
        <s v="Strathmore #10 Envelopes, Ultimate White"/>
        <s v="LF Elite 3D Dazzle Designer Hard Case Cover, Lf Stylus Pen and Wiper For Apple Iphone 5c Mini Lite"/>
        <s v="Xerox 1893"/>
        <s v="SpineVue Locking Slant-D Ring Binders by Cardinal"/>
        <s v="Advantus Employee of the Month Certificate Frame, 11 x 13-1/2"/>
        <s v="Hon Racetrack Conference Tables"/>
        <s v="Stur-D-Stor Shelving, Vertical 5-Shelf: 72&quot;H x 36&quot;W x 18 1/2&quot;D"/>
        <s v="Acme Design Stainless Steel Bent Scissors"/>
        <s v="Barricks Non-Folding Utility Table with Steel Legs, Laminate Tops"/>
        <s v="XtraLife ClearVue Slant-D Ring Binders by Cardinal"/>
        <s v="Catalog Binders with Expanding Posts"/>
        <s v="Wirebound Message Books, 2 7/8&quot; x 5&quot;, 3 Forms per Page"/>
        <s v="Xerox 1882"/>
        <s v="Commercial WindTunnel Clean Air Upright Vacuum, Replacement Belts, Filtration Bags"/>
        <s v="6&quot; Cubicle Wall Clock, Black"/>
        <s v="Avery 51"/>
        <s v="Seth Thomas 16&quot; Steel Case Clock"/>
        <s v="Pressboard Data Binders by Wilson Jones"/>
        <s v="Iceberg Nesting Folding Chair, 19w x 6d x 43h"/>
        <s v="EcoTones Memo Sheets"/>
        <s v="Akro Stacking Bins"/>
        <s v="Boston KS Multi-Size Manual Pencil Sharpener"/>
        <s v="Personal File Boxes with Fold-Down Carry Handle"/>
        <s v="Array Memo Cubes"/>
        <s v="Texas Instruments TI-34 Scientific Calculator"/>
        <s v="Avery 493"/>
        <s v="Logitech M510 Wireless Mouse"/>
        <s v="Acco Clips to Go Binder Clips, 24 Clips in Two Sizes"/>
        <s v="Standard Line Â“While You Were OutÂ” Hardbound Telephone Message Book"/>
        <s v="SAFCO Mobile Desk Side File, Wire Frame"/>
        <s v="Kingston Digital DataTraveler 64GB USB 2.0"/>
        <s v="3M Polarizing Light Filter Sleeves"/>
        <s v="Tenex File Box, Personal Filing Tote with Lid, Black"/>
        <s v="NETGEAR N750 Dual Band Wi-Fi Gigabit Router"/>
        <s v="Unpadded Memo Slips"/>
        <s v="Fiskars 8&quot; Scissors, 2/Pack"/>
        <s v="Acco Glide Clips"/>
        <s v="TOPS Carbonless Receipt Book, Four 2-3/4 x 7-1/4 Money Receipts per Page"/>
        <s v="O'Sullivan 4-Shelf Bookcase in Odessa Pine"/>
        <s v="Xerox 217"/>
        <s v="OIC Stacking Trays"/>
        <s v="Tennsco Industrial Shelving"/>
        <s v="O'Sullivan 2-Shelf Heavy-Duty Bookcases"/>
        <s v="Digium D40 VoIP phone"/>
        <s v="KeyTronicÂ E03601U1 -Â KeyboardÂ - Beige"/>
        <s v="Xerox 1925"/>
        <s v="Message Book, Wirebound, Four 5 1/2&quot; X 4&quot; Forms/Pg., 200 Dupl. Sets/Book"/>
        <s v="TOPS 4 x 6 Fluorescent Color Memo Sheets, 500 Sheets per Pack"/>
        <s v="Acco 6 Outlet Guardian Premium Surge Suppressor"/>
        <s v="Faber Castell Col-Erase Pencils"/>
        <s v="Colored Push Pins"/>
        <s v="SAFCO PlanMaster Boards, 60w x 37-1/2d, White Melamine"/>
        <s v="Motorla HX550 Universal Bluetooth Headset"/>
        <s v="Xerox 20"/>
        <s v="Newell 35"/>
        <s v="Stackable Trays"/>
        <s v="Fellowes High-Stak Drawer Files"/>
        <s v="LogitechÂ VX Revolution Cordless Laser Mouse for Notebooks (Black)"/>
        <s v="Kensington Expert Mouse Optical USB Trackball for PC or Mac"/>
        <s v="Xerox 221"/>
        <s v="Newell 312"/>
        <s v="Black Print Carbonless 8 1/2&quot; x 8 1/4&quot; Rapid Memo Book"/>
        <s v="Iceberg OfficeWorks 42&quot; Round Tables"/>
        <s v="Electrix 20W Halogen Replacement Bulb for Zoom-In Desk Lamp"/>
        <s v="Logitech G35 7.1-Channel Surround Sound Headset"/>
        <s v="Luxo Adjustable Task Clamp Lamp"/>
        <s v="Dexim XPower Skin Super-Thin Power Case for iPhone 5 - Black"/>
        <s v="I Need's 3d Hello Kitty Hybrid Silicone Case Cover for HTC One X 4g with 3d Hello Kitty Stylus Pen Green/pink"/>
        <s v="Eldon Expressions Desk Accessory, Wood Pencil Holder, Oak"/>
        <s v="Xerox 1975"/>
        <s v="DAX Black Cherry Wood-Tone Poster Frame"/>
        <s v="Avery 475"/>
        <s v="Avery 476"/>
        <s v="Belkin 19&quot; Center-Weighted Shelf, Gray"/>
        <s v="Toshiba IPT2010-SD IPÂ Telephone"/>
        <s v="JM Magazine Binder"/>
        <s v="Xerox 1915"/>
        <s v="Vtech AT&amp;T CL2940 Corded Speakerphone, Black"/>
        <s v="Peel &amp; Seel Envelopes"/>
        <s v="Black Print Carbonless Snap-Off Rapid Letter, 8 1/2&quot; x 7&quot;"/>
        <s v="Acme Softgrip Scissors"/>
        <s v="Tenex B1-RE Series Chair Mats for Low Pile Carpets"/>
        <s v="Compact Automatic Electric Letter Opener"/>
        <s v="Hoover Commercial Soft Guard Upright Vacuum And Disposable Filtration Bags"/>
        <s v="Griffin GC17055 Auxiliary Audio Cable"/>
        <s v="Rogers Profile Extra Capacity Storage Tub"/>
        <s v="RCA ViSYS 25825 Wireless digital phone"/>
        <s v="Carina Media Storage Towers in Natural &amp; Black"/>
        <s v="DAX Contemporary Wood Frame with Silver Metal Mat, Desktop, 11 x 14 Size"/>
        <s v="Xerox 203"/>
        <s v="Office Star - Contemporary Swivel Chair with Padded Adjustable Arms and Flex Back"/>
        <s v="Bush Heritage Pine Collection 5-Shelf Bookcase, Albany Pine Finish, *Special Order"/>
        <s v="Xerox 1945"/>
        <s v="Westinghouse Mesh Shade Clip-On Gooseneck Lamp, Black"/>
        <s v="Avery Non-Stick Heavy Duty View Round Locking Ring Binders"/>
        <s v="Cardinal Poly Pocket Divider Pockets for Ring Binders"/>
        <s v="Avery 503"/>
        <s v="GBC VeloBind Cover Sets"/>
        <s v="Holmes Cool Mist Humidifier for the Whole House with 8-Gallon Output per Day, Extended Life Filter"/>
        <s v="OtterBox Defender Series Case - Samsung Galaxy S4"/>
        <s v="Eldon 200 Class Desk Accessories, Smoke"/>
        <s v="SanDisk Cruzer 32 GB USB Flash Drive"/>
        <s v="Xerox 23"/>
        <s v="Portable Personal File Box"/>
        <s v="Euro-Pro Shark Turbo Vacuum"/>
        <s v="Security-Tint Envelopes"/>
        <s v="Acme Kleencut Forged Steel Scissors"/>
        <s v="Companion Letter/Legal File, Black"/>
        <s v="Plantronics Encore H101 Dual EarpiecesÂ Headset"/>
        <s v="Xerox 189"/>
        <s v="Xerox 1897"/>
        <s v="Nu-Dell Leatherette Frames"/>
        <s v="Electrix Incandescent Magnifying Lamp, Black"/>
        <s v="Xerox 1929"/>
        <s v="Cisco SPA 502G IP Phone"/>
        <s v="Rediform Voice Mail Log Books"/>
        <s v="Xerox 194"/>
        <s v="Master Caster Door Stop, Gray"/>
        <s v="Socket Bluetooth Cordless Hand Scanner (CHS)"/>
        <s v="Important Message Pads, 50 4-1/4 x 5-1/2 Forms per Pad"/>
        <s v="G.E. Halogen Desk Lamp Bulbs"/>
        <s v="Okidata B400 Printer"/>
        <s v="Tennsco Stur-D-Stor Boltless Shelving, 5 Shelves, 24&quot; Deep, Sand"/>
        <s v="Peel-Off China Markers"/>
        <s v="Xerox 1947"/>
        <s v="Barricks 18&quot; x 48&quot; Non-Folding Utility Table with Bottom Storage Shelf"/>
        <s v="Rogers Deluxe File Chest"/>
        <s v="Avery 48"/>
        <s v="Bush Cubix Collection Bookcases, Fully Assembled"/>
        <s v="Global Highback Leather Tilter in Burgundy"/>
        <s v="Office Star - Contemporary Task Swivel Chair"/>
        <s v="iOttie XL Car Mount"/>
        <s v="Eldon Cleatmat Chair Mats for Medium Pile Carpets"/>
        <s v="Standard Rollaway File with Lock"/>
        <s v="XtraLife ClearVue Slant-D Ring Binder, White, 3&quot;"/>
        <s v="AmazonBasics 3-Button USB Wired Mouse"/>
        <s v="Anker Astro 15000mAh USB Portable Charger"/>
        <s v="Panasonic KP-380BK Classic Electric Pencil Sharpener"/>
        <s v="Eldon Image Series Black Desk Accessories"/>
        <s v="First Data TMFD35 PIN Pad"/>
        <s v="Round Specialty Laser Printer Labels"/>
        <s v="Cyber Acoustics AC-202b Speech Recognition Stereo Headset"/>
        <s v="Hon 2111 Invitation Series Corner Table"/>
        <s v="Boston 1730 StandUp Electric Pencil Sharpener"/>
        <s v="Plastic Binding Combs"/>
        <s v="Contemporary Borderless Frame"/>
        <s v="Office Star - Contemporary Task Swivel chair with Loop Arms, Charcoal"/>
        <s v="Southworth 25% Cotton Premium Laser Paper and Envelopes"/>
        <s v="Panasonic KX TS3282W Corded phone"/>
        <s v="GBC Twin Loop Wire Binding Elements, 9/16&quot; Spine, Black"/>
        <s v="Acme 10&quot; Easy Grip Assistive Scissors"/>
        <s v="Pressboard Hanging Data Binders for Unburst Sheets"/>
        <s v="Xerox 212"/>
        <s v="Xerox 209"/>
        <s v="Alliance Super-Size Bands, Assorted Sizes"/>
        <s v="Xerox 1941"/>
        <s v="Memorex Micro Travel Drive 16 GB"/>
        <s v="Fellowes Stor/Drawer Steel Plus Storage Drawers"/>
        <s v="Nokia Lumia 925"/>
        <s v="Maxell 74 Minute CDR, 10/Pack"/>
        <s v="Fluorescent Highlighters by Dixon"/>
        <s v="Avery 49"/>
        <s v="Belkin 5 Outlet SurgeMaster Power Centers"/>
        <s v="Ames Color-File Green Diamond Border X-ray Mailers"/>
        <s v="Xerox 1965"/>
        <s v="Linden 12&quot; Wall Clock With Oak Frame"/>
        <s v="Xerox 1946"/>
        <s v="Cisco SPA508G"/>
        <s v="Fellowes Powershred HS-440 4-Sheet High Security Shredder"/>
        <s v="Avery 496"/>
        <s v="Xerox 1914"/>
        <s v="Avery 516"/>
        <s v="Xerox 1999"/>
        <s v="Razer Tiamat Over Ear 7.1 Surround Sound PC Gaming Headset"/>
        <s v="OtterBox Commuter Series Case - Samsung Galaxy S4"/>
        <s v="Fellowes 8 Outlet Superior Workstation Surge Protector"/>
        <s v="Microsoft Wireless Mobile Mouse 4000"/>
        <s v="GBC Linen Binding Covers"/>
        <s v="Wirebound Message Forms, Four 2 3/4 x 5 Forms per Page, Pink Paper"/>
        <s v="Plantronics CS 50-USB -Â headsetÂ - Convertible, Monaural"/>
        <s v="Assorted Color Push Pins"/>
        <s v="JBL Micro Wireless Portable Bluetooth Speaker"/>
        <s v="Wilson Jones Elliptical Ring 3 1/2&quot; Capacity Binders, 800 sheets"/>
        <s v="Microsoft Natural Ergonomic Keyboard 4000"/>
        <s v="Boston 16765 Mini Stand Up Battery Pencil Sharpener"/>
        <s v="Newell 33"/>
        <s v="Avery 487"/>
        <s v="GBC Instant Report Kit"/>
        <s v="Acco Recycled 2&quot; Capacity Laser Printer Hanging Data Binders"/>
        <s v="Acco Economy Flexible Poly Round Ring Binder"/>
        <s v="Xerox 229"/>
        <s v="Panasonic KX MC6040 Color Laser Multifunction Printer"/>
        <s v="Hypercom P1300 Pinpad"/>
        <s v="Global Stack Chair with Arms, Black"/>
        <s v="Lesro Round Back Collection Coffee Table, End Table"/>
        <s v="Sony Micro Vault Click 4 GB USB 2.0 Flash Drive"/>
        <s v="Executive Impressions 14&quot; Two-Color Numerals Wall Clock"/>
        <s v="TOPS Money Receipt Book, Consecutively Numbered in Red,"/>
        <s v="GE 4 Foot Flourescent Tube, 40 Watt"/>
        <s v="Rediform S.O.S. 1-Up Phone Message Bk, 4-1/4x3-1/16 Bk, 1 Form/Pg, 40 Messages/Bk, 3/Pk"/>
        <s v="Global Wood Trimmed Manager's Task Chair, Khaki"/>
        <s v="LogitechÂ Gaming G510s - Keyboard"/>
        <s v="Anker Astro Mini 3000mAh Ultra-Compact Portable Charger"/>
        <s v="Xerox 1997"/>
        <s v="Xerox 190"/>
        <s v="Xerox 219"/>
        <s v="Telephone Message Books with Fax/Mobile Section, 5 1/2&quot; x 3 3/16&quot;"/>
        <s v="Surelock Post Binders"/>
        <s v="Bush Westfield Collection Bookcases, Medium Cherry Finish"/>
        <s v="LogitechÂ MX Performance Wireless Mouse"/>
        <s v="Avery 495"/>
        <s v="Xerox 1884"/>
        <s v="Cherry 142-key Programmable Keyboard"/>
        <s v="HTC One Mini"/>
        <s v="Laser &amp; Ink Jet Business Envelopes"/>
        <s v="Xerox 1916"/>
        <s v="12 Colored Short Pencils"/>
        <s v="Polycom VoiceStation 500 ConferenceÂ phone"/>
        <s v="Xerox 1976"/>
        <s v="Acme Titanium Bonded Scissors"/>
        <s v="Recycled Easel Ring Binders"/>
        <s v="Black Avery Memo-Size 3-Ring Binder, 5 1/2&quot; x 8 1/2&quot;"/>
        <s v="Panasonic KX T7736-B Digital phone"/>
        <s v="24 Capacity Maxi Data Binder Racks, Pearl"/>
        <s v="Avery Poly Binder Pockets"/>
        <s v="Xerox 1983"/>
        <s v="Eldon Mobile Mega Data Cart  Mega Stackable  Add-On Trays"/>
        <s v="DAX Solid Wood Frames"/>
        <s v="Ricoh - Ink Collector Unit for GX3000 Series Printers"/>
        <s v="Ibico Recycled Linen-Style Covers"/>
        <s v="Eldon 500 Class Desk Accessories"/>
        <s v="Logitech Wireless Anywhere Mouse MX for PC and Mac"/>
        <s v="Sauder Forest Hills Library with Doors, Woodland Oak Finish"/>
        <s v="Eureka Sanitaire  Multi-Pro Heavy-Duty Upright, Disposable Bags"/>
        <s v="Griffin GC36547 PowerJolt SE Lightning Charger"/>
        <s v="Verbatim 25 GB 6x Blu-ray Single Layer Recordable Disc, 10/Pack"/>
        <s v="DAX Cubicle Frames, 8-1/2 x 11"/>
        <s v="DAX Metal Frame, Desktop, Stepped-Edge"/>
        <s v="Eureka The Boss Lite 10-Amp Upright Vacuum, Blue"/>
        <s v="Tenex Personal Filing Tote With Secure Closure Lid, Black/Frost"/>
        <s v="Memorex Mini Travel Drive 16 GB USB 2.0 Flash Drive"/>
        <s v="Tenex 46&quot; x 60&quot; Computer Anti-Static Chairmat, Rectangular Shaped"/>
        <s v="Xerox 206"/>
        <s v="Acme Galleria Hot Forged Steel Scissors with Colored Handles"/>
        <s v="Adams Phone Message Book, 200 Message Capacity, 8 1/16Â” x 11Â”"/>
        <s v="LG G3"/>
        <s v="Tensor Brushed Steel Torchiere Floor Lamp"/>
        <s v="Eldon Expressions Punched Metal &amp; Wood Desk Accessories, Black &amp; Cherry"/>
        <s v="Hon 2111 Invitation Series Straight Table"/>
        <s v="Eberhard Faber 3 1/2&quot; Golf Pencils"/>
        <s v="Xerox 1900"/>
        <s v="Globe Weis Peel &amp; Seel First Class Envelopes"/>
        <s v="Seth Thomas 13 1/2&quot; Wall Clock"/>
        <s v="Deflect-o RollaMat Studded, Beveled Mat for Medium Pile Carpeting"/>
        <s v="Eldon 200 Class Desk Accessories, Burgundy"/>
        <s v="Manco Dry-Lighter Erasable Highlighter"/>
        <s v="AT&amp;T CL83451 4-Handset Telephone"/>
        <s v="AT&amp;T CL82213"/>
        <s v="Adjustable Depth Letter/Legal Cart"/>
        <s v="Rubbermaid ClusterMat Chairmats, Mat Size- 66&quot; x 60&quot;, Lip 20&quot; x 11&quot; -90 Degree Angle"/>
        <s v="Global Manager's Adjustable Task Chair, Storm"/>
        <s v="Hon 4-Shelf Metal Bookcases"/>
        <s v="Maxell 74 Minute CD-R Spindle, 50/Pack"/>
        <s v="Boston 16701 Slimline Battery Pencil Sharpener"/>
        <s v="Plantronics Single Ear Headset"/>
        <s v="Newell 350"/>
        <s v="Chromcraft Rectangular Conference Tables"/>
        <s v="Belkin Standard 104 key USB Keyboard"/>
        <s v="Avery 506"/>
        <s v="Memorex 25GB 6X Branded Blu-Ray Recordable Disc, 15/Pack"/>
        <s v="Avery Round Ring Poly Binders"/>
        <s v="Eureka The Boss Cordless Rechargeable Stick Vac"/>
        <s v="Avery Hi-Liter Smear-Safe Highlighters"/>
        <s v="It's Hot Message Books with Stickers, 2 3/4&quot; x 5&quot;"/>
        <s v="Hoover Commercial SteamVac"/>
        <s v="Shocksock Galaxy S4 Armband"/>
        <s v="Panasonic KP-150 Electric Pencil Sharpener"/>
        <s v="Xerox 193"/>
        <s v="Polycom CX600 IP Phone VoIP phone"/>
        <s v="Permanent Self-Adhesive File Folder Labels for Typewriters, 1 1/8 x 3 1/2, White"/>
        <s v="Logitech G602 Wireless Gaming Mouse"/>
        <s v="Xerox 1949"/>
        <s v="Contico 72&quot;H Heavy-Duty Storage System"/>
        <s v="Xerox 1899"/>
        <s v="Hon Metal Bookcases, Black"/>
        <s v="Belkin 7-Outlet SurgeMaster Home Series"/>
        <s v="DAX Two-Tone Silver Metal Document Frame"/>
        <s v="Rogers Handheld Barrel Pencil Sharpener"/>
        <s v="Acco Perma 4000 Stacking Storage Drawers"/>
        <s v="DAX Clear Channel Poster Frame"/>
        <s v="Bush Westfield Collection Bookcases, Dark Cherry Finish, Fully Assembled"/>
        <s v="iOttie HLCRIO102 Car Mount"/>
        <s v="Avery Heavy-Duty EZD View Binder with Locking Rings"/>
        <s v="Sauder Barrister Bookcases"/>
        <s v="Wilson Jones 14 Line Acrylic Coated Pressboard Data Binders"/>
        <s v="Padded Folding Chairs, Black, 4/Carton"/>
        <s v="O'Sullivan 2-Door Barrister Bookcase in Odessa Pine"/>
        <s v="Large Capacity Hanging Post Binders"/>
        <s v="Electrix Fluorescent Magnifier Lamps &amp; Weighted Base"/>
        <s v="Magnifier Swing Arm Lamp"/>
        <s v="Newell 348"/>
        <s v="Avery 508"/>
        <s v="Contemporary Wood/Metal Frame"/>
        <s v="Hon 2090 Â“Pillow SoftÂ” Series Mid Back Swivel/Tilt Chairs"/>
        <s v="Xerox 1937"/>
        <s v="Grandstream GXP1160 VoIP phone"/>
        <s v="Perixx PERIBOARD-512B, Ergonomic Split Keyboard"/>
        <s v="Avery Legal 4-Ring Binder"/>
        <s v="Hon Every-Day Chair Series Swivel Task Chairs"/>
        <s v="Binder Posts"/>
        <s v="Global Airflow Leather Mesh Back Chair, Black"/>
        <s v="Acme Design Line 8&quot; Stainless Steel Bent Scissors w/Champagne Handles, 3-1/8&quot; Cut"/>
        <s v="Howard Miller Distant Time Traveler Alarm Clock"/>
        <s v="Acco Perma 2700 Stacking Storage Drawers"/>
        <s v="Riverside Furniture Oval Coffee Table, Oval End Table, End Table with Drawer"/>
        <s v="Newell 335"/>
        <s v="Hammermill Color Copier Paper (28Lb. and 96 Bright)"/>
        <s v="Adams Telephone Message Book w/Frequently-Called Numbers Space, 400 Messages per Book"/>
        <s v="Revere Boxed Rubber Bands by Revere"/>
        <s v="Eldon ImÃ ge Series Desk Accessories, Clear"/>
        <s v="Logitech Wireless Gaming Headset G930"/>
        <s v="Southworth Parchment Paper &amp; Envelopes"/>
        <s v="OIC Thumb-Tacks"/>
        <s v="Texas Instrument TI-15 Fraction Calculator"/>
        <s v="Sterling Rubber Bands by Alliance"/>
        <s v="Belkin iPhone and iPad Lightning Cable"/>
        <s v="Executive Impressions Supervisor Wall Clock"/>
        <s v="Eldon Antistatic Chair Mats for Low to Medium Pile Carpets"/>
        <s v="HP Officejet Pro 8600 e-All-In-One Printer, Copier, Scanner, Fax"/>
        <s v="Lunatik TT5L-002 Taktik Strike Impact Protection System for iPhone 5"/>
        <s v="Panasonic KX TS208W Corded phone"/>
        <s v="Maxell 4.7GB DVD+RW 3/Pack"/>
        <s v="GBC Instant Index System for Binding Systems"/>
        <s v="SAFCO Commercial Wire Shelving, Black"/>
        <s v="Luxo Professional Magnifying Clamp-On Fluorescent Lamps"/>
        <s v="AT&amp;T 841000 Phone"/>
        <s v="Sanford Colorific Eraseable Coloring Pencils, 12 Count"/>
        <s v="Okidata B401 Printer"/>
        <s v="Dixon Ticonderoga Pencils"/>
        <s v="GBC Laser Imprintable Binding System Covers, Desert Sand"/>
        <s v="Honeywell Quietcare HEPA Air Cleaner"/>
        <s v="Bulldog Table or Wall-Mount Pencil Sharpener"/>
        <s v="Nu-Dell Oak Frame"/>
        <s v="Ibico EB-19 Dual Function Manual Binding System"/>
        <s v="Xerox Blank Computer Paper"/>
        <s v="Razer Kraken PRO Over Ear PC and Music Headset"/>
        <s v="Xerox 1886"/>
        <s v="Mead 1st Gear 2&quot; Zipper Binder, Asst. Colors"/>
        <s v="Global Enterprise Series Seating Low-Back Swivel/Tilt Chairs"/>
        <s v="Memorex 25GB 6X Branded Blu-Ray Recordable Disc, 30/Pack"/>
        <s v="Hon Pagoda Stacking Chairs"/>
        <s v="Weyerhaeuser First Choice Laser/Copy Paper (20Lb. and 88 Bright)"/>
        <s v="Blackstonian Pencils"/>
        <s v="Avery Hidden Tab Dividers for Binding Systems"/>
        <s v="Xerox 1967"/>
        <s v="Dixon Ticonderoga Core-Lock Colored Pencils, 48-Color Set"/>
        <s v="O'Sullivan 5-Shelf Heavy-Duty Bookcases"/>
        <s v="ImationÂ SwivelÂ Flash DriveÂ USBÂ flash driveÂ - 8 GB"/>
        <s v="Konftel 250 ConferenceÂ phoneÂ - Charcoal black"/>
        <s v="Boston 1799 Powerhouse Electric Pencil Sharpener"/>
        <s v="Holmes Visible Mist Ultrasonic Humidifier with 2.3-Gallon Output per Day, Replacement Filter"/>
        <s v="OIC Colored Binder Clips, Assorted Sizes"/>
        <s v="C-Line Peel &amp; Stick Add-On Filing Pockets, 8-3/4 x 5-1/8, 10/Pack"/>
        <s v="Blue Parrot B250XT Professional Grade Wireless BluetoothÂ HeadsetÂ with"/>
        <s v="Motorola L703CM"/>
        <s v="AT&amp;T CL2909"/>
        <s v="ImationÂ 8gb Micro Traveldrive Usb 2.0Â Flash Drive"/>
        <s v="Xerox 21"/>
        <s v="Avery 481"/>
        <s v="Acco Smartsocket Table Surge Protector, 6 Color-Coded Adapter Outlets"/>
        <s v="Memorex Mini Travel Drive 32 GB USB 2.0 Flash Drive"/>
        <s v="Dana Swing-Arm Lamps"/>
        <s v="Eldon Radial Chair Mat for Low to Medium Pile Carpets"/>
        <s v="Atlantic Metals Mobile 4-Shelf Bookcases, Custom Colors"/>
        <s v="Avery Binding System Hidden Tab Executive Style Index Sets"/>
        <s v="Seth Thomas 8 1/2&quot; Cubicle Clock"/>
        <s v="Tenex Carpeted, Granite-Look or Clear Contemporary Contour Shape Chair Mats"/>
        <s v="Howard Miller 13-1/2&quot; Diameter Rosebrook Wall Clock"/>
        <s v="Office Star - Task Chair with Contemporary Loop Arms"/>
        <s v="Smead Alpha-Z Color-Coded Name Labels First Letter Starter Set"/>
        <s v="Rosewill 107 Normal Keys USB Wired Standard Keyboard"/>
        <s v="Recycled Interoffice Envelopes with String and Button Closure, 10 x 13"/>
        <s v="Samsung Replacement EH64AVFWE Premium Headset"/>
        <s v="Eldon Executive Woodline II Desk Accessories, Mahogany"/>
        <s v="Office Star Flex Back Scooter Chair with Aluminum Finish Frame"/>
        <s v="Bionaire Personal Warm Mist Humidifier/Vaporizer"/>
        <s v="Hon Practical Foundations 30 x 60 Training Table, Light Gray/Charcoal"/>
        <s v="Belkin 8 Outlet Surge Protector"/>
        <s v="Plantronics CordlessÂ Phone HeadsetÂ with In-line Volume - M214C"/>
        <s v="Acme Hot Forged Carbon Steel Scissors with Nickel-Plated Handles, 3 7/8&quot; Cut, 8&quot;L"/>
        <s v="Ampad Evidence Wirebond Steno Books, 6&quot; x 9&quot;"/>
        <s v="Canon PC-428 Personal Copier"/>
        <s v="Prismacolor Color Pencil Set"/>
        <s v="Xerox 1907"/>
        <s v="DAX Charcoal/Nickel-Tone Document Frame, 5 x 7"/>
        <s v="Eldon Econocleat Chair Mats for Low Pile Carpets"/>
        <s v="Universal Recycled Hanging Pressboard Report Binders, Letter Size"/>
        <s v="Ibico Recycled Grain-Textured Covers"/>
        <s v="Bush Andora Conference Table, Maple/Graphite Gray Finish"/>
        <s v="Avaya 5410 Digital phone"/>
        <s v="Acco 7-Outlet Masterpiece Power Center, Wihtout Fax/Phone Line Protection"/>
      </sharedItems>
    </cacheField>
    <cacheField name="sales" numFmtId="0">
      <sharedItems containsSemiMixedTypes="0" containsString="0" containsNumber="1" minValue="0.99" maxValue="510.24"/>
    </cacheField>
    <cacheField name="quantity" numFmtId="0">
      <sharedItems containsSemiMixedTypes="0" containsString="0" containsNumber="1" containsInteger="1" minValue="1" maxValue="14"/>
    </cacheField>
    <cacheField name="profit" numFmtId="0">
      <sharedItems containsSemiMixedTypes="0" containsString="0" containsNumber="1" minValue="-386.95699999999999" maxValue="219.44159999999999"/>
    </cacheField>
    <cacheField name="order_year" numFmtId="0">
      <sharedItems containsSemiMixedTypes="0" containsString="0" containsNumber="1" containsInteger="1" minValue="2011" maxValue="2014" count="4">
        <n v="2013"/>
        <n v="2011"/>
        <n v="2012"/>
        <n v="2014"/>
      </sharedItems>
    </cacheField>
    <cacheField name="order_month" numFmtId="0">
      <sharedItems containsSemiMixedTypes="0" containsString="0" containsNumber="1" containsInteger="1" minValue="1" maxValue="12"/>
    </cacheField>
    <cacheField name="month_name" numFmtId="0">
      <sharedItems count="12">
        <s v="June"/>
        <s v="December"/>
        <s v="May"/>
        <s v="August"/>
        <s v="January"/>
        <s v="July"/>
        <s v="November"/>
        <s v="October"/>
        <s v="September"/>
        <s v="March"/>
        <s v="April"/>
        <s v="February"/>
      </sharedItems>
    </cacheField>
    <cacheField name="order_day" numFmtId="0">
      <sharedItems containsSemiMixedTypes="0" containsString="0" containsNumber="1" containsInteger="1" minValue="1" maxValue="31"/>
    </cacheField>
    <cacheField name="shipping_days" numFmtId="0">
      <sharedItems containsSemiMixedTypes="0" containsString="0" containsNumber="1" containsInteger="1" minValue="0" maxValue="7"/>
    </cacheField>
    <cacheField name="profit_margin" numFmtId="0">
      <sharedItems containsSemiMixedTypes="0" containsString="0" containsNumber="1" minValue="-210" maxValue="50"/>
    </cacheField>
    <cacheField name="avg_price_per_unit" numFmtId="0">
      <sharedItems containsSemiMixedTypes="0" containsString="0" containsNumber="1" minValue="0.54" maxValue="439.99200000000002"/>
    </cacheField>
    <cacheField name="customer_type" numFmtId="0">
      <sharedItems count="2">
        <s v="repeat"/>
        <s v="new"/>
      </sharedItems>
    </cacheField>
    <cacheField name="loss_flag" numFmtId="0">
      <sharedItems count="2">
        <b v="0"/>
        <b v="1"/>
      </sharedItems>
    </cacheField>
    <cacheField name="high_value_order" numFmtId="0">
      <sharedItems count="2">
        <b v="0"/>
        <b v="1"/>
      </sharedItems>
    </cacheField>
    <cacheField name="Profit Margin" numFmtId="0" formula="profit/sales" databaseField="0"/>
  </cacheFields>
  <extLst>
    <ext xmlns:x14="http://schemas.microsoft.com/office/spreadsheetml/2009/9/main" uri="{725AE2AE-9491-48be-B2B4-4EB974FC3084}">
      <x14:pivotCacheDefinition pivotCacheId="1708713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35">
  <r>
    <s v="CA-2013-138688"/>
    <d v="2013-06-13T00:00:00"/>
    <d v="2013-06-17T00:00:00"/>
    <s v="DarrinVanHuff@gmail.com"/>
    <x v="0"/>
    <x v="0"/>
    <x v="0"/>
    <n v="14.62"/>
    <n v="2"/>
    <n v="6.8714000000000004"/>
    <x v="0"/>
    <n v="6"/>
    <x v="0"/>
    <n v="13"/>
    <n v="4"/>
    <n v="47"/>
    <n v="7.31"/>
    <x v="0"/>
    <x v="0"/>
    <x v="0"/>
  </r>
  <r>
    <s v="CA-2011-115812"/>
    <d v="2011-06-09T00:00:00"/>
    <d v="2011-06-14T00:00:00"/>
    <s v="BrosinaHoffman@gmail.com"/>
    <x v="0"/>
    <x v="1"/>
    <x v="1"/>
    <n v="48.86"/>
    <n v="7"/>
    <n v="14.1694"/>
    <x v="1"/>
    <n v="6"/>
    <x v="0"/>
    <n v="9"/>
    <n v="5"/>
    <n v="29"/>
    <n v="6.98"/>
    <x v="0"/>
    <x v="0"/>
    <x v="0"/>
  </r>
  <r>
    <s v="CA-2011-115812"/>
    <d v="2011-06-09T00:00:00"/>
    <d v="2011-06-14T00:00:00"/>
    <s v="BrosinaHoffman@gmail.com"/>
    <x v="0"/>
    <x v="2"/>
    <x v="2"/>
    <n v="7.28"/>
    <n v="4"/>
    <n v="1.9656"/>
    <x v="1"/>
    <n v="6"/>
    <x v="0"/>
    <n v="9"/>
    <n v="5"/>
    <n v="27"/>
    <n v="1.82"/>
    <x v="0"/>
    <x v="0"/>
    <x v="0"/>
  </r>
  <r>
    <s v="CA-2011-115812"/>
    <d v="2011-06-09T00:00:00"/>
    <d v="2011-06-14T00:00:00"/>
    <s v="BrosinaHoffman@gmail.com"/>
    <x v="0"/>
    <x v="3"/>
    <x v="3"/>
    <n v="18.504000000000001"/>
    <n v="3"/>
    <n v="5.7824999999999998"/>
    <x v="1"/>
    <n v="6"/>
    <x v="0"/>
    <n v="9"/>
    <n v="5"/>
    <n v="31.25"/>
    <n v="6.1680000000000001"/>
    <x v="0"/>
    <x v="0"/>
    <x v="0"/>
  </r>
  <r>
    <s v="CA-2011-115812"/>
    <d v="2011-06-09T00:00:00"/>
    <d v="2011-06-14T00:00:00"/>
    <s v="BrosinaHoffman@gmail.com"/>
    <x v="0"/>
    <x v="4"/>
    <x v="4"/>
    <n v="114.9"/>
    <n v="5"/>
    <n v="34.47"/>
    <x v="1"/>
    <n v="6"/>
    <x v="0"/>
    <n v="9"/>
    <n v="5"/>
    <n v="30"/>
    <n v="22.98"/>
    <x v="0"/>
    <x v="0"/>
    <x v="0"/>
  </r>
  <r>
    <s v="CA-2013-161389"/>
    <d v="2013-12-06T00:00:00"/>
    <d v="2013-12-11T00:00:00"/>
    <s v="IreneMaddox@gmail.com"/>
    <x v="1"/>
    <x v="3"/>
    <x v="5"/>
    <n v="407.976"/>
    <n v="3"/>
    <n v="132.59219999999999"/>
    <x v="0"/>
    <n v="12"/>
    <x v="1"/>
    <n v="6"/>
    <n v="5"/>
    <n v="32.5"/>
    <n v="135.99199999999999"/>
    <x v="0"/>
    <x v="0"/>
    <x v="1"/>
  </r>
  <r>
    <s v="CA-2011-167164"/>
    <d v="2011-05-13T00:00:00"/>
    <d v="2011-05-15T00:00:00"/>
    <s v="AlejandroGrove@gmail.com"/>
    <x v="2"/>
    <x v="5"/>
    <x v="6"/>
    <n v="55.5"/>
    <n v="2"/>
    <n v="9.99"/>
    <x v="1"/>
    <n v="5"/>
    <x v="2"/>
    <n v="13"/>
    <n v="2"/>
    <n v="18"/>
    <n v="27.75"/>
    <x v="1"/>
    <x v="0"/>
    <x v="0"/>
  </r>
  <r>
    <s v="CA-2011-143336"/>
    <d v="2011-08-27T00:00:00"/>
    <d v="2011-09-01T00:00:00"/>
    <s v="ZuschussDonatelli@gmail.com"/>
    <x v="3"/>
    <x v="2"/>
    <x v="7"/>
    <n v="8.56"/>
    <n v="2"/>
    <n v="2.4824000000000002"/>
    <x v="1"/>
    <n v="8"/>
    <x v="3"/>
    <n v="27"/>
    <n v="5"/>
    <n v="29"/>
    <n v="4.28"/>
    <x v="0"/>
    <x v="0"/>
    <x v="0"/>
  </r>
  <r>
    <s v="CA-2011-143336"/>
    <d v="2011-08-27T00:00:00"/>
    <d v="2011-09-01T00:00:00"/>
    <s v="ZuschussDonatelli@gmail.com"/>
    <x v="3"/>
    <x v="6"/>
    <x v="8"/>
    <n v="213.48"/>
    <n v="3"/>
    <n v="16.010999999999999"/>
    <x v="1"/>
    <n v="8"/>
    <x v="3"/>
    <n v="27"/>
    <n v="5"/>
    <n v="7.5"/>
    <n v="71.16"/>
    <x v="0"/>
    <x v="0"/>
    <x v="0"/>
  </r>
  <r>
    <s v="CA-2011-143336"/>
    <d v="2011-08-27T00:00:00"/>
    <d v="2011-09-01T00:00:00"/>
    <s v="ZuschussDonatelli@gmail.com"/>
    <x v="3"/>
    <x v="3"/>
    <x v="9"/>
    <n v="22.72"/>
    <n v="4"/>
    <n v="7.3840000000000003"/>
    <x v="1"/>
    <n v="8"/>
    <x v="3"/>
    <n v="27"/>
    <n v="5"/>
    <n v="32.5"/>
    <n v="5.68"/>
    <x v="0"/>
    <x v="0"/>
    <x v="0"/>
  </r>
  <r>
    <s v="CA-2013-121755"/>
    <d v="2013-01-16T00:00:00"/>
    <d v="2013-01-20T00:00:00"/>
    <s v="EricHoffmann@gmail.com"/>
    <x v="0"/>
    <x v="3"/>
    <x v="10"/>
    <n v="11.648"/>
    <n v="2"/>
    <n v="4.2224000000000004"/>
    <x v="0"/>
    <n v="1"/>
    <x v="4"/>
    <n v="16"/>
    <n v="4"/>
    <n v="36.25"/>
    <n v="5.8239999999999998"/>
    <x v="0"/>
    <x v="0"/>
    <x v="0"/>
  </r>
  <r>
    <s v="CA-2013-121755"/>
    <d v="2013-01-16T00:00:00"/>
    <d v="2013-01-20T00:00:00"/>
    <s v="EricHoffmann@gmail.com"/>
    <x v="0"/>
    <x v="7"/>
    <x v="11"/>
    <n v="90.57"/>
    <n v="3"/>
    <n v="11.774100000000001"/>
    <x v="0"/>
    <n v="1"/>
    <x v="4"/>
    <n v="16"/>
    <n v="4"/>
    <n v="13"/>
    <n v="30.19"/>
    <x v="0"/>
    <x v="0"/>
    <x v="0"/>
  </r>
  <r>
    <s v="CA-2013-101343"/>
    <d v="2013-07-18T00:00:00"/>
    <d v="2013-07-23T00:00:00"/>
    <s v="RubenAusman@gmail.com"/>
    <x v="0"/>
    <x v="5"/>
    <x v="12"/>
    <n v="77.88"/>
    <n v="2"/>
    <n v="3.8940000000000001"/>
    <x v="0"/>
    <n v="7"/>
    <x v="5"/>
    <n v="18"/>
    <n v="5"/>
    <n v="5"/>
    <n v="38.94"/>
    <x v="0"/>
    <x v="0"/>
    <x v="0"/>
  </r>
  <r>
    <s v="CA-2012-135545"/>
    <d v="2012-11-24T00:00:00"/>
    <d v="2012-11-30T00:00:00"/>
    <s v="KunstMiller@gmail.com"/>
    <x v="0"/>
    <x v="7"/>
    <x v="13"/>
    <n v="13.98"/>
    <n v="2"/>
    <n v="6.1512000000000002"/>
    <x v="2"/>
    <n v="11"/>
    <x v="6"/>
    <n v="24"/>
    <n v="6"/>
    <n v="44"/>
    <n v="6.99"/>
    <x v="0"/>
    <x v="0"/>
    <x v="0"/>
  </r>
  <r>
    <s v="CA-2012-135545"/>
    <d v="2012-11-24T00:00:00"/>
    <d v="2012-11-30T00:00:00"/>
    <s v="KunstMiller@gmail.com"/>
    <x v="0"/>
    <x v="3"/>
    <x v="14"/>
    <n v="25.824000000000002"/>
    <n v="6"/>
    <n v="9.3612000000000002"/>
    <x v="2"/>
    <n v="11"/>
    <x v="6"/>
    <n v="24"/>
    <n v="6"/>
    <n v="36.25"/>
    <n v="4.3040000000000003"/>
    <x v="0"/>
    <x v="0"/>
    <x v="0"/>
  </r>
  <r>
    <s v="CA-2012-135545"/>
    <d v="2012-11-24T00:00:00"/>
    <d v="2012-11-30T00:00:00"/>
    <s v="KunstMiller@gmail.com"/>
    <x v="0"/>
    <x v="8"/>
    <x v="15"/>
    <n v="146.72999999999999"/>
    <n v="3"/>
    <n v="68.963099999999997"/>
    <x v="2"/>
    <n v="11"/>
    <x v="6"/>
    <n v="24"/>
    <n v="6"/>
    <n v="47"/>
    <n v="48.91"/>
    <x v="0"/>
    <x v="0"/>
    <x v="0"/>
  </r>
  <r>
    <s v="CA-2012-135545"/>
    <d v="2012-11-24T00:00:00"/>
    <d v="2012-11-30T00:00:00"/>
    <s v="KunstMiller@gmail.com"/>
    <x v="0"/>
    <x v="1"/>
    <x v="16"/>
    <n v="79.760000000000005"/>
    <n v="4"/>
    <n v="22.332799999999999"/>
    <x v="2"/>
    <n v="11"/>
    <x v="6"/>
    <n v="24"/>
    <n v="6"/>
    <n v="28"/>
    <n v="19.940000000000001"/>
    <x v="0"/>
    <x v="0"/>
    <x v="0"/>
  </r>
  <r>
    <s v="CA-2011-106376"/>
    <d v="2011-12-05T00:00:00"/>
    <d v="2011-12-10T00:00:00"/>
    <s v="BrendanSweed@gmail.com"/>
    <x v="4"/>
    <x v="6"/>
    <x v="17"/>
    <n v="167.96799999999999"/>
    <n v="4"/>
    <n v="62.988"/>
    <x v="1"/>
    <n v="12"/>
    <x v="1"/>
    <n v="5"/>
    <n v="5"/>
    <n v="37.5"/>
    <n v="41.991999999999997"/>
    <x v="0"/>
    <x v="0"/>
    <x v="0"/>
  </r>
  <r>
    <s v="CA-2011-139451"/>
    <d v="2011-10-12T00:00:00"/>
    <d v="2011-10-16T00:00:00"/>
    <s v="DuaneNoonan@gmail.com"/>
    <x v="3"/>
    <x v="2"/>
    <x v="18"/>
    <n v="14.9"/>
    <n v="5"/>
    <n v="4.1719999999999997"/>
    <x v="1"/>
    <n v="10"/>
    <x v="7"/>
    <n v="12"/>
    <n v="4"/>
    <n v="28"/>
    <n v="2.98"/>
    <x v="0"/>
    <x v="0"/>
    <x v="0"/>
  </r>
  <r>
    <s v="CA-2011-139451"/>
    <d v="2011-10-12T00:00:00"/>
    <d v="2011-10-16T00:00:00"/>
    <s v="DuaneNoonan@gmail.com"/>
    <x v="3"/>
    <x v="5"/>
    <x v="19"/>
    <n v="21.39"/>
    <n v="1"/>
    <n v="6.2031000000000001"/>
    <x v="1"/>
    <n v="10"/>
    <x v="7"/>
    <n v="12"/>
    <n v="4"/>
    <n v="29"/>
    <n v="21.39"/>
    <x v="0"/>
    <x v="0"/>
    <x v="0"/>
  </r>
  <r>
    <s v="CA-2013-109806"/>
    <d v="2013-09-18T00:00:00"/>
    <d v="2013-09-23T00:00:00"/>
    <s v="JimSink@gmail.com"/>
    <x v="0"/>
    <x v="2"/>
    <x v="20"/>
    <n v="20.100000000000001"/>
    <n v="3"/>
    <n v="6.633"/>
    <x v="0"/>
    <n v="9"/>
    <x v="8"/>
    <n v="18"/>
    <n v="5"/>
    <n v="33"/>
    <n v="6.7"/>
    <x v="0"/>
    <x v="0"/>
    <x v="0"/>
  </r>
  <r>
    <s v="CA-2013-109806"/>
    <d v="2013-09-18T00:00:00"/>
    <d v="2013-09-23T00:00:00"/>
    <s v="JimSink@gmail.com"/>
    <x v="0"/>
    <x v="6"/>
    <x v="21"/>
    <n v="73.584000000000003"/>
    <n v="2"/>
    <n v="8.2782"/>
    <x v="0"/>
    <n v="9"/>
    <x v="8"/>
    <n v="18"/>
    <n v="5"/>
    <n v="11.25"/>
    <n v="36.792000000000002"/>
    <x v="0"/>
    <x v="0"/>
    <x v="0"/>
  </r>
  <r>
    <s v="CA-2013-109806"/>
    <d v="2013-09-18T00:00:00"/>
    <d v="2013-09-23T00:00:00"/>
    <s v="JimSink@gmail.com"/>
    <x v="0"/>
    <x v="8"/>
    <x v="22"/>
    <n v="6.48"/>
    <n v="1"/>
    <n v="3.1103999999999998"/>
    <x v="0"/>
    <n v="9"/>
    <x v="8"/>
    <n v="18"/>
    <n v="5"/>
    <n v="48"/>
    <n v="6.48"/>
    <x v="0"/>
    <x v="0"/>
    <x v="0"/>
  </r>
  <r>
    <s v="US-2014-109484"/>
    <d v="2014-11-07T00:00:00"/>
    <d v="2014-11-13T00:00:00"/>
    <s v="RogerBarcio@gmail.com"/>
    <x v="5"/>
    <x v="3"/>
    <x v="23"/>
    <n v="5.6820000000000004"/>
    <n v="1"/>
    <n v="-3.7879999999999998"/>
    <x v="3"/>
    <n v="11"/>
    <x v="6"/>
    <n v="7"/>
    <n v="6"/>
    <n v="-66.67"/>
    <n v="5.6820000000000004"/>
    <x v="1"/>
    <x v="1"/>
    <x v="0"/>
  </r>
  <r>
    <s v="CA-2014-157833"/>
    <d v="2014-06-18T00:00:00"/>
    <d v="2014-06-21T00:00:00"/>
    <s v="KatherineDucich@gmail.com"/>
    <x v="3"/>
    <x v="3"/>
    <x v="24"/>
    <n v="51.311999999999998"/>
    <n v="3"/>
    <n v="17.959199999999999"/>
    <x v="3"/>
    <n v="6"/>
    <x v="0"/>
    <n v="18"/>
    <n v="3"/>
    <n v="35"/>
    <n v="17.103999999999999"/>
    <x v="0"/>
    <x v="0"/>
    <x v="0"/>
  </r>
  <r>
    <s v="US-2012-156867"/>
    <d v="2012-11-13T00:00:00"/>
    <d v="2012-11-17T00:00:00"/>
    <s v="LenaCacioppo@gmail.com"/>
    <x v="6"/>
    <x v="7"/>
    <x v="25"/>
    <n v="238.89599999999999"/>
    <n v="6"/>
    <n v="-26.875800000000002"/>
    <x v="2"/>
    <n v="11"/>
    <x v="6"/>
    <n v="13"/>
    <n v="4"/>
    <n v="-11.25"/>
    <n v="39.816000000000003"/>
    <x v="0"/>
    <x v="1"/>
    <x v="1"/>
  </r>
  <r>
    <s v="US-2012-156867"/>
    <d v="2012-11-13T00:00:00"/>
    <d v="2012-11-17T00:00:00"/>
    <s v="LenaCacioppo@gmail.com"/>
    <x v="6"/>
    <x v="1"/>
    <x v="26"/>
    <n v="102.36"/>
    <n v="3"/>
    <n v="-3.8384999999999998"/>
    <x v="2"/>
    <n v="11"/>
    <x v="6"/>
    <n v="13"/>
    <n v="4"/>
    <n v="-3.75"/>
    <n v="34.119999999999997"/>
    <x v="0"/>
    <x v="1"/>
    <x v="0"/>
  </r>
  <r>
    <s v="US-2012-156867"/>
    <d v="2012-11-13T00:00:00"/>
    <d v="2012-11-17T00:00:00"/>
    <s v="LenaCacioppo@gmail.com"/>
    <x v="6"/>
    <x v="3"/>
    <x v="27"/>
    <n v="36.881999999999998"/>
    <n v="3"/>
    <n v="-25.817399999999999"/>
    <x v="2"/>
    <n v="11"/>
    <x v="6"/>
    <n v="13"/>
    <n v="4"/>
    <n v="-70"/>
    <n v="12.294"/>
    <x v="0"/>
    <x v="1"/>
    <x v="0"/>
  </r>
  <r>
    <s v="US-2014-107272"/>
    <d v="2014-11-06T00:00:00"/>
    <d v="2014-11-13T00:00:00"/>
    <s v="TroyStaebel@gmail.com"/>
    <x v="7"/>
    <x v="3"/>
    <x v="28"/>
    <n v="2.3879999999999999"/>
    <n v="2"/>
    <n v="-1.8308"/>
    <x v="3"/>
    <n v="11"/>
    <x v="6"/>
    <n v="6"/>
    <n v="7"/>
    <n v="-76.67"/>
    <n v="1.194"/>
    <x v="0"/>
    <x v="1"/>
    <x v="0"/>
  </r>
  <r>
    <s v="US-2014-107272"/>
    <d v="2014-11-06T00:00:00"/>
    <d v="2014-11-13T00:00:00"/>
    <s v="TroyStaebel@gmail.com"/>
    <x v="7"/>
    <x v="5"/>
    <x v="29"/>
    <n v="243.99199999999999"/>
    <n v="7"/>
    <n v="30.498999999999999"/>
    <x v="3"/>
    <n v="11"/>
    <x v="6"/>
    <n v="6"/>
    <n v="7"/>
    <n v="12.5"/>
    <n v="34.856000000000002"/>
    <x v="0"/>
    <x v="0"/>
    <x v="1"/>
  </r>
  <r>
    <s v="US-2013-125969"/>
    <d v="2013-11-07T00:00:00"/>
    <d v="2013-11-11T00:00:00"/>
    <s v="LindsayShagiari@gmail.com"/>
    <x v="0"/>
    <x v="9"/>
    <x v="30"/>
    <n v="81.424000000000007"/>
    <n v="2"/>
    <n v="-9.1601999999999997"/>
    <x v="0"/>
    <n v="11"/>
    <x v="6"/>
    <n v="7"/>
    <n v="4"/>
    <n v="-11.25"/>
    <n v="40.712000000000003"/>
    <x v="0"/>
    <x v="1"/>
    <x v="0"/>
  </r>
  <r>
    <s v="US-2013-125969"/>
    <d v="2013-11-07T00:00:00"/>
    <d v="2013-11-11T00:00:00"/>
    <s v="LindsayShagiari@gmail.com"/>
    <x v="0"/>
    <x v="1"/>
    <x v="31"/>
    <n v="238.56"/>
    <n v="3"/>
    <n v="26.241599999999998"/>
    <x v="0"/>
    <n v="11"/>
    <x v="6"/>
    <n v="7"/>
    <n v="4"/>
    <n v="11"/>
    <n v="79.52"/>
    <x v="0"/>
    <x v="0"/>
    <x v="1"/>
  </r>
  <r>
    <s v="CA-2013-145583"/>
    <d v="2013-10-14T00:00:00"/>
    <d v="2013-10-20T00:00:00"/>
    <s v="LenaCreighton@gmail.com"/>
    <x v="8"/>
    <x v="8"/>
    <x v="32"/>
    <n v="20.04"/>
    <n v="3"/>
    <n v="9.6191999999999993"/>
    <x v="0"/>
    <n v="10"/>
    <x v="7"/>
    <n v="14"/>
    <n v="6"/>
    <n v="48"/>
    <n v="6.68"/>
    <x v="0"/>
    <x v="0"/>
    <x v="0"/>
  </r>
  <r>
    <s v="CA-2013-145583"/>
    <d v="2013-10-14T00:00:00"/>
    <d v="2013-10-20T00:00:00"/>
    <s v="LenaCreighton@gmail.com"/>
    <x v="8"/>
    <x v="8"/>
    <x v="33"/>
    <n v="35.44"/>
    <n v="1"/>
    <n v="16.6568"/>
    <x v="0"/>
    <n v="10"/>
    <x v="7"/>
    <n v="14"/>
    <n v="6"/>
    <n v="47"/>
    <n v="35.44"/>
    <x v="0"/>
    <x v="0"/>
    <x v="0"/>
  </r>
  <r>
    <s v="CA-2013-145583"/>
    <d v="2013-10-14T00:00:00"/>
    <d v="2013-10-20T00:00:00"/>
    <s v="LenaCreighton@gmail.com"/>
    <x v="8"/>
    <x v="2"/>
    <x v="34"/>
    <n v="11.52"/>
    <n v="4"/>
    <n v="3.456"/>
    <x v="0"/>
    <n v="10"/>
    <x v="7"/>
    <n v="14"/>
    <n v="6"/>
    <n v="30"/>
    <n v="2.88"/>
    <x v="0"/>
    <x v="0"/>
    <x v="0"/>
  </r>
  <r>
    <s v="CA-2013-145583"/>
    <d v="2013-10-14T00:00:00"/>
    <d v="2013-10-20T00:00:00"/>
    <s v="LenaCreighton@gmail.com"/>
    <x v="8"/>
    <x v="10"/>
    <x v="35"/>
    <n v="4.0199999999999996"/>
    <n v="2"/>
    <n v="1.9698"/>
    <x v="0"/>
    <n v="10"/>
    <x v="7"/>
    <n v="14"/>
    <n v="6"/>
    <n v="49"/>
    <n v="2.0099999999999998"/>
    <x v="0"/>
    <x v="0"/>
    <x v="0"/>
  </r>
  <r>
    <s v="CA-2013-145583"/>
    <d v="2013-10-14T00:00:00"/>
    <d v="2013-10-20T00:00:00"/>
    <s v="LenaCreighton@gmail.com"/>
    <x v="8"/>
    <x v="3"/>
    <x v="36"/>
    <n v="76.176000000000002"/>
    <n v="3"/>
    <n v="26.6616"/>
    <x v="0"/>
    <n v="10"/>
    <x v="7"/>
    <n v="14"/>
    <n v="6"/>
    <n v="35"/>
    <n v="25.391999999999999"/>
    <x v="0"/>
    <x v="0"/>
    <x v="0"/>
  </r>
  <r>
    <s v="CA-2013-145583"/>
    <d v="2013-10-14T00:00:00"/>
    <d v="2013-10-20T00:00:00"/>
    <s v="LenaCreighton@gmail.com"/>
    <x v="8"/>
    <x v="11"/>
    <x v="37"/>
    <n v="65.88"/>
    <n v="6"/>
    <n v="18.446400000000001"/>
    <x v="0"/>
    <n v="10"/>
    <x v="7"/>
    <n v="14"/>
    <n v="6"/>
    <n v="28"/>
    <n v="10.98"/>
    <x v="0"/>
    <x v="0"/>
    <x v="0"/>
  </r>
  <r>
    <s v="CA-2013-145583"/>
    <d v="2013-10-14T00:00:00"/>
    <d v="2013-10-20T00:00:00"/>
    <s v="LenaCreighton@gmail.com"/>
    <x v="8"/>
    <x v="1"/>
    <x v="38"/>
    <n v="43.12"/>
    <n v="14"/>
    <n v="20.697600000000001"/>
    <x v="0"/>
    <n v="10"/>
    <x v="7"/>
    <n v="14"/>
    <n v="6"/>
    <n v="48"/>
    <n v="3.08"/>
    <x v="0"/>
    <x v="0"/>
    <x v="0"/>
  </r>
  <r>
    <s v="CA-2014-106180"/>
    <d v="2014-09-19T00:00:00"/>
    <d v="2014-09-24T00:00:00"/>
    <s v="SallyHughsby@gmail.com"/>
    <x v="3"/>
    <x v="2"/>
    <x v="39"/>
    <n v="8.82"/>
    <n v="3"/>
    <n v="2.3814000000000002"/>
    <x v="3"/>
    <n v="9"/>
    <x v="8"/>
    <n v="19"/>
    <n v="5"/>
    <n v="27"/>
    <n v="2.94"/>
    <x v="0"/>
    <x v="0"/>
    <x v="0"/>
  </r>
  <r>
    <s v="CA-2014-106180"/>
    <d v="2014-09-19T00:00:00"/>
    <d v="2014-09-24T00:00:00"/>
    <s v="SallyHughsby@gmail.com"/>
    <x v="3"/>
    <x v="12"/>
    <x v="40"/>
    <n v="10.86"/>
    <n v="3"/>
    <n v="5.1041999999999996"/>
    <x v="3"/>
    <n v="9"/>
    <x v="8"/>
    <n v="19"/>
    <n v="5"/>
    <n v="47"/>
    <n v="3.62"/>
    <x v="0"/>
    <x v="0"/>
    <x v="0"/>
  </r>
  <r>
    <s v="CA-2014-106180"/>
    <d v="2014-09-19T00:00:00"/>
    <d v="2014-09-24T00:00:00"/>
    <s v="SallyHughsby@gmail.com"/>
    <x v="3"/>
    <x v="8"/>
    <x v="41"/>
    <n v="143.69999999999999"/>
    <n v="3"/>
    <n v="68.975999999999999"/>
    <x v="3"/>
    <n v="9"/>
    <x v="8"/>
    <n v="19"/>
    <n v="5"/>
    <n v="48"/>
    <n v="47.9"/>
    <x v="0"/>
    <x v="0"/>
    <x v="0"/>
  </r>
  <r>
    <s v="CA-2013-158834"/>
    <d v="2013-03-14T00:00:00"/>
    <d v="2013-03-17T00:00:00"/>
    <s v="TamaraWillingham@gmail.com"/>
    <x v="9"/>
    <x v="4"/>
    <x v="42"/>
    <n v="157.91999999999999"/>
    <n v="5"/>
    <n v="17.765999999999998"/>
    <x v="0"/>
    <n v="3"/>
    <x v="9"/>
    <n v="14"/>
    <n v="3"/>
    <n v="11.25"/>
    <n v="31.584"/>
    <x v="0"/>
    <x v="0"/>
    <x v="0"/>
  </r>
  <r>
    <s v="CA-2013-158834"/>
    <d v="2013-03-14T00:00:00"/>
    <d v="2013-03-17T00:00:00"/>
    <s v="TamaraWillingham@gmail.com"/>
    <x v="9"/>
    <x v="6"/>
    <x v="43"/>
    <n v="203.184"/>
    <n v="2"/>
    <n v="15.238799999999999"/>
    <x v="0"/>
    <n v="3"/>
    <x v="9"/>
    <n v="14"/>
    <n v="3"/>
    <n v="7.5"/>
    <n v="101.592"/>
    <x v="0"/>
    <x v="0"/>
    <x v="0"/>
  </r>
  <r>
    <s v="CA-2012-124919"/>
    <d v="2012-05-31T00:00:00"/>
    <d v="2012-06-02T00:00:00"/>
    <s v="StephaniePhelps@gmail.com"/>
    <x v="10"/>
    <x v="8"/>
    <x v="44"/>
    <n v="58.38"/>
    <n v="7"/>
    <n v="26.271000000000001"/>
    <x v="2"/>
    <n v="5"/>
    <x v="2"/>
    <n v="31"/>
    <n v="2"/>
    <n v="45"/>
    <n v="8.34"/>
    <x v="0"/>
    <x v="0"/>
    <x v="0"/>
  </r>
  <r>
    <s v="CA-2012-124919"/>
    <d v="2012-05-31T00:00:00"/>
    <d v="2012-06-02T00:00:00"/>
    <s v="StephaniePhelps@gmail.com"/>
    <x v="10"/>
    <x v="8"/>
    <x v="45"/>
    <n v="105.52"/>
    <n v="4"/>
    <n v="48.539200000000001"/>
    <x v="2"/>
    <n v="5"/>
    <x v="2"/>
    <n v="31"/>
    <n v="2"/>
    <n v="46"/>
    <n v="26.38"/>
    <x v="0"/>
    <x v="0"/>
    <x v="0"/>
  </r>
  <r>
    <s v="CA-2012-124919"/>
    <d v="2012-05-31T00:00:00"/>
    <d v="2012-06-02T00:00:00"/>
    <s v="StephaniePhelps@gmail.com"/>
    <x v="10"/>
    <x v="5"/>
    <x v="46"/>
    <n v="80.88"/>
    <n v="6"/>
    <n v="21.0288"/>
    <x v="2"/>
    <n v="5"/>
    <x v="2"/>
    <n v="31"/>
    <n v="2"/>
    <n v="26"/>
    <n v="13.48"/>
    <x v="0"/>
    <x v="0"/>
    <x v="0"/>
  </r>
  <r>
    <s v="CA-2012-118948"/>
    <d v="2012-05-28T00:00:00"/>
    <d v="2012-06-03T00:00:00"/>
    <s v="NeilKnudson@gmail.com"/>
    <x v="1"/>
    <x v="2"/>
    <x v="47"/>
    <n v="6.63"/>
    <n v="3"/>
    <n v="1.7901"/>
    <x v="2"/>
    <n v="5"/>
    <x v="2"/>
    <n v="28"/>
    <n v="6"/>
    <n v="27"/>
    <n v="2.21"/>
    <x v="0"/>
    <x v="0"/>
    <x v="0"/>
  </r>
  <r>
    <s v="CA-2011-104269"/>
    <d v="2011-03-01T00:00:00"/>
    <d v="2011-03-06T00:00:00"/>
    <s v="DaveBrooks@gmail.com"/>
    <x v="1"/>
    <x v="9"/>
    <x v="48"/>
    <n v="457.56799999999998"/>
    <n v="2"/>
    <n v="51.476399999999998"/>
    <x v="1"/>
    <n v="3"/>
    <x v="9"/>
    <n v="1"/>
    <n v="5"/>
    <n v="11.25"/>
    <n v="228.78399999999999"/>
    <x v="0"/>
    <x v="0"/>
    <x v="1"/>
  </r>
  <r>
    <s v="CA-2013-162733"/>
    <d v="2013-05-12T00:00:00"/>
    <d v="2013-05-13T00:00:00"/>
    <s v="TedTrevino@gmail.com"/>
    <x v="0"/>
    <x v="8"/>
    <x v="49"/>
    <n v="5.98"/>
    <n v="1"/>
    <n v="2.6909999999999998"/>
    <x v="0"/>
    <n v="5"/>
    <x v="2"/>
    <n v="12"/>
    <n v="1"/>
    <n v="45"/>
    <n v="5.98"/>
    <x v="0"/>
    <x v="0"/>
    <x v="0"/>
  </r>
  <r>
    <s v="CA-2013-154508"/>
    <d v="2013-11-17T00:00:00"/>
    <d v="2013-11-21T00:00:00"/>
    <s v="RubenDartt@gmail.com"/>
    <x v="11"/>
    <x v="12"/>
    <x v="50"/>
    <n v="28.4"/>
    <n v="5"/>
    <n v="13.348000000000001"/>
    <x v="0"/>
    <n v="11"/>
    <x v="6"/>
    <n v="17"/>
    <n v="4"/>
    <n v="47"/>
    <n v="5.68"/>
    <x v="0"/>
    <x v="0"/>
    <x v="0"/>
  </r>
  <r>
    <s v="CA-2013-113817"/>
    <d v="2013-11-08T00:00:00"/>
    <d v="2013-11-12T00:00:00"/>
    <s v="MaxJones@gmail.com"/>
    <x v="1"/>
    <x v="3"/>
    <x v="51"/>
    <n v="27.68"/>
    <n v="2"/>
    <n v="9.6880000000000006"/>
    <x v="0"/>
    <n v="11"/>
    <x v="6"/>
    <n v="8"/>
    <n v="4"/>
    <n v="35"/>
    <n v="13.84"/>
    <x v="0"/>
    <x v="0"/>
    <x v="0"/>
  </r>
  <r>
    <s v="CA-2011-118962"/>
    <d v="2011-08-05T00:00:00"/>
    <d v="2011-08-09T00:00:00"/>
    <s v="ChadSievert@gmail.com"/>
    <x v="0"/>
    <x v="8"/>
    <x v="52"/>
    <n v="20.94"/>
    <n v="3"/>
    <n v="9.8417999999999992"/>
    <x v="1"/>
    <n v="8"/>
    <x v="3"/>
    <n v="5"/>
    <n v="4"/>
    <n v="47"/>
    <n v="6.98"/>
    <x v="0"/>
    <x v="0"/>
    <x v="0"/>
  </r>
  <r>
    <s v="CA-2011-118962"/>
    <d v="2011-08-05T00:00:00"/>
    <d v="2011-08-09T00:00:00"/>
    <s v="ChadSievert@gmail.com"/>
    <x v="0"/>
    <x v="8"/>
    <x v="53"/>
    <n v="110.96"/>
    <n v="2"/>
    <n v="53.260800000000003"/>
    <x v="1"/>
    <n v="8"/>
    <x v="3"/>
    <n v="5"/>
    <n v="4"/>
    <n v="48"/>
    <n v="55.48"/>
    <x v="0"/>
    <x v="0"/>
    <x v="0"/>
  </r>
  <r>
    <s v="CA-2011-118962"/>
    <d v="2011-08-05T00:00:00"/>
    <d v="2011-08-09T00:00:00"/>
    <s v="ChadSievert@gmail.com"/>
    <x v="0"/>
    <x v="9"/>
    <x v="54"/>
    <n v="340.14400000000001"/>
    <n v="7"/>
    <n v="21.259"/>
    <x v="1"/>
    <n v="8"/>
    <x v="3"/>
    <n v="5"/>
    <n v="4"/>
    <n v="6.25"/>
    <n v="48.591999999999999"/>
    <x v="0"/>
    <x v="0"/>
    <x v="1"/>
  </r>
  <r>
    <s v="CA-2011-123260"/>
    <d v="2011-08-26T00:00:00"/>
    <d v="2011-08-30T00:00:00"/>
    <s v="FrankMerwin@gmail.com"/>
    <x v="0"/>
    <x v="7"/>
    <x v="55"/>
    <n v="176.8"/>
    <n v="8"/>
    <n v="22.984000000000002"/>
    <x v="1"/>
    <n v="8"/>
    <x v="3"/>
    <n v="26"/>
    <n v="4"/>
    <n v="13"/>
    <n v="22.1"/>
    <x v="0"/>
    <x v="0"/>
    <x v="0"/>
  </r>
  <r>
    <s v="CA-2012-131457"/>
    <d v="2012-10-31T00:00:00"/>
    <d v="2012-11-06T00:00:00"/>
    <s v="MaryZewe@gmail.com"/>
    <x v="12"/>
    <x v="12"/>
    <x v="56"/>
    <n v="14.28"/>
    <n v="7"/>
    <n v="6.7115999999999998"/>
    <x v="2"/>
    <n v="10"/>
    <x v="7"/>
    <n v="31"/>
    <n v="6"/>
    <n v="47"/>
    <n v="2.04"/>
    <x v="0"/>
    <x v="0"/>
    <x v="0"/>
  </r>
  <r>
    <s v="CA-2011-133690"/>
    <d v="2011-08-03T00:00:00"/>
    <d v="2011-08-05T00:00:00"/>
    <s v="BruceStewart@gmail.com"/>
    <x v="13"/>
    <x v="13"/>
    <x v="57"/>
    <n v="218.75"/>
    <n v="2"/>
    <n v="-161.875"/>
    <x v="1"/>
    <n v="8"/>
    <x v="3"/>
    <n v="3"/>
    <n v="2"/>
    <n v="-74"/>
    <n v="109.375"/>
    <x v="0"/>
    <x v="1"/>
    <x v="1"/>
  </r>
  <r>
    <s v="CA-2011-133690"/>
    <d v="2011-08-03T00:00:00"/>
    <d v="2011-08-05T00:00:00"/>
    <s v="BruceStewart@gmail.com"/>
    <x v="13"/>
    <x v="4"/>
    <x v="58"/>
    <n v="2.6"/>
    <n v="1"/>
    <n v="0.29249999999999998"/>
    <x v="1"/>
    <n v="8"/>
    <x v="3"/>
    <n v="3"/>
    <n v="2"/>
    <n v="11.25"/>
    <n v="2.6"/>
    <x v="0"/>
    <x v="0"/>
    <x v="0"/>
  </r>
  <r>
    <s v="CA-2014-108329"/>
    <d v="2014-12-10T00:00:00"/>
    <d v="2014-12-15T00:00:00"/>
    <s v="LaurelElliston@gmail.com"/>
    <x v="14"/>
    <x v="6"/>
    <x v="59"/>
    <n v="444.76799999999997"/>
    <n v="4"/>
    <n v="44.476799999999997"/>
    <x v="3"/>
    <n v="12"/>
    <x v="1"/>
    <n v="10"/>
    <n v="5"/>
    <n v="10"/>
    <n v="111.19199999999999"/>
    <x v="1"/>
    <x v="0"/>
    <x v="1"/>
  </r>
  <r>
    <s v="CA-2013-130162"/>
    <d v="2013-10-29T00:00:00"/>
    <d v="2013-11-02T00:00:00"/>
    <s v="JonathanHowell@gmail.com"/>
    <x v="0"/>
    <x v="5"/>
    <x v="60"/>
    <n v="93.06"/>
    <n v="6"/>
    <n v="26.056799999999999"/>
    <x v="0"/>
    <n v="10"/>
    <x v="7"/>
    <n v="29"/>
    <n v="4"/>
    <n v="28"/>
    <n v="15.51"/>
    <x v="0"/>
    <x v="0"/>
    <x v="0"/>
  </r>
  <r>
    <s v="CA-2013-130162"/>
    <d v="2013-10-29T00:00:00"/>
    <d v="2013-11-02T00:00:00"/>
    <s v="JonathanHowell@gmail.com"/>
    <x v="0"/>
    <x v="6"/>
    <x v="61"/>
    <n v="302.37599999999998"/>
    <n v="3"/>
    <n v="22.6782"/>
    <x v="0"/>
    <n v="10"/>
    <x v="7"/>
    <n v="29"/>
    <n v="4"/>
    <n v="7.5"/>
    <n v="100.792"/>
    <x v="0"/>
    <x v="0"/>
    <x v="1"/>
  </r>
  <r>
    <s v="CA-2014-160514"/>
    <d v="2014-11-13T00:00:00"/>
    <d v="2014-11-17T00:00:00"/>
    <s v="DavidBremer@gmail.com"/>
    <x v="15"/>
    <x v="8"/>
    <x v="62"/>
    <n v="10.56"/>
    <n v="2"/>
    <n v="4.7519999999999998"/>
    <x v="3"/>
    <n v="11"/>
    <x v="6"/>
    <n v="13"/>
    <n v="4"/>
    <n v="45"/>
    <n v="5.28"/>
    <x v="0"/>
    <x v="0"/>
    <x v="0"/>
  </r>
  <r>
    <s v="CA-2013-154739"/>
    <d v="2013-12-11T00:00:00"/>
    <d v="2013-12-16T00:00:00"/>
    <s v="LoganHaushalter@gmail.com"/>
    <x v="3"/>
    <x v="9"/>
    <x v="63"/>
    <n v="321.56799999999998"/>
    <n v="2"/>
    <n v="28.1372"/>
    <x v="0"/>
    <n v="12"/>
    <x v="1"/>
    <n v="11"/>
    <n v="5"/>
    <n v="8.75"/>
    <n v="160.78399999999999"/>
    <x v="0"/>
    <x v="0"/>
    <x v="1"/>
  </r>
  <r>
    <s v="CA-2013-145625"/>
    <d v="2013-09-12T00:00:00"/>
    <d v="2013-09-18T00:00:00"/>
    <s v="KellyCollister@gmail.com"/>
    <x v="16"/>
    <x v="8"/>
    <x v="64"/>
    <n v="7.61"/>
    <n v="1"/>
    <n v="3.5767000000000002"/>
    <x v="0"/>
    <n v="9"/>
    <x v="8"/>
    <n v="12"/>
    <n v="6"/>
    <n v="47"/>
    <n v="7.61"/>
    <x v="0"/>
    <x v="0"/>
    <x v="0"/>
  </r>
  <r>
    <s v="CA-2012-155040"/>
    <d v="2012-11-10T00:00:00"/>
    <d v="2012-11-15T00:00:00"/>
    <s v="AlanHwang@gmail.com"/>
    <x v="17"/>
    <x v="7"/>
    <x v="65"/>
    <n v="79.900000000000006"/>
    <n v="2"/>
    <n v="35.155999999999999"/>
    <x v="2"/>
    <n v="11"/>
    <x v="6"/>
    <n v="10"/>
    <n v="5"/>
    <n v="44"/>
    <n v="39.950000000000003"/>
    <x v="0"/>
    <x v="0"/>
    <x v="0"/>
  </r>
  <r>
    <s v="CA-2012-155334"/>
    <d v="2012-07-30T00:00:00"/>
    <d v="2012-07-31T00:00:00"/>
    <s v="HelenAndreada@gmail.com"/>
    <x v="3"/>
    <x v="7"/>
    <x v="66"/>
    <n v="209.93"/>
    <n v="7"/>
    <n v="92.369200000000006"/>
    <x v="2"/>
    <n v="7"/>
    <x v="5"/>
    <n v="30"/>
    <n v="1"/>
    <n v="44"/>
    <n v="29.99"/>
    <x v="0"/>
    <x v="0"/>
    <x v="0"/>
  </r>
  <r>
    <s v="CA-2012-155334"/>
    <d v="2012-07-30T00:00:00"/>
    <d v="2012-07-31T00:00:00"/>
    <s v="HelenAndreada@gmail.com"/>
    <x v="3"/>
    <x v="1"/>
    <x v="67"/>
    <n v="5.28"/>
    <n v="3"/>
    <n v="2.3231999999999999"/>
    <x v="2"/>
    <n v="7"/>
    <x v="5"/>
    <n v="30"/>
    <n v="1"/>
    <n v="44"/>
    <n v="1.76"/>
    <x v="0"/>
    <x v="0"/>
    <x v="0"/>
  </r>
  <r>
    <s v="CA-2012-155334"/>
    <d v="2012-07-30T00:00:00"/>
    <d v="2012-07-31T00:00:00"/>
    <s v="HelenAndreada@gmail.com"/>
    <x v="3"/>
    <x v="3"/>
    <x v="68"/>
    <n v="10.92"/>
    <n v="3"/>
    <n v="4.0949999999999998"/>
    <x v="2"/>
    <n v="7"/>
    <x v="5"/>
    <n v="30"/>
    <n v="1"/>
    <n v="37.5"/>
    <n v="3.64"/>
    <x v="0"/>
    <x v="0"/>
    <x v="0"/>
  </r>
  <r>
    <s v="CA-2014-118136"/>
    <d v="2014-09-17T00:00:00"/>
    <d v="2014-09-18T00:00:00"/>
    <s v="BarryBlumstein@gmail.com"/>
    <x v="18"/>
    <x v="8"/>
    <x v="69"/>
    <n v="8.82"/>
    <n v="2"/>
    <n v="4.0571999999999999"/>
    <x v="3"/>
    <n v="9"/>
    <x v="8"/>
    <n v="17"/>
    <n v="1"/>
    <n v="46"/>
    <n v="4.41"/>
    <x v="0"/>
    <x v="0"/>
    <x v="0"/>
  </r>
  <r>
    <s v="CA-2014-118136"/>
    <d v="2014-09-17T00:00:00"/>
    <d v="2014-09-18T00:00:00"/>
    <s v="BarryBlumstein@gmail.com"/>
    <x v="18"/>
    <x v="2"/>
    <x v="70"/>
    <n v="5.98"/>
    <n v="1"/>
    <n v="1.5548"/>
    <x v="3"/>
    <n v="9"/>
    <x v="8"/>
    <n v="17"/>
    <n v="1"/>
    <n v="26"/>
    <n v="5.98"/>
    <x v="0"/>
    <x v="0"/>
    <x v="0"/>
  </r>
  <r>
    <s v="CA-2012-130883"/>
    <d v="2012-09-26T00:00:00"/>
    <d v="2012-10-02T00:00:00"/>
    <s v="TracyBlumstein@gmail.com"/>
    <x v="5"/>
    <x v="8"/>
    <x v="50"/>
    <n v="141.76"/>
    <n v="5"/>
    <n v="47.844000000000001"/>
    <x v="2"/>
    <n v="9"/>
    <x v="8"/>
    <n v="26"/>
    <n v="6"/>
    <n v="33.75"/>
    <n v="28.352"/>
    <x v="0"/>
    <x v="0"/>
    <x v="0"/>
  </r>
  <r>
    <s v="CA-2012-130883"/>
    <d v="2012-09-26T00:00:00"/>
    <d v="2012-10-02T00:00:00"/>
    <s v="TracyBlumstein@gmail.com"/>
    <x v="5"/>
    <x v="7"/>
    <x v="71"/>
    <n v="239.8"/>
    <n v="5"/>
    <n v="47.96"/>
    <x v="2"/>
    <n v="9"/>
    <x v="8"/>
    <n v="26"/>
    <n v="6"/>
    <n v="20"/>
    <n v="47.96"/>
    <x v="0"/>
    <x v="0"/>
    <x v="1"/>
  </r>
  <r>
    <s v="CA-2012-130883"/>
    <d v="2012-09-26T00:00:00"/>
    <d v="2012-10-02T00:00:00"/>
    <s v="TracyBlumstein@gmail.com"/>
    <x v="5"/>
    <x v="8"/>
    <x v="72"/>
    <n v="31.103999999999999"/>
    <n v="6"/>
    <n v="10.8864"/>
    <x v="2"/>
    <n v="9"/>
    <x v="8"/>
    <n v="26"/>
    <n v="6"/>
    <n v="35"/>
    <n v="5.1840000000000002"/>
    <x v="0"/>
    <x v="0"/>
    <x v="0"/>
  </r>
  <r>
    <s v="CA-2011-111451"/>
    <d v="2011-12-26T00:00:00"/>
    <d v="2011-12-28T00:00:00"/>
    <s v="KellyLampkin@gmail.com"/>
    <x v="19"/>
    <x v="1"/>
    <x v="73"/>
    <n v="300.416"/>
    <n v="8"/>
    <n v="78.859200000000001"/>
    <x v="1"/>
    <n v="12"/>
    <x v="1"/>
    <n v="26"/>
    <n v="2"/>
    <n v="26.25"/>
    <n v="37.552"/>
    <x v="0"/>
    <x v="0"/>
    <x v="1"/>
  </r>
  <r>
    <s v="CA-2011-111451"/>
    <d v="2011-12-26T00:00:00"/>
    <d v="2011-12-28T00:00:00"/>
    <s v="KellyLampkin@gmail.com"/>
    <x v="19"/>
    <x v="9"/>
    <x v="74"/>
    <n v="230.352"/>
    <n v="3"/>
    <n v="20.155799999999999"/>
    <x v="1"/>
    <n v="12"/>
    <x v="1"/>
    <n v="26"/>
    <n v="2"/>
    <n v="8.75"/>
    <n v="76.784000000000006"/>
    <x v="0"/>
    <x v="0"/>
    <x v="1"/>
  </r>
  <r>
    <s v="CA-2011-111451"/>
    <d v="2011-12-26T00:00:00"/>
    <d v="2011-12-28T00:00:00"/>
    <s v="KellyLampkin@gmail.com"/>
    <x v="19"/>
    <x v="1"/>
    <x v="75"/>
    <n v="218.352"/>
    <n v="3"/>
    <n v="-24.564599999999999"/>
    <x v="1"/>
    <n v="12"/>
    <x v="1"/>
    <n v="26"/>
    <n v="2"/>
    <n v="-11.25"/>
    <n v="72.784000000000006"/>
    <x v="0"/>
    <x v="1"/>
    <x v="1"/>
  </r>
  <r>
    <s v="CA-2011-111451"/>
    <d v="2011-12-26T00:00:00"/>
    <d v="2011-12-28T00:00:00"/>
    <s v="KellyLampkin@gmail.com"/>
    <x v="19"/>
    <x v="3"/>
    <x v="76"/>
    <n v="78.599999999999994"/>
    <n v="5"/>
    <n v="-62.88"/>
    <x v="1"/>
    <n v="12"/>
    <x v="1"/>
    <n v="26"/>
    <n v="2"/>
    <n v="-80"/>
    <n v="15.72"/>
    <x v="0"/>
    <x v="1"/>
    <x v="0"/>
  </r>
  <r>
    <s v="CA-2011-111451"/>
    <d v="2011-12-26T00:00:00"/>
    <d v="2011-12-28T00:00:00"/>
    <s v="KellyLampkin@gmail.com"/>
    <x v="19"/>
    <x v="10"/>
    <x v="77"/>
    <n v="27.552"/>
    <n v="3"/>
    <n v="9.2988"/>
    <x v="1"/>
    <n v="12"/>
    <x v="1"/>
    <n v="26"/>
    <n v="2"/>
    <n v="33.75"/>
    <n v="9.1839999999999993"/>
    <x v="0"/>
    <x v="0"/>
    <x v="0"/>
  </r>
  <r>
    <s v="CA-2013-142902"/>
    <d v="2013-09-13T00:00:00"/>
    <d v="2013-09-15T00:00:00"/>
    <s v="BenPeterman@gmail.com"/>
    <x v="20"/>
    <x v="1"/>
    <x v="78"/>
    <n v="15.135999999999999"/>
    <n v="4"/>
    <n v="3.5948000000000002"/>
    <x v="0"/>
    <n v="9"/>
    <x v="8"/>
    <n v="13"/>
    <n v="2"/>
    <n v="23.75"/>
    <n v="3.7839999999999998"/>
    <x v="0"/>
    <x v="0"/>
    <x v="0"/>
  </r>
  <r>
    <s v="CA-2013-142902"/>
    <d v="2013-09-13T00:00:00"/>
    <d v="2013-09-15T00:00:00"/>
    <s v="BenPeterman@gmail.com"/>
    <x v="20"/>
    <x v="9"/>
    <x v="79"/>
    <n v="466.76799999999997"/>
    <n v="2"/>
    <n v="52.511400000000002"/>
    <x v="0"/>
    <n v="9"/>
    <x v="8"/>
    <n v="13"/>
    <n v="2"/>
    <n v="11.25"/>
    <n v="233.38399999999999"/>
    <x v="0"/>
    <x v="0"/>
    <x v="1"/>
  </r>
  <r>
    <s v="CA-2013-142902"/>
    <d v="2013-09-13T00:00:00"/>
    <d v="2013-09-15T00:00:00"/>
    <s v="BenPeterman@gmail.com"/>
    <x v="20"/>
    <x v="1"/>
    <x v="80"/>
    <n v="15.231999999999999"/>
    <n v="1"/>
    <n v="1.7136"/>
    <x v="0"/>
    <n v="9"/>
    <x v="8"/>
    <n v="13"/>
    <n v="2"/>
    <n v="11.25"/>
    <n v="15.231999999999999"/>
    <x v="0"/>
    <x v="0"/>
    <x v="0"/>
  </r>
  <r>
    <s v="CA-2013-142902"/>
    <d v="2013-09-13T00:00:00"/>
    <d v="2013-09-15T00:00:00"/>
    <s v="BenPeterman@gmail.com"/>
    <x v="20"/>
    <x v="0"/>
    <x v="81"/>
    <n v="6.2640000000000002"/>
    <n v="3"/>
    <n v="2.0358000000000001"/>
    <x v="0"/>
    <n v="9"/>
    <x v="8"/>
    <n v="13"/>
    <n v="2"/>
    <n v="32.5"/>
    <n v="2.0880000000000001"/>
    <x v="0"/>
    <x v="0"/>
    <x v="0"/>
  </r>
  <r>
    <s v="CA-2011-156601"/>
    <d v="2011-09-19T00:00:00"/>
    <d v="2011-09-24T00:00:00"/>
    <s v="FrankAtkinson@gmail.com"/>
    <x v="21"/>
    <x v="10"/>
    <x v="82"/>
    <n v="7.16"/>
    <n v="2"/>
    <n v="3.58"/>
    <x v="1"/>
    <n v="9"/>
    <x v="8"/>
    <n v="19"/>
    <n v="5"/>
    <n v="50"/>
    <n v="3.58"/>
    <x v="0"/>
    <x v="0"/>
    <x v="0"/>
  </r>
  <r>
    <s v="CA-2013-162138"/>
    <d v="2013-04-24T00:00:00"/>
    <d v="2013-04-28T00:00:00"/>
    <s v="GraceKelly@gmail.com"/>
    <x v="22"/>
    <x v="3"/>
    <x v="76"/>
    <n v="251.52"/>
    <n v="6"/>
    <n v="81.744"/>
    <x v="0"/>
    <n v="4"/>
    <x v="10"/>
    <n v="24"/>
    <n v="4"/>
    <n v="32.5"/>
    <n v="41.92"/>
    <x v="0"/>
    <x v="0"/>
    <x v="1"/>
  </r>
  <r>
    <s v="CA-2013-162138"/>
    <d v="2013-04-24T00:00:00"/>
    <d v="2013-04-28T00:00:00"/>
    <s v="GraceKelly@gmail.com"/>
    <x v="22"/>
    <x v="7"/>
    <x v="83"/>
    <n v="99.99"/>
    <n v="1"/>
    <n v="34.996499999999997"/>
    <x v="0"/>
    <n v="4"/>
    <x v="10"/>
    <n v="24"/>
    <n v="4"/>
    <n v="35"/>
    <n v="99.99"/>
    <x v="0"/>
    <x v="0"/>
    <x v="0"/>
  </r>
  <r>
    <s v="CA-2012-137946"/>
    <d v="2012-09-01T00:00:00"/>
    <d v="2012-09-04T00:00:00"/>
    <s v="DougBickford@gmail.com"/>
    <x v="0"/>
    <x v="3"/>
    <x v="84"/>
    <n v="4.7519999999999998"/>
    <n v="1"/>
    <n v="1.6037999999999999"/>
    <x v="2"/>
    <n v="9"/>
    <x v="8"/>
    <n v="1"/>
    <n v="3"/>
    <n v="33.75"/>
    <n v="4.7519999999999998"/>
    <x v="0"/>
    <x v="0"/>
    <x v="0"/>
  </r>
  <r>
    <s v="CA-2012-137946"/>
    <d v="2012-09-01T00:00:00"/>
    <d v="2012-09-04T00:00:00"/>
    <s v="DougBickford@gmail.com"/>
    <x v="0"/>
    <x v="3"/>
    <x v="85"/>
    <n v="14.368"/>
    <n v="4"/>
    <n v="4.49"/>
    <x v="2"/>
    <n v="9"/>
    <x v="8"/>
    <n v="1"/>
    <n v="3"/>
    <n v="31.25"/>
    <n v="3.5920000000000001"/>
    <x v="0"/>
    <x v="0"/>
    <x v="0"/>
  </r>
  <r>
    <s v="CA-2011-129924"/>
    <d v="2011-07-12T00:00:00"/>
    <d v="2011-07-17T00:00:00"/>
    <s v="AlyssaCrouse@gmail.com"/>
    <x v="3"/>
    <x v="3"/>
    <x v="86"/>
    <n v="7.7119999999999997"/>
    <n v="2"/>
    <n v="2.7955999999999999"/>
    <x v="1"/>
    <n v="7"/>
    <x v="5"/>
    <n v="12"/>
    <n v="5"/>
    <n v="36.25"/>
    <n v="3.8559999999999999"/>
    <x v="0"/>
    <x v="0"/>
    <x v="0"/>
  </r>
  <r>
    <s v="CA-2012-128167"/>
    <d v="2012-06-22T00:00:00"/>
    <d v="2012-06-26T00:00:00"/>
    <s v="KenLonsdale@gmail.com"/>
    <x v="23"/>
    <x v="10"/>
    <x v="87"/>
    <n v="4.96"/>
    <n v="4"/>
    <n v="2.3311999999999999"/>
    <x v="2"/>
    <n v="6"/>
    <x v="0"/>
    <n v="22"/>
    <n v="4"/>
    <n v="47"/>
    <n v="1.24"/>
    <x v="0"/>
    <x v="0"/>
    <x v="0"/>
  </r>
  <r>
    <s v="CA-2014-169901"/>
    <d v="2014-06-16T00:00:00"/>
    <d v="2014-06-20T00:00:00"/>
    <s v="ClayCheatham@gmail.com"/>
    <x v="3"/>
    <x v="6"/>
    <x v="88"/>
    <n v="47.975999999999999"/>
    <n v="3"/>
    <n v="4.7976000000000001"/>
    <x v="3"/>
    <n v="6"/>
    <x v="0"/>
    <n v="16"/>
    <n v="4"/>
    <n v="10"/>
    <n v="15.992000000000001"/>
    <x v="0"/>
    <x v="0"/>
    <x v="0"/>
  </r>
  <r>
    <s v="CA-2011-123344"/>
    <d v="2011-09-24T00:00:00"/>
    <d v="2011-09-29T00:00:00"/>
    <s v="JuliaDunbar@gmail.com"/>
    <x v="3"/>
    <x v="5"/>
    <x v="89"/>
    <n v="211.96"/>
    <n v="4"/>
    <n v="8.4784000000000006"/>
    <x v="1"/>
    <n v="9"/>
    <x v="8"/>
    <n v="24"/>
    <n v="5"/>
    <n v="4"/>
    <n v="52.99"/>
    <x v="1"/>
    <x v="0"/>
    <x v="0"/>
  </r>
  <r>
    <s v="US-2011-119137"/>
    <d v="2011-07-23T00:00:00"/>
    <d v="2011-07-27T00:00:00"/>
    <s v="ArthurGainer@gmail.com"/>
    <x v="24"/>
    <x v="3"/>
    <x v="90"/>
    <n v="8.16"/>
    <n v="5"/>
    <n v="-5.7119999999999997"/>
    <x v="1"/>
    <n v="7"/>
    <x v="5"/>
    <n v="23"/>
    <n v="4"/>
    <n v="-70"/>
    <n v="1.6319999999999999"/>
    <x v="0"/>
    <x v="1"/>
    <x v="0"/>
  </r>
  <r>
    <s v="US-2011-119137"/>
    <d v="2011-07-23T00:00:00"/>
    <d v="2011-07-27T00:00:00"/>
    <s v="ArthurGainer@gmail.com"/>
    <x v="24"/>
    <x v="2"/>
    <x v="91"/>
    <n v="9.24"/>
    <n v="1"/>
    <n v="0.92400000000000004"/>
    <x v="1"/>
    <n v="7"/>
    <x v="5"/>
    <n v="23"/>
    <n v="4"/>
    <n v="10"/>
    <n v="9.24"/>
    <x v="0"/>
    <x v="0"/>
    <x v="0"/>
  </r>
  <r>
    <s v="US-2011-119137"/>
    <d v="2011-07-23T00:00:00"/>
    <d v="2011-07-27T00:00:00"/>
    <s v="ArthurGainer@gmail.com"/>
    <x v="24"/>
    <x v="7"/>
    <x v="92"/>
    <n v="479.04"/>
    <n v="10"/>
    <n v="-29.94"/>
    <x v="1"/>
    <n v="7"/>
    <x v="5"/>
    <n v="23"/>
    <n v="4"/>
    <n v="-6.25"/>
    <n v="47.904000000000003"/>
    <x v="0"/>
    <x v="1"/>
    <x v="1"/>
  </r>
  <r>
    <s v="CA-2013-134775"/>
    <d v="2013-10-29T00:00:00"/>
    <d v="2013-10-30T00:00:00"/>
    <s v="AlejandroSavely@gmail.com"/>
    <x v="3"/>
    <x v="8"/>
    <x v="93"/>
    <n v="50.96"/>
    <n v="7"/>
    <n v="25.48"/>
    <x v="0"/>
    <n v="10"/>
    <x v="7"/>
    <n v="29"/>
    <n v="1"/>
    <n v="50"/>
    <n v="7.28"/>
    <x v="0"/>
    <x v="0"/>
    <x v="0"/>
  </r>
  <r>
    <s v="CA-2013-134775"/>
    <d v="2013-10-29T00:00:00"/>
    <d v="2013-10-30T00:00:00"/>
    <s v="AlejandroSavely@gmail.com"/>
    <x v="3"/>
    <x v="3"/>
    <x v="94"/>
    <n v="49.536000000000001"/>
    <n v="3"/>
    <n v="17.337599999999998"/>
    <x v="0"/>
    <n v="10"/>
    <x v="7"/>
    <n v="29"/>
    <n v="1"/>
    <n v="35"/>
    <n v="16.512"/>
    <x v="0"/>
    <x v="0"/>
    <x v="0"/>
  </r>
  <r>
    <s v="US-2011-135972"/>
    <d v="2011-09-21T00:00:00"/>
    <d v="2011-09-23T00:00:00"/>
    <s v="JackGarza@gmail.com"/>
    <x v="25"/>
    <x v="6"/>
    <x v="95"/>
    <n v="246.38399999999999"/>
    <n v="2"/>
    <n v="27.7182"/>
    <x v="1"/>
    <n v="9"/>
    <x v="8"/>
    <n v="21"/>
    <n v="2"/>
    <n v="11.25"/>
    <n v="123.19199999999999"/>
    <x v="0"/>
    <x v="0"/>
    <x v="1"/>
  </r>
  <r>
    <s v="CA-2014-102946"/>
    <d v="2014-07-01T00:00:00"/>
    <d v="2014-07-06T00:00:00"/>
    <s v="VictorPreis@gmail.com"/>
    <x v="26"/>
    <x v="3"/>
    <x v="96"/>
    <n v="75.792000000000002"/>
    <n v="3"/>
    <n v="25.579799999999999"/>
    <x v="3"/>
    <n v="7"/>
    <x v="5"/>
    <n v="1"/>
    <n v="5"/>
    <n v="33.75"/>
    <n v="25.263999999999999"/>
    <x v="1"/>
    <x v="0"/>
    <x v="0"/>
  </r>
  <r>
    <s v="CA-2014-117457"/>
    <d v="2014-12-09T00:00:00"/>
    <d v="2014-12-13T00:00:00"/>
    <s v="KeithHerrera@gmail.com"/>
    <x v="3"/>
    <x v="7"/>
    <x v="97"/>
    <n v="179.95"/>
    <n v="5"/>
    <n v="37.789499999999997"/>
    <x v="3"/>
    <n v="12"/>
    <x v="1"/>
    <n v="9"/>
    <n v="4"/>
    <n v="21"/>
    <n v="35.989999999999988"/>
    <x v="0"/>
    <x v="0"/>
    <x v="0"/>
  </r>
  <r>
    <s v="CA-2014-117457"/>
    <d v="2014-12-09T00:00:00"/>
    <d v="2014-12-13T00:00:00"/>
    <s v="KeithHerrera@gmail.com"/>
    <x v="3"/>
    <x v="8"/>
    <x v="98"/>
    <n v="27.15"/>
    <n v="5"/>
    <n v="13.3035"/>
    <x v="3"/>
    <n v="12"/>
    <x v="1"/>
    <n v="9"/>
    <n v="4"/>
    <n v="49"/>
    <n v="5.43"/>
    <x v="0"/>
    <x v="0"/>
    <x v="0"/>
  </r>
  <r>
    <s v="CA-2014-117457"/>
    <d v="2014-12-09T00:00:00"/>
    <d v="2014-12-13T00:00:00"/>
    <s v="KeithHerrera@gmail.com"/>
    <x v="3"/>
    <x v="8"/>
    <x v="99"/>
    <n v="9.68"/>
    <n v="1"/>
    <n v="4.6463999999999999"/>
    <x v="3"/>
    <n v="12"/>
    <x v="1"/>
    <n v="9"/>
    <n v="4"/>
    <n v="48"/>
    <n v="9.68"/>
    <x v="0"/>
    <x v="0"/>
    <x v="0"/>
  </r>
  <r>
    <s v="CA-2014-117457"/>
    <d v="2014-12-09T00:00:00"/>
    <d v="2014-12-13T00:00:00"/>
    <s v="KeithHerrera@gmail.com"/>
    <x v="3"/>
    <x v="0"/>
    <x v="100"/>
    <n v="28.35"/>
    <n v="9"/>
    <n v="13.608000000000001"/>
    <x v="3"/>
    <n v="12"/>
    <x v="1"/>
    <n v="9"/>
    <n v="4"/>
    <n v="48"/>
    <n v="3.15"/>
    <x v="0"/>
    <x v="0"/>
    <x v="0"/>
  </r>
  <r>
    <s v="CA-2014-117457"/>
    <d v="2014-12-09T00:00:00"/>
    <d v="2014-12-13T00:00:00"/>
    <s v="KeithHerrera@gmail.com"/>
    <x v="3"/>
    <x v="8"/>
    <x v="101"/>
    <n v="55.98"/>
    <n v="1"/>
    <n v="27.430199999999999"/>
    <x v="3"/>
    <n v="12"/>
    <x v="1"/>
    <n v="9"/>
    <n v="4"/>
    <n v="49"/>
    <n v="55.98"/>
    <x v="0"/>
    <x v="0"/>
    <x v="0"/>
  </r>
  <r>
    <s v="CA-2014-117457"/>
    <d v="2014-12-09T00:00:00"/>
    <d v="2014-12-13T00:00:00"/>
    <s v="KeithHerrera@gmail.com"/>
    <x v="3"/>
    <x v="9"/>
    <x v="102"/>
    <n v="113.568"/>
    <n v="2"/>
    <n v="-18.454799999999999"/>
    <x v="3"/>
    <n v="12"/>
    <x v="1"/>
    <n v="9"/>
    <n v="4"/>
    <n v="-16.25"/>
    <n v="56.783999999999999"/>
    <x v="0"/>
    <x v="1"/>
    <x v="0"/>
  </r>
  <r>
    <s v="CA-2014-142636"/>
    <d v="2014-11-04T00:00:00"/>
    <d v="2014-11-08T00:00:00"/>
    <s v="KimberlyCarter@gmail.com"/>
    <x v="1"/>
    <x v="8"/>
    <x v="103"/>
    <n v="139.86000000000001"/>
    <n v="7"/>
    <n v="65.734200000000001"/>
    <x v="3"/>
    <n v="11"/>
    <x v="6"/>
    <n v="4"/>
    <n v="4"/>
    <n v="47"/>
    <n v="19.98"/>
    <x v="0"/>
    <x v="0"/>
    <x v="0"/>
  </r>
  <r>
    <s v="CA-2014-142636"/>
    <d v="2014-11-04T00:00:00"/>
    <d v="2014-11-08T00:00:00"/>
    <s v="KimberlyCarter@gmail.com"/>
    <x v="1"/>
    <x v="9"/>
    <x v="74"/>
    <n v="307.13600000000002"/>
    <n v="4"/>
    <n v="26.874400000000001"/>
    <x v="3"/>
    <n v="11"/>
    <x v="6"/>
    <n v="4"/>
    <n v="4"/>
    <n v="8.75"/>
    <n v="76.784000000000006"/>
    <x v="0"/>
    <x v="0"/>
    <x v="1"/>
  </r>
  <r>
    <s v="CA-2014-122105"/>
    <d v="2014-06-25T00:00:00"/>
    <d v="2014-06-29T00:00:00"/>
    <s v="CarolineJumper@gmail.com"/>
    <x v="27"/>
    <x v="2"/>
    <x v="104"/>
    <n v="95.92"/>
    <n v="8"/>
    <n v="25.898399999999999"/>
    <x v="3"/>
    <n v="6"/>
    <x v="0"/>
    <n v="25"/>
    <n v="4"/>
    <n v="27"/>
    <n v="11.99"/>
    <x v="0"/>
    <x v="0"/>
    <x v="0"/>
  </r>
  <r>
    <s v="CA-2013-148796"/>
    <d v="2013-04-15T00:00:00"/>
    <d v="2013-04-19T00:00:00"/>
    <s v="PhilipBrown@gmail.com"/>
    <x v="0"/>
    <x v="9"/>
    <x v="105"/>
    <n v="383.8"/>
    <n v="5"/>
    <n v="38.380000000000003"/>
    <x v="0"/>
    <n v="4"/>
    <x v="10"/>
    <n v="15"/>
    <n v="4"/>
    <n v="10"/>
    <n v="76.760000000000005"/>
    <x v="0"/>
    <x v="0"/>
    <x v="1"/>
  </r>
  <r>
    <s v="CA-2014-110478"/>
    <d v="2014-03-05T00:00:00"/>
    <d v="2014-03-10T00:00:00"/>
    <s v="SungPak@gmail.com"/>
    <x v="0"/>
    <x v="2"/>
    <x v="106"/>
    <n v="9.32"/>
    <n v="4"/>
    <n v="2.7027999999999999"/>
    <x v="3"/>
    <n v="3"/>
    <x v="9"/>
    <n v="5"/>
    <n v="5"/>
    <n v="29"/>
    <n v="2.33"/>
    <x v="0"/>
    <x v="0"/>
    <x v="0"/>
  </r>
  <r>
    <s v="CA-2014-110478"/>
    <d v="2014-03-05T00:00:00"/>
    <d v="2014-03-10T00:00:00"/>
    <s v="SungPak@gmail.com"/>
    <x v="0"/>
    <x v="12"/>
    <x v="107"/>
    <n v="15.25"/>
    <n v="1"/>
    <n v="7.0149999999999997"/>
    <x v="3"/>
    <n v="3"/>
    <x v="9"/>
    <n v="5"/>
    <n v="5"/>
    <n v="46"/>
    <n v="15.25"/>
    <x v="0"/>
    <x v="0"/>
    <x v="0"/>
  </r>
  <r>
    <s v="CA-2011-142048"/>
    <d v="2011-06-22T00:00:00"/>
    <d v="2011-06-25T00:00:00"/>
    <s v="JoelEaton@gmail.com"/>
    <x v="28"/>
    <x v="7"/>
    <x v="108"/>
    <n v="196.75200000000001"/>
    <n v="6"/>
    <n v="56.566200000000002"/>
    <x v="1"/>
    <n v="6"/>
    <x v="0"/>
    <n v="22"/>
    <n v="3"/>
    <n v="28.75"/>
    <n v="32.792000000000002"/>
    <x v="0"/>
    <x v="0"/>
    <x v="0"/>
  </r>
  <r>
    <s v="US-2011-110674"/>
    <d v="2011-02-13T00:00:00"/>
    <d v="2011-02-19T00:00:00"/>
    <s v="SanjitChand@gmail.com"/>
    <x v="29"/>
    <x v="9"/>
    <x v="109"/>
    <n v="129.56800000000001"/>
    <n v="2"/>
    <n v="-24.294"/>
    <x v="1"/>
    <n v="2"/>
    <x v="11"/>
    <n v="13"/>
    <n v="6"/>
    <n v="-18.75"/>
    <n v="64.784000000000006"/>
    <x v="0"/>
    <x v="1"/>
    <x v="0"/>
  </r>
  <r>
    <s v="CA-2012-109638"/>
    <d v="2012-12-15T00:00:00"/>
    <d v="2012-12-22T00:00:00"/>
    <s v="JosephHolt@gmail.com"/>
    <x v="1"/>
    <x v="4"/>
    <x v="110"/>
    <n v="103.92"/>
    <n v="4"/>
    <n v="36.372"/>
    <x v="2"/>
    <n v="12"/>
    <x v="1"/>
    <n v="15"/>
    <n v="7"/>
    <n v="35"/>
    <n v="25.98"/>
    <x v="0"/>
    <x v="0"/>
    <x v="0"/>
  </r>
  <r>
    <s v="CA-2012-109638"/>
    <d v="2012-12-15T00:00:00"/>
    <d v="2012-12-22T00:00:00"/>
    <s v="JosephHolt@gmail.com"/>
    <x v="1"/>
    <x v="3"/>
    <x v="111"/>
    <n v="51.311999999999998"/>
    <n v="3"/>
    <n v="18.6006"/>
    <x v="2"/>
    <n v="12"/>
    <x v="1"/>
    <n v="15"/>
    <n v="7"/>
    <n v="36.25"/>
    <n v="17.103999999999999"/>
    <x v="0"/>
    <x v="0"/>
    <x v="0"/>
  </r>
  <r>
    <s v="CA-2013-109869"/>
    <d v="2013-04-23T00:00:00"/>
    <d v="2013-04-30T00:00:00"/>
    <s v="TanjaNorvell@gmail.com"/>
    <x v="7"/>
    <x v="1"/>
    <x v="112"/>
    <n v="23.56"/>
    <n v="5"/>
    <n v="7.0679999999999996"/>
    <x v="0"/>
    <n v="4"/>
    <x v="10"/>
    <n v="23"/>
    <n v="7"/>
    <n v="30"/>
    <n v="4.7119999999999997"/>
    <x v="0"/>
    <x v="0"/>
    <x v="0"/>
  </r>
  <r>
    <s v="CA-2013-109869"/>
    <d v="2013-04-23T00:00:00"/>
    <d v="2013-04-30T00:00:00"/>
    <s v="TanjaNorvell@gmail.com"/>
    <x v="7"/>
    <x v="3"/>
    <x v="113"/>
    <n v="28.484999999999999"/>
    <n v="5"/>
    <n v="-20.888999999999999"/>
    <x v="0"/>
    <n v="4"/>
    <x v="10"/>
    <n v="23"/>
    <n v="7"/>
    <n v="-73.33"/>
    <n v="5.6970000000000001"/>
    <x v="0"/>
    <x v="1"/>
    <x v="0"/>
  </r>
  <r>
    <s v="CA-2013-109869"/>
    <d v="2013-04-23T00:00:00"/>
    <d v="2013-04-30T00:00:00"/>
    <s v="TanjaNorvell@gmail.com"/>
    <x v="7"/>
    <x v="11"/>
    <x v="114"/>
    <n v="185.376"/>
    <n v="2"/>
    <n v="-34.758000000000003"/>
    <x v="0"/>
    <n v="4"/>
    <x v="10"/>
    <n v="23"/>
    <n v="7"/>
    <n v="-18.75"/>
    <n v="92.688000000000002"/>
    <x v="0"/>
    <x v="1"/>
    <x v="0"/>
  </r>
  <r>
    <s v="CA-2013-109869"/>
    <d v="2013-04-23T00:00:00"/>
    <d v="2013-04-30T00:00:00"/>
    <s v="TanjaNorvell@gmail.com"/>
    <x v="7"/>
    <x v="4"/>
    <x v="115"/>
    <n v="78.272000000000006"/>
    <n v="2"/>
    <n v="5.8704000000000001"/>
    <x v="0"/>
    <n v="4"/>
    <x v="10"/>
    <n v="23"/>
    <n v="7"/>
    <n v="7.5"/>
    <n v="39.136000000000003"/>
    <x v="0"/>
    <x v="0"/>
    <x v="0"/>
  </r>
  <r>
    <s v="CA-2011-144666"/>
    <d v="2011-11-09T00:00:00"/>
    <d v="2011-11-11T00:00:00"/>
    <s v="JeremyPistek@gmail.com"/>
    <x v="3"/>
    <x v="5"/>
    <x v="116"/>
    <n v="340.92"/>
    <n v="3"/>
    <n v="3.4091999999999998"/>
    <x v="1"/>
    <n v="11"/>
    <x v="6"/>
    <n v="9"/>
    <n v="2"/>
    <n v="1"/>
    <n v="113.64"/>
    <x v="0"/>
    <x v="0"/>
    <x v="1"/>
  </r>
  <r>
    <s v="CA-2011-144666"/>
    <d v="2011-11-09T00:00:00"/>
    <d v="2011-11-11T00:00:00"/>
    <s v="JeremyPistek@gmail.com"/>
    <x v="3"/>
    <x v="14"/>
    <x v="117"/>
    <n v="222.666"/>
    <n v="2"/>
    <n v="10.478400000000001"/>
    <x v="1"/>
    <n v="11"/>
    <x v="6"/>
    <n v="9"/>
    <n v="2"/>
    <n v="4.71"/>
    <n v="111.333"/>
    <x v="0"/>
    <x v="0"/>
    <x v="1"/>
  </r>
  <r>
    <s v="CA-2011-144666"/>
    <d v="2011-11-09T00:00:00"/>
    <d v="2011-11-11T00:00:00"/>
    <s v="JeremyPistek@gmail.com"/>
    <x v="3"/>
    <x v="5"/>
    <x v="118"/>
    <n v="92.52"/>
    <n v="6"/>
    <n v="24.980399999999999"/>
    <x v="1"/>
    <n v="11"/>
    <x v="6"/>
    <n v="9"/>
    <n v="2"/>
    <n v="27"/>
    <n v="15.42"/>
    <x v="0"/>
    <x v="0"/>
    <x v="0"/>
  </r>
  <r>
    <s v="CA-2011-144666"/>
    <d v="2011-11-09T00:00:00"/>
    <d v="2011-11-11T00:00:00"/>
    <s v="JeremyPistek@gmail.com"/>
    <x v="3"/>
    <x v="8"/>
    <x v="119"/>
    <n v="62.65"/>
    <n v="7"/>
    <n v="28.818999999999999"/>
    <x v="1"/>
    <n v="11"/>
    <x v="6"/>
    <n v="9"/>
    <n v="2"/>
    <n v="46"/>
    <n v="8.9499999999999993"/>
    <x v="0"/>
    <x v="0"/>
    <x v="0"/>
  </r>
  <r>
    <s v="CA-2011-144666"/>
    <d v="2011-11-09T00:00:00"/>
    <d v="2011-11-11T00:00:00"/>
    <s v="JeremyPistek@gmail.com"/>
    <x v="3"/>
    <x v="8"/>
    <x v="120"/>
    <n v="94.85"/>
    <n v="5"/>
    <n v="45.527999999999999"/>
    <x v="1"/>
    <n v="11"/>
    <x v="6"/>
    <n v="9"/>
    <n v="2"/>
    <n v="48"/>
    <n v="18.97"/>
    <x v="0"/>
    <x v="0"/>
    <x v="0"/>
  </r>
  <r>
    <s v="CA-2013-103891"/>
    <d v="2013-07-13T00:00:00"/>
    <d v="2013-07-20T00:00:00"/>
    <s v="KristenHastings@gmail.com"/>
    <x v="0"/>
    <x v="6"/>
    <x v="121"/>
    <n v="95.76"/>
    <n v="6"/>
    <n v="7.1820000000000004"/>
    <x v="0"/>
    <n v="7"/>
    <x v="5"/>
    <n v="13"/>
    <n v="7"/>
    <n v="7.5"/>
    <n v="15.96"/>
    <x v="0"/>
    <x v="0"/>
    <x v="0"/>
  </r>
  <r>
    <s v="CA-2011-134677"/>
    <d v="2011-10-06T00:00:00"/>
    <d v="2011-10-10T00:00:00"/>
    <s v="XylonaPreis@gmail.com"/>
    <x v="16"/>
    <x v="7"/>
    <x v="122"/>
    <n v="9.09"/>
    <n v="3"/>
    <n v="1.9089"/>
    <x v="1"/>
    <n v="10"/>
    <x v="7"/>
    <n v="6"/>
    <n v="4"/>
    <n v="21"/>
    <n v="3.03"/>
    <x v="0"/>
    <x v="0"/>
    <x v="0"/>
  </r>
  <r>
    <s v="CA-2014-140963"/>
    <d v="2014-06-11T00:00:00"/>
    <d v="2014-06-14T00:00:00"/>
    <s v="MichelleTran@gmail.com"/>
    <x v="0"/>
    <x v="0"/>
    <x v="123"/>
    <n v="29.6"/>
    <n v="2"/>
    <n v="14.8"/>
    <x v="3"/>
    <n v="6"/>
    <x v="0"/>
    <n v="11"/>
    <n v="3"/>
    <n v="50"/>
    <n v="14.8"/>
    <x v="0"/>
    <x v="0"/>
    <x v="0"/>
  </r>
  <r>
    <s v="CA-2014-140963"/>
    <d v="2014-06-11T00:00:00"/>
    <d v="2014-06-14T00:00:00"/>
    <s v="MichelleTran@gmail.com"/>
    <x v="0"/>
    <x v="6"/>
    <x v="124"/>
    <n v="279.95999999999998"/>
    <n v="5"/>
    <n v="17.497499999999999"/>
    <x v="3"/>
    <n v="6"/>
    <x v="0"/>
    <n v="11"/>
    <n v="3"/>
    <n v="6.25"/>
    <n v="55.991999999999997"/>
    <x v="0"/>
    <x v="0"/>
    <x v="1"/>
  </r>
  <r>
    <s v="CA-2013-169166"/>
    <d v="2013-05-10T00:00:00"/>
    <d v="2013-05-15T00:00:00"/>
    <s v="SoniaSunley@gmail.com"/>
    <x v="1"/>
    <x v="7"/>
    <x v="125"/>
    <n v="93.98"/>
    <n v="2"/>
    <n v="13.1572"/>
    <x v="0"/>
    <n v="5"/>
    <x v="2"/>
    <n v="10"/>
    <n v="5"/>
    <n v="14"/>
    <n v="46.99"/>
    <x v="0"/>
    <x v="0"/>
    <x v="0"/>
  </r>
  <r>
    <s v="CA-2013-126158"/>
    <d v="2013-07-26T00:00:00"/>
    <d v="2013-08-01T00:00:00"/>
    <s v="SanjitChand@gmail.com"/>
    <x v="30"/>
    <x v="3"/>
    <x v="126"/>
    <n v="119.616"/>
    <n v="8"/>
    <n v="40.370399999999997"/>
    <x v="0"/>
    <n v="7"/>
    <x v="5"/>
    <n v="26"/>
    <n v="6"/>
    <n v="33.75"/>
    <n v="14.952"/>
    <x v="0"/>
    <x v="0"/>
    <x v="0"/>
  </r>
  <r>
    <s v="CA-2013-126158"/>
    <d v="2013-07-26T00:00:00"/>
    <d v="2013-08-01T00:00:00"/>
    <s v="SanjitChand@gmail.com"/>
    <x v="30"/>
    <x v="1"/>
    <x v="127"/>
    <n v="255.76"/>
    <n v="4"/>
    <n v="81.843199999999996"/>
    <x v="0"/>
    <n v="7"/>
    <x v="5"/>
    <n v="26"/>
    <n v="6"/>
    <n v="32"/>
    <n v="63.94"/>
    <x v="0"/>
    <x v="0"/>
    <x v="1"/>
  </r>
  <r>
    <s v="CA-2013-126158"/>
    <d v="2013-07-26T00:00:00"/>
    <d v="2013-08-01T00:00:00"/>
    <s v="SanjitChand@gmail.com"/>
    <x v="30"/>
    <x v="9"/>
    <x v="128"/>
    <n v="241.56800000000001"/>
    <n v="2"/>
    <n v="18.117599999999999"/>
    <x v="0"/>
    <n v="7"/>
    <x v="5"/>
    <n v="26"/>
    <n v="6"/>
    <n v="7.5"/>
    <n v="120.78400000000001"/>
    <x v="0"/>
    <x v="0"/>
    <x v="1"/>
  </r>
  <r>
    <s v="CA-2013-126158"/>
    <d v="2013-07-26T00:00:00"/>
    <d v="2013-08-01T00:00:00"/>
    <s v="SanjitChand@gmail.com"/>
    <x v="30"/>
    <x v="1"/>
    <x v="129"/>
    <n v="69.3"/>
    <n v="9"/>
    <n v="22.869"/>
    <x v="0"/>
    <n v="7"/>
    <x v="5"/>
    <n v="26"/>
    <n v="6"/>
    <n v="33"/>
    <n v="7.6999999999999993"/>
    <x v="0"/>
    <x v="0"/>
    <x v="0"/>
  </r>
  <r>
    <s v="US-2013-105578"/>
    <d v="2013-05-31T00:00:00"/>
    <d v="2013-06-05T00:00:00"/>
    <s v="MaribethYedwab@gmail.com"/>
    <x v="31"/>
    <x v="3"/>
    <x v="130"/>
    <n v="22.62"/>
    <n v="2"/>
    <n v="-15.08"/>
    <x v="0"/>
    <n v="5"/>
    <x v="2"/>
    <n v="31"/>
    <n v="5"/>
    <n v="-66.67"/>
    <n v="11.31"/>
    <x v="0"/>
    <x v="1"/>
    <x v="0"/>
  </r>
  <r>
    <s v="US-2013-105578"/>
    <d v="2013-05-31T00:00:00"/>
    <d v="2013-06-05T00:00:00"/>
    <s v="MaribethYedwab@gmail.com"/>
    <x v="31"/>
    <x v="3"/>
    <x v="131"/>
    <n v="14.952"/>
    <n v="2"/>
    <n v="-11.961600000000001"/>
    <x v="0"/>
    <n v="5"/>
    <x v="2"/>
    <n v="31"/>
    <n v="5"/>
    <n v="-80"/>
    <n v="7.476"/>
    <x v="0"/>
    <x v="1"/>
    <x v="0"/>
  </r>
  <r>
    <s v="US-2013-105578"/>
    <d v="2013-05-31T00:00:00"/>
    <d v="2013-06-05T00:00:00"/>
    <s v="MaribethYedwab@gmail.com"/>
    <x v="31"/>
    <x v="3"/>
    <x v="132"/>
    <n v="2.3759999999999999"/>
    <n v="3"/>
    <n v="-1.9008"/>
    <x v="0"/>
    <n v="5"/>
    <x v="2"/>
    <n v="31"/>
    <n v="5"/>
    <n v="-80"/>
    <n v="0.79199999999999993"/>
    <x v="0"/>
    <x v="1"/>
    <x v="0"/>
  </r>
  <r>
    <s v="US-2013-105578"/>
    <d v="2013-05-31T00:00:00"/>
    <d v="2013-06-05T00:00:00"/>
    <s v="MaribethYedwab@gmail.com"/>
    <x v="31"/>
    <x v="8"/>
    <x v="133"/>
    <n v="32.792000000000002"/>
    <n v="1"/>
    <n v="11.8871"/>
    <x v="0"/>
    <n v="5"/>
    <x v="2"/>
    <n v="31"/>
    <n v="5"/>
    <n v="36.25"/>
    <n v="32.792000000000002"/>
    <x v="0"/>
    <x v="0"/>
    <x v="0"/>
  </r>
  <r>
    <s v="CA-2014-163405"/>
    <d v="2014-12-22T00:00:00"/>
    <d v="2014-12-26T00:00:00"/>
    <s v="BradleyNguyen@gmail.com"/>
    <x v="0"/>
    <x v="2"/>
    <x v="134"/>
    <n v="6.63"/>
    <n v="3"/>
    <n v="1.7901"/>
    <x v="3"/>
    <n v="12"/>
    <x v="1"/>
    <n v="22"/>
    <n v="4"/>
    <n v="27"/>
    <n v="2.21"/>
    <x v="0"/>
    <x v="0"/>
    <x v="0"/>
  </r>
  <r>
    <s v="CA-2014-163405"/>
    <d v="2014-12-22T00:00:00"/>
    <d v="2014-12-26T00:00:00"/>
    <s v="BradleyNguyen@gmail.com"/>
    <x v="0"/>
    <x v="2"/>
    <x v="135"/>
    <n v="5.88"/>
    <n v="2"/>
    <n v="1.7052"/>
    <x v="3"/>
    <n v="12"/>
    <x v="1"/>
    <n v="22"/>
    <n v="4"/>
    <n v="29"/>
    <n v="2.94"/>
    <x v="0"/>
    <x v="0"/>
    <x v="0"/>
  </r>
  <r>
    <s v="CA-2014-127432"/>
    <d v="2014-01-23T00:00:00"/>
    <d v="2014-01-28T00:00:00"/>
    <s v="AlanDominguez@gmail.com"/>
    <x v="32"/>
    <x v="5"/>
    <x v="136"/>
    <n v="51.45"/>
    <n v="3"/>
    <n v="13.891500000000001"/>
    <x v="3"/>
    <n v="1"/>
    <x v="4"/>
    <n v="23"/>
    <n v="5"/>
    <n v="27"/>
    <n v="17.149999999999999"/>
    <x v="0"/>
    <x v="0"/>
    <x v="0"/>
  </r>
  <r>
    <s v="CA-2014-127432"/>
    <d v="2014-01-23T00:00:00"/>
    <d v="2014-01-28T00:00:00"/>
    <s v="AlanDominguez@gmail.com"/>
    <x v="32"/>
    <x v="8"/>
    <x v="137"/>
    <n v="11.96"/>
    <n v="2"/>
    <n v="5.3819999999999997"/>
    <x v="3"/>
    <n v="1"/>
    <x v="4"/>
    <n v="23"/>
    <n v="5"/>
    <n v="45"/>
    <n v="5.98"/>
    <x v="0"/>
    <x v="0"/>
    <x v="0"/>
  </r>
  <r>
    <s v="US-2013-139486"/>
    <d v="2013-05-22T00:00:00"/>
    <d v="2013-05-24T00:00:00"/>
    <s v="LoganHaushalter@gmail.com"/>
    <x v="0"/>
    <x v="6"/>
    <x v="138"/>
    <n v="55.176000000000002"/>
    <n v="3"/>
    <n v="-12.4146"/>
    <x v="0"/>
    <n v="5"/>
    <x v="2"/>
    <n v="22"/>
    <n v="2"/>
    <n v="-22.5"/>
    <n v="18.391999999999999"/>
    <x v="0"/>
    <x v="1"/>
    <x v="0"/>
  </r>
  <r>
    <s v="US-2013-139486"/>
    <d v="2013-05-22T00:00:00"/>
    <d v="2013-05-24T00:00:00"/>
    <s v="LoganHaushalter@gmail.com"/>
    <x v="0"/>
    <x v="7"/>
    <x v="139"/>
    <n v="66.260000000000005"/>
    <n v="2"/>
    <n v="27.166599999999999"/>
    <x v="0"/>
    <n v="5"/>
    <x v="2"/>
    <n v="22"/>
    <n v="2"/>
    <n v="41"/>
    <n v="33.130000000000003"/>
    <x v="0"/>
    <x v="0"/>
    <x v="0"/>
  </r>
  <r>
    <s v="CA-2012-102848"/>
    <d v="2012-11-07T00:00:00"/>
    <d v="2012-11-09T00:00:00"/>
    <s v="KarenBern@gmail.com"/>
    <x v="0"/>
    <x v="9"/>
    <x v="140"/>
    <n v="190.72"/>
    <n v="1"/>
    <n v="11.92"/>
    <x v="2"/>
    <n v="11"/>
    <x v="6"/>
    <n v="7"/>
    <n v="2"/>
    <n v="6.25"/>
    <n v="190.72"/>
    <x v="0"/>
    <x v="0"/>
    <x v="0"/>
  </r>
  <r>
    <s v="US-2014-129441"/>
    <d v="2014-09-08T00:00:00"/>
    <d v="2014-09-12T00:00:00"/>
    <s v="JasperCacioppo@gmail.com"/>
    <x v="0"/>
    <x v="1"/>
    <x v="141"/>
    <n v="47.94"/>
    <n v="3"/>
    <n v="2.3969999999999998"/>
    <x v="3"/>
    <n v="9"/>
    <x v="8"/>
    <n v="8"/>
    <n v="4"/>
    <n v="5"/>
    <n v="15.98"/>
    <x v="0"/>
    <x v="0"/>
    <x v="0"/>
  </r>
  <r>
    <s v="CA-2013-126613"/>
    <d v="2013-07-11T00:00:00"/>
    <d v="2013-07-17T00:00:00"/>
    <s v="AllenArmold@gmail.com"/>
    <x v="33"/>
    <x v="5"/>
    <x v="142"/>
    <n v="16.768000000000001"/>
    <n v="2"/>
    <n v="1.4672000000000001"/>
    <x v="0"/>
    <n v="7"/>
    <x v="5"/>
    <n v="11"/>
    <n v="6"/>
    <n v="8.75"/>
    <n v="8.3840000000000003"/>
    <x v="0"/>
    <x v="0"/>
    <x v="0"/>
  </r>
  <r>
    <s v="CA-2013-136924"/>
    <d v="2013-07-15T00:00:00"/>
    <d v="2013-07-18T00:00:00"/>
    <s v="ErinSmith@gmail.com"/>
    <x v="24"/>
    <x v="6"/>
    <x v="143"/>
    <n v="380.86399999999998"/>
    <n v="8"/>
    <n v="38.086399999999998"/>
    <x v="0"/>
    <n v="7"/>
    <x v="5"/>
    <n v="15"/>
    <n v="3"/>
    <n v="10"/>
    <n v="47.607999999999997"/>
    <x v="0"/>
    <x v="0"/>
    <x v="1"/>
  </r>
  <r>
    <s v="CA-2013-113243"/>
    <d v="2013-06-11T00:00:00"/>
    <d v="2013-06-16T00:00:00"/>
    <s v="OlveraToch@gmail.com"/>
    <x v="0"/>
    <x v="0"/>
    <x v="144"/>
    <n v="20.7"/>
    <n v="2"/>
    <n v="9.9359999999999999"/>
    <x v="0"/>
    <n v="6"/>
    <x v="0"/>
    <n v="11"/>
    <n v="5"/>
    <n v="48"/>
    <n v="10.35"/>
    <x v="0"/>
    <x v="0"/>
    <x v="0"/>
  </r>
  <r>
    <s v="CA-2013-113243"/>
    <d v="2013-06-11T00:00:00"/>
    <d v="2013-06-16T00:00:00"/>
    <s v="OlveraToch@gmail.com"/>
    <x v="0"/>
    <x v="8"/>
    <x v="145"/>
    <n v="32.4"/>
    <n v="5"/>
    <n v="15.552"/>
    <x v="0"/>
    <n v="6"/>
    <x v="0"/>
    <n v="11"/>
    <n v="5"/>
    <n v="48"/>
    <n v="6.48"/>
    <x v="0"/>
    <x v="0"/>
    <x v="0"/>
  </r>
  <r>
    <s v="CA-2014-118731"/>
    <d v="2014-11-21T00:00:00"/>
    <d v="2014-11-23T00:00:00"/>
    <s v="LizPelletier@gmail.com"/>
    <x v="3"/>
    <x v="1"/>
    <x v="146"/>
    <n v="42.6"/>
    <n v="3"/>
    <n v="16.614000000000001"/>
    <x v="3"/>
    <n v="11"/>
    <x v="6"/>
    <n v="21"/>
    <n v="2"/>
    <n v="39"/>
    <n v="14.2"/>
    <x v="0"/>
    <x v="0"/>
    <x v="0"/>
  </r>
  <r>
    <s v="CA-2014-118731"/>
    <d v="2014-11-21T00:00:00"/>
    <d v="2014-11-23T00:00:00"/>
    <s v="LizPelletier@gmail.com"/>
    <x v="3"/>
    <x v="3"/>
    <x v="147"/>
    <n v="84.055999999999997"/>
    <n v="7"/>
    <n v="27.318200000000001"/>
    <x v="3"/>
    <n v="11"/>
    <x v="6"/>
    <n v="21"/>
    <n v="2"/>
    <n v="32.5"/>
    <n v="12.007999999999999"/>
    <x v="0"/>
    <x v="0"/>
    <x v="0"/>
  </r>
  <r>
    <s v="CA-2012-130736"/>
    <d v="2012-12-07T00:00:00"/>
    <d v="2012-12-09T00:00:00"/>
    <s v="JeremyFarry@gmail.com"/>
    <x v="1"/>
    <x v="10"/>
    <x v="148"/>
    <n v="3.96"/>
    <n v="2"/>
    <n v="0"/>
    <x v="2"/>
    <n v="12"/>
    <x v="1"/>
    <n v="7"/>
    <n v="2"/>
    <n v="0"/>
    <n v="1.98"/>
    <x v="0"/>
    <x v="0"/>
    <x v="0"/>
  </r>
  <r>
    <s v="CA-2012-130736"/>
    <d v="2012-12-07T00:00:00"/>
    <d v="2012-12-09T00:00:00"/>
    <s v="JeremyFarry@gmail.com"/>
    <x v="1"/>
    <x v="0"/>
    <x v="81"/>
    <n v="2.61"/>
    <n v="1"/>
    <n v="1.2005999999999999"/>
    <x v="2"/>
    <n v="12"/>
    <x v="1"/>
    <n v="7"/>
    <n v="2"/>
    <n v="46"/>
    <n v="2.61"/>
    <x v="0"/>
    <x v="0"/>
    <x v="0"/>
  </r>
  <r>
    <s v="CA-2014-137099"/>
    <d v="2014-12-08T00:00:00"/>
    <d v="2014-12-11T00:00:00"/>
    <s v="FrankPreis@gmail.com"/>
    <x v="0"/>
    <x v="6"/>
    <x v="149"/>
    <n v="374.37599999999998"/>
    <n v="3"/>
    <n v="46.796999999999997"/>
    <x v="3"/>
    <n v="12"/>
    <x v="1"/>
    <n v="8"/>
    <n v="3"/>
    <n v="12.5"/>
    <n v="124.792"/>
    <x v="0"/>
    <x v="0"/>
    <x v="1"/>
  </r>
  <r>
    <s v="CA-2014-156951"/>
    <d v="2014-10-02T00:00:00"/>
    <d v="2014-10-09T00:00:00"/>
    <s v="EllisBallard@gmail.com"/>
    <x v="1"/>
    <x v="8"/>
    <x v="150"/>
    <n v="91.84"/>
    <n v="8"/>
    <n v="45.001600000000003"/>
    <x v="3"/>
    <n v="10"/>
    <x v="7"/>
    <n v="2"/>
    <n v="7"/>
    <n v="49"/>
    <n v="11.48"/>
    <x v="0"/>
    <x v="0"/>
    <x v="0"/>
  </r>
  <r>
    <s v="CA-2014-156951"/>
    <d v="2014-10-02T00:00:00"/>
    <d v="2014-10-09T00:00:00"/>
    <s v="EllisBallard@gmail.com"/>
    <x v="1"/>
    <x v="3"/>
    <x v="151"/>
    <n v="81.087999999999994"/>
    <n v="7"/>
    <n v="27.3672"/>
    <x v="3"/>
    <n v="10"/>
    <x v="7"/>
    <n v="2"/>
    <n v="7"/>
    <n v="33.75"/>
    <n v="11.584"/>
    <x v="0"/>
    <x v="0"/>
    <x v="0"/>
  </r>
  <r>
    <s v="CA-2014-156951"/>
    <d v="2014-10-02T00:00:00"/>
    <d v="2014-10-09T00:00:00"/>
    <s v="EllisBallard@gmail.com"/>
    <x v="1"/>
    <x v="8"/>
    <x v="152"/>
    <n v="19.440000000000001"/>
    <n v="3"/>
    <n v="9.3312000000000008"/>
    <x v="3"/>
    <n v="10"/>
    <x v="7"/>
    <n v="2"/>
    <n v="7"/>
    <n v="48"/>
    <n v="6.48"/>
    <x v="0"/>
    <x v="0"/>
    <x v="0"/>
  </r>
  <r>
    <s v="CA-2014-156951"/>
    <d v="2014-10-02T00:00:00"/>
    <d v="2014-10-09T00:00:00"/>
    <s v="EllisBallard@gmail.com"/>
    <x v="1"/>
    <x v="9"/>
    <x v="153"/>
    <n v="451.15199999999999"/>
    <n v="3"/>
    <n v="0"/>
    <x v="3"/>
    <n v="10"/>
    <x v="7"/>
    <n v="2"/>
    <n v="7"/>
    <n v="0"/>
    <n v="150.38399999999999"/>
    <x v="0"/>
    <x v="0"/>
    <x v="1"/>
  </r>
  <r>
    <s v="CA-2013-127250"/>
    <d v="2013-11-04T00:00:00"/>
    <d v="2013-11-08T00:00:00"/>
    <s v="SarahFoster@gmail.com"/>
    <x v="34"/>
    <x v="2"/>
    <x v="154"/>
    <n v="8.82"/>
    <n v="3"/>
    <n v="2.3814000000000002"/>
    <x v="0"/>
    <n v="11"/>
    <x v="6"/>
    <n v="4"/>
    <n v="4"/>
    <n v="27"/>
    <n v="2.94"/>
    <x v="0"/>
    <x v="0"/>
    <x v="0"/>
  </r>
  <r>
    <s v="CA-2012-149713"/>
    <d v="2012-09-18T00:00:00"/>
    <d v="2012-09-22T00:00:00"/>
    <s v="TrudyGlocke@gmail.com"/>
    <x v="21"/>
    <x v="8"/>
    <x v="150"/>
    <n v="160.72"/>
    <n v="14"/>
    <n v="78.752799999999993"/>
    <x v="2"/>
    <n v="9"/>
    <x v="8"/>
    <n v="18"/>
    <n v="4"/>
    <n v="49"/>
    <n v="11.48"/>
    <x v="0"/>
    <x v="0"/>
    <x v="0"/>
  </r>
  <r>
    <s v="CA-2012-149713"/>
    <d v="2012-09-18T00:00:00"/>
    <d v="2012-09-22T00:00:00"/>
    <s v="TrudyGlocke@gmail.com"/>
    <x v="21"/>
    <x v="8"/>
    <x v="155"/>
    <n v="19.920000000000002"/>
    <n v="4"/>
    <n v="9.7607999999999997"/>
    <x v="2"/>
    <n v="9"/>
    <x v="8"/>
    <n v="18"/>
    <n v="4"/>
    <n v="49"/>
    <n v="4.9800000000000004"/>
    <x v="0"/>
    <x v="0"/>
    <x v="0"/>
  </r>
  <r>
    <s v="CA-2012-149713"/>
    <d v="2012-09-18T00:00:00"/>
    <d v="2012-09-22T00:00:00"/>
    <s v="TrudyGlocke@gmail.com"/>
    <x v="21"/>
    <x v="11"/>
    <x v="156"/>
    <n v="7.3"/>
    <n v="2"/>
    <n v="2.19"/>
    <x v="2"/>
    <n v="9"/>
    <x v="8"/>
    <n v="18"/>
    <n v="4"/>
    <n v="30"/>
    <n v="3.65"/>
    <x v="0"/>
    <x v="0"/>
    <x v="0"/>
  </r>
  <r>
    <s v="CA-2012-132906"/>
    <d v="2012-09-10T00:00:00"/>
    <d v="2012-09-14T00:00:00"/>
    <s v="CharlesCrestani@gmail.com"/>
    <x v="0"/>
    <x v="11"/>
    <x v="157"/>
    <n v="51.52"/>
    <n v="4"/>
    <n v="1.5456000000000001"/>
    <x v="2"/>
    <n v="9"/>
    <x v="8"/>
    <n v="10"/>
    <n v="4"/>
    <n v="3"/>
    <n v="12.88"/>
    <x v="0"/>
    <x v="0"/>
    <x v="0"/>
  </r>
  <r>
    <s v="CA-2014-145233"/>
    <d v="2014-12-02T00:00:00"/>
    <d v="2014-12-06T00:00:00"/>
    <s v="DiannaVittorini@gmail.com"/>
    <x v="13"/>
    <x v="6"/>
    <x v="158"/>
    <n v="470.37599999999998"/>
    <n v="3"/>
    <n v="52.917299999999997"/>
    <x v="3"/>
    <n v="12"/>
    <x v="1"/>
    <n v="2"/>
    <n v="4"/>
    <n v="11.25"/>
    <n v="156.792"/>
    <x v="0"/>
    <x v="0"/>
    <x v="1"/>
  </r>
  <r>
    <s v="CA-2014-145233"/>
    <d v="2014-12-02T00:00:00"/>
    <d v="2014-12-06T00:00:00"/>
    <s v="DiannaVittorini@gmail.com"/>
    <x v="13"/>
    <x v="6"/>
    <x v="159"/>
    <n v="105.584"/>
    <n v="2"/>
    <n v="9.2385999999999999"/>
    <x v="3"/>
    <n v="12"/>
    <x v="1"/>
    <n v="2"/>
    <n v="4"/>
    <n v="8.75"/>
    <n v="52.792000000000002"/>
    <x v="0"/>
    <x v="0"/>
    <x v="0"/>
  </r>
  <r>
    <s v="CA-2014-145233"/>
    <d v="2014-12-02T00:00:00"/>
    <d v="2014-12-06T00:00:00"/>
    <s v="DiannaVittorini@gmail.com"/>
    <x v="13"/>
    <x v="4"/>
    <x v="160"/>
    <n v="31.152000000000001"/>
    <n v="3"/>
    <n v="3.5045999999999999"/>
    <x v="3"/>
    <n v="12"/>
    <x v="1"/>
    <n v="2"/>
    <n v="4"/>
    <n v="11.25"/>
    <n v="10.384"/>
    <x v="0"/>
    <x v="0"/>
    <x v="0"/>
  </r>
  <r>
    <s v="CA-2014-145233"/>
    <d v="2014-12-02T00:00:00"/>
    <d v="2014-12-06T00:00:00"/>
    <s v="DiannaVittorini@gmail.com"/>
    <x v="13"/>
    <x v="3"/>
    <x v="161"/>
    <n v="6.7830000000000004"/>
    <n v="7"/>
    <n v="-4.7481"/>
    <x v="3"/>
    <n v="12"/>
    <x v="1"/>
    <n v="2"/>
    <n v="4"/>
    <n v="-70"/>
    <n v="0.96900000000000008"/>
    <x v="0"/>
    <x v="1"/>
    <x v="0"/>
  </r>
  <r>
    <s v="CA-2014-145233"/>
    <d v="2014-12-02T00:00:00"/>
    <d v="2014-12-06T00:00:00"/>
    <s v="DiannaVittorini@gmail.com"/>
    <x v="13"/>
    <x v="6"/>
    <x v="43"/>
    <n v="406.36799999999999"/>
    <n v="4"/>
    <n v="30.477599999999999"/>
    <x v="3"/>
    <n v="12"/>
    <x v="1"/>
    <n v="2"/>
    <n v="4"/>
    <n v="7.5"/>
    <n v="101.592"/>
    <x v="0"/>
    <x v="0"/>
    <x v="1"/>
  </r>
  <r>
    <s v="US-2013-156986"/>
    <d v="2013-03-21T00:00:00"/>
    <d v="2013-03-25T00:00:00"/>
    <s v="ZuschussCarroll@gmail.com"/>
    <x v="35"/>
    <x v="6"/>
    <x v="162"/>
    <n v="84.784000000000006"/>
    <n v="2"/>
    <n v="-20.136199999999999"/>
    <x v="0"/>
    <n v="3"/>
    <x v="9"/>
    <n v="21"/>
    <n v="4"/>
    <n v="-23.75"/>
    <n v="42.392000000000003"/>
    <x v="0"/>
    <x v="1"/>
    <x v="0"/>
  </r>
  <r>
    <s v="US-2013-156986"/>
    <d v="2013-03-21T00:00:00"/>
    <d v="2013-03-25T00:00:00"/>
    <s v="ZuschussCarroll@gmail.com"/>
    <x v="35"/>
    <x v="8"/>
    <x v="163"/>
    <n v="20.736000000000001"/>
    <n v="4"/>
    <n v="7.2576000000000001"/>
    <x v="0"/>
    <n v="3"/>
    <x v="9"/>
    <n v="21"/>
    <n v="4"/>
    <n v="35"/>
    <n v="5.1840000000000002"/>
    <x v="0"/>
    <x v="0"/>
    <x v="0"/>
  </r>
  <r>
    <s v="US-2013-156986"/>
    <d v="2013-03-21T00:00:00"/>
    <d v="2013-03-25T00:00:00"/>
    <s v="ZuschussCarroll@gmail.com"/>
    <x v="35"/>
    <x v="3"/>
    <x v="126"/>
    <n v="16.821000000000002"/>
    <n v="3"/>
    <n v="-12.896100000000001"/>
    <x v="0"/>
    <n v="3"/>
    <x v="9"/>
    <n v="21"/>
    <n v="4"/>
    <n v="-76.67"/>
    <n v="5.6070000000000002"/>
    <x v="0"/>
    <x v="1"/>
    <x v="0"/>
  </r>
  <r>
    <s v="US-2013-156986"/>
    <d v="2013-03-21T00:00:00"/>
    <d v="2013-03-25T00:00:00"/>
    <s v="ZuschussCarroll@gmail.com"/>
    <x v="35"/>
    <x v="8"/>
    <x v="164"/>
    <n v="10.368"/>
    <n v="2"/>
    <n v="3.6288"/>
    <x v="0"/>
    <n v="3"/>
    <x v="9"/>
    <n v="21"/>
    <n v="4"/>
    <n v="35"/>
    <n v="5.1840000000000002"/>
    <x v="0"/>
    <x v="0"/>
    <x v="0"/>
  </r>
  <r>
    <s v="CA-2011-131450"/>
    <d v="2011-08-08T00:00:00"/>
    <d v="2011-08-15T00:00:00"/>
    <s v="LenaRadford@gmail.com"/>
    <x v="16"/>
    <x v="4"/>
    <x v="165"/>
    <n v="76.12"/>
    <n v="2"/>
    <n v="22.0748"/>
    <x v="1"/>
    <n v="8"/>
    <x v="3"/>
    <n v="8"/>
    <n v="7"/>
    <n v="29"/>
    <n v="38.06"/>
    <x v="0"/>
    <x v="0"/>
    <x v="0"/>
  </r>
  <r>
    <s v="CA-2011-131450"/>
    <d v="2011-08-08T00:00:00"/>
    <d v="2011-08-15T00:00:00"/>
    <s v="LenaRadford@gmail.com"/>
    <x v="16"/>
    <x v="6"/>
    <x v="166"/>
    <n v="445.96"/>
    <n v="5"/>
    <n v="55.744999999999997"/>
    <x v="1"/>
    <n v="8"/>
    <x v="3"/>
    <n v="8"/>
    <n v="7"/>
    <n v="12.5"/>
    <n v="89.191999999999993"/>
    <x v="0"/>
    <x v="0"/>
    <x v="1"/>
  </r>
  <r>
    <s v="CA-2011-131450"/>
    <d v="2011-08-08T00:00:00"/>
    <d v="2011-08-15T00:00:00"/>
    <s v="LenaRadford@gmail.com"/>
    <x v="16"/>
    <x v="1"/>
    <x v="167"/>
    <n v="327.76"/>
    <n v="8"/>
    <n v="91.772800000000004"/>
    <x v="1"/>
    <n v="8"/>
    <x v="3"/>
    <n v="8"/>
    <n v="7"/>
    <n v="28"/>
    <n v="40.97"/>
    <x v="0"/>
    <x v="0"/>
    <x v="1"/>
  </r>
  <r>
    <s v="CA-2014-153787"/>
    <d v="2014-05-20T00:00:00"/>
    <d v="2014-05-24T00:00:00"/>
    <s v="AnnieThurman@gmail.com"/>
    <x v="1"/>
    <x v="4"/>
    <x v="168"/>
    <n v="97.16"/>
    <n v="2"/>
    <n v="28.176400000000001"/>
    <x v="3"/>
    <n v="5"/>
    <x v="2"/>
    <n v="20"/>
    <n v="4"/>
    <n v="29"/>
    <n v="48.58"/>
    <x v="0"/>
    <x v="0"/>
    <x v="0"/>
  </r>
  <r>
    <s v="CA-2014-133431"/>
    <d v="2014-12-18T00:00:00"/>
    <d v="2014-12-22T00:00:00"/>
    <s v="LoganCurrie@gmail.com"/>
    <x v="3"/>
    <x v="3"/>
    <x v="169"/>
    <n v="15.24"/>
    <n v="5"/>
    <n v="5.1435000000000004"/>
    <x v="3"/>
    <n v="12"/>
    <x v="1"/>
    <n v="18"/>
    <n v="4"/>
    <n v="33.75"/>
    <n v="3.048"/>
    <x v="0"/>
    <x v="0"/>
    <x v="0"/>
  </r>
  <r>
    <s v="CA-2014-133431"/>
    <d v="2014-12-18T00:00:00"/>
    <d v="2014-12-22T00:00:00"/>
    <s v="LoganCurrie@gmail.com"/>
    <x v="3"/>
    <x v="8"/>
    <x v="69"/>
    <n v="13.23"/>
    <n v="3"/>
    <n v="6.0857999999999999"/>
    <x v="3"/>
    <n v="12"/>
    <x v="1"/>
    <n v="18"/>
    <n v="4"/>
    <n v="46"/>
    <n v="4.41"/>
    <x v="0"/>
    <x v="0"/>
    <x v="0"/>
  </r>
  <r>
    <s v="US-2013-135720"/>
    <d v="2013-12-12T00:00:00"/>
    <d v="2013-12-14T00:00:00"/>
    <s v="FredMcMath@gmail.com"/>
    <x v="6"/>
    <x v="5"/>
    <x v="170"/>
    <n v="243.38399999999999"/>
    <n v="3"/>
    <n v="-51.719099999999997"/>
    <x v="0"/>
    <n v="12"/>
    <x v="1"/>
    <n v="12"/>
    <n v="2"/>
    <n v="-21.25"/>
    <n v="81.128"/>
    <x v="0"/>
    <x v="1"/>
    <x v="1"/>
  </r>
  <r>
    <s v="US-2013-135720"/>
    <d v="2013-12-12T00:00:00"/>
    <d v="2013-12-14T00:00:00"/>
    <s v="FredMcMath@gmail.com"/>
    <x v="6"/>
    <x v="7"/>
    <x v="171"/>
    <n v="119.8"/>
    <n v="5"/>
    <n v="29.95"/>
    <x v="0"/>
    <n v="12"/>
    <x v="1"/>
    <n v="12"/>
    <n v="2"/>
    <n v="25"/>
    <n v="23.96"/>
    <x v="0"/>
    <x v="0"/>
    <x v="0"/>
  </r>
  <r>
    <s v="US-2013-135720"/>
    <d v="2013-12-12T00:00:00"/>
    <d v="2013-12-14T00:00:00"/>
    <s v="FredMcMath@gmail.com"/>
    <x v="6"/>
    <x v="6"/>
    <x v="172"/>
    <n v="300.76799999999997"/>
    <n v="4"/>
    <n v="30.076799999999999"/>
    <x v="0"/>
    <n v="12"/>
    <x v="1"/>
    <n v="12"/>
    <n v="2"/>
    <n v="10"/>
    <n v="75.191999999999993"/>
    <x v="0"/>
    <x v="0"/>
    <x v="1"/>
  </r>
  <r>
    <s v="US-2013-123470"/>
    <d v="2013-08-16T00:00:00"/>
    <d v="2013-08-22T00:00:00"/>
    <s v="MaxEngle@gmail.com"/>
    <x v="6"/>
    <x v="3"/>
    <x v="173"/>
    <n v="18.882000000000001"/>
    <n v="3"/>
    <n v="-13.8468"/>
    <x v="0"/>
    <n v="8"/>
    <x v="3"/>
    <n v="16"/>
    <n v="6"/>
    <n v="-73.33"/>
    <n v="6.2939999999999996"/>
    <x v="0"/>
    <x v="1"/>
    <x v="0"/>
  </r>
  <r>
    <s v="US-2013-123470"/>
    <d v="2013-08-16T00:00:00"/>
    <d v="2013-08-22T00:00:00"/>
    <s v="MaxEngle@gmail.com"/>
    <x v="6"/>
    <x v="4"/>
    <x v="174"/>
    <n v="122.328"/>
    <n v="3"/>
    <n v="12.232799999999999"/>
    <x v="0"/>
    <n v="8"/>
    <x v="3"/>
    <n v="16"/>
    <n v="6"/>
    <n v="10"/>
    <n v="40.776000000000003"/>
    <x v="0"/>
    <x v="0"/>
    <x v="0"/>
  </r>
  <r>
    <s v="CA-2013-115917"/>
    <d v="2013-05-21T00:00:00"/>
    <d v="2013-05-26T00:00:00"/>
    <s v="RickBensley@gmail.com"/>
    <x v="36"/>
    <x v="3"/>
    <x v="175"/>
    <n v="15.423999999999999"/>
    <n v="4"/>
    <n v="5.0128000000000004"/>
    <x v="0"/>
    <n v="5"/>
    <x v="2"/>
    <n v="21"/>
    <n v="5"/>
    <n v="32.5"/>
    <n v="3.8559999999999999"/>
    <x v="0"/>
    <x v="0"/>
    <x v="0"/>
  </r>
  <r>
    <s v="CA-2014-167913"/>
    <d v="2014-07-31T00:00:00"/>
    <d v="2014-08-04T00:00:00"/>
    <s v="JohnLee@gmail.com"/>
    <x v="37"/>
    <x v="5"/>
    <x v="176"/>
    <n v="330.4"/>
    <n v="2"/>
    <n v="85.903999999999996"/>
    <x v="3"/>
    <n v="7"/>
    <x v="5"/>
    <n v="31"/>
    <n v="4"/>
    <n v="26"/>
    <n v="165.2"/>
    <x v="0"/>
    <x v="0"/>
    <x v="1"/>
  </r>
  <r>
    <s v="CA-2014-167913"/>
    <d v="2014-07-31T00:00:00"/>
    <d v="2014-08-04T00:00:00"/>
    <s v="JohnLee@gmail.com"/>
    <x v="37"/>
    <x v="0"/>
    <x v="177"/>
    <n v="26.25"/>
    <n v="7"/>
    <n v="12.6"/>
    <x v="3"/>
    <n v="7"/>
    <x v="5"/>
    <n v="31"/>
    <n v="4"/>
    <n v="48"/>
    <n v="3.75"/>
    <x v="0"/>
    <x v="0"/>
    <x v="0"/>
  </r>
  <r>
    <s v="CA-2013-103947"/>
    <d v="2013-04-02T00:00:00"/>
    <d v="2013-04-09T00:00:00"/>
    <s v="BarryBlumstein@gmail.com"/>
    <x v="38"/>
    <x v="10"/>
    <x v="50"/>
    <n v="31.56"/>
    <n v="5"/>
    <n v="9.8625000000000007"/>
    <x v="0"/>
    <n v="4"/>
    <x v="10"/>
    <n v="2"/>
    <n v="7"/>
    <n v="31.25"/>
    <n v="6.3119999999999994"/>
    <x v="0"/>
    <x v="0"/>
    <x v="0"/>
  </r>
  <r>
    <s v="CA-2013-103947"/>
    <d v="2013-04-02T00:00:00"/>
    <d v="2013-04-09T00:00:00"/>
    <s v="BarryBlumstein@gmail.com"/>
    <x v="38"/>
    <x v="4"/>
    <x v="178"/>
    <n v="30.143999999999998"/>
    <n v="2"/>
    <n v="3.0144000000000002"/>
    <x v="0"/>
    <n v="4"/>
    <x v="10"/>
    <n v="2"/>
    <n v="7"/>
    <n v="10"/>
    <n v="15.071999999999999"/>
    <x v="0"/>
    <x v="0"/>
    <x v="0"/>
  </r>
  <r>
    <s v="CA-2013-160745"/>
    <d v="2013-12-12T00:00:00"/>
    <d v="2013-12-17T00:00:00"/>
    <s v="AnthonyRawles@gmail.com"/>
    <x v="39"/>
    <x v="1"/>
    <x v="179"/>
    <n v="14.8"/>
    <n v="4"/>
    <n v="6.0679999999999996"/>
    <x v="0"/>
    <n v="12"/>
    <x v="1"/>
    <n v="12"/>
    <n v="5"/>
    <n v="41"/>
    <n v="3.7"/>
    <x v="0"/>
    <x v="0"/>
    <x v="0"/>
  </r>
  <r>
    <s v="CA-2013-160745"/>
    <d v="2013-12-12T00:00:00"/>
    <d v="2013-12-17T00:00:00"/>
    <s v="AnthonyRawles@gmail.com"/>
    <x v="39"/>
    <x v="6"/>
    <x v="180"/>
    <n v="302.37599999999998"/>
    <n v="3"/>
    <n v="22.6782"/>
    <x v="0"/>
    <n v="12"/>
    <x v="1"/>
    <n v="12"/>
    <n v="5"/>
    <n v="7.5"/>
    <n v="100.792"/>
    <x v="0"/>
    <x v="0"/>
    <x v="1"/>
  </r>
  <r>
    <s v="CA-2013-160745"/>
    <d v="2013-12-12T00:00:00"/>
    <d v="2013-12-17T00:00:00"/>
    <s v="AnthonyRawles@gmail.com"/>
    <x v="39"/>
    <x v="7"/>
    <x v="181"/>
    <n v="316"/>
    <n v="4"/>
    <n v="31.6"/>
    <x v="0"/>
    <n v="12"/>
    <x v="1"/>
    <n v="12"/>
    <n v="5"/>
    <n v="10"/>
    <n v="79"/>
    <x v="0"/>
    <x v="0"/>
    <x v="1"/>
  </r>
  <r>
    <s v="CA-2012-131534"/>
    <d v="2012-03-28T00:00:00"/>
    <d v="2012-04-02T00:00:00"/>
    <s v="AlanBarnes@gmail.com"/>
    <x v="0"/>
    <x v="7"/>
    <x v="182"/>
    <n v="166.24"/>
    <n v="1"/>
    <n v="24.936"/>
    <x v="2"/>
    <n v="3"/>
    <x v="9"/>
    <n v="28"/>
    <n v="5"/>
    <n v="15"/>
    <n v="166.24"/>
    <x v="0"/>
    <x v="0"/>
    <x v="0"/>
  </r>
  <r>
    <s v="CA-2012-131534"/>
    <d v="2012-03-28T00:00:00"/>
    <d v="2012-04-02T00:00:00"/>
    <s v="AlanBarnes@gmail.com"/>
    <x v="0"/>
    <x v="8"/>
    <x v="183"/>
    <n v="33.4"/>
    <n v="5"/>
    <n v="16.032"/>
    <x v="2"/>
    <n v="3"/>
    <x v="9"/>
    <n v="28"/>
    <n v="5"/>
    <n v="48"/>
    <n v="6.68"/>
    <x v="0"/>
    <x v="0"/>
    <x v="0"/>
  </r>
  <r>
    <s v="CA-2013-163755"/>
    <d v="2013-11-05T00:00:00"/>
    <d v="2013-11-09T00:00:00"/>
    <s v="AlejandroSavely@gmail.com"/>
    <x v="1"/>
    <x v="1"/>
    <x v="184"/>
    <n v="209.88"/>
    <n v="3"/>
    <n v="35.679600000000001"/>
    <x v="0"/>
    <n v="11"/>
    <x v="6"/>
    <n v="5"/>
    <n v="4"/>
    <n v="17"/>
    <n v="69.959999999999994"/>
    <x v="0"/>
    <x v="0"/>
    <x v="0"/>
  </r>
  <r>
    <s v="CA-2012-142027"/>
    <d v="2012-04-09T00:00:00"/>
    <d v="2012-04-14T00:00:00"/>
    <s v="JayKimmel@gmail.com"/>
    <x v="21"/>
    <x v="13"/>
    <x v="185"/>
    <n v="369.91199999999998"/>
    <n v="3"/>
    <n v="-13.871700000000001"/>
    <x v="2"/>
    <n v="4"/>
    <x v="10"/>
    <n v="9"/>
    <n v="5"/>
    <n v="-3.75"/>
    <n v="123.304"/>
    <x v="0"/>
    <x v="1"/>
    <x v="1"/>
  </r>
  <r>
    <s v="CA-2011-153150"/>
    <d v="2011-07-01T00:00:00"/>
    <d v="2011-07-06T00:00:00"/>
    <s v="Dorrisliebe@gmail.com"/>
    <x v="1"/>
    <x v="3"/>
    <x v="186"/>
    <n v="19.920000000000002"/>
    <n v="5"/>
    <n v="6.9720000000000004"/>
    <x v="1"/>
    <n v="7"/>
    <x v="5"/>
    <n v="1"/>
    <n v="5"/>
    <n v="35"/>
    <n v="3.984"/>
    <x v="0"/>
    <x v="0"/>
    <x v="0"/>
  </r>
  <r>
    <s v="CA-2011-104472"/>
    <d v="2011-06-02T00:00:00"/>
    <d v="2011-06-07T00:00:00"/>
    <s v="ChristineKargatis@gmail.com"/>
    <x v="40"/>
    <x v="3"/>
    <x v="131"/>
    <n v="59.808"/>
    <n v="3"/>
    <n v="19.4376"/>
    <x v="1"/>
    <n v="6"/>
    <x v="0"/>
    <n v="2"/>
    <n v="5"/>
    <n v="32.5"/>
    <n v="19.936"/>
    <x v="0"/>
    <x v="0"/>
    <x v="0"/>
  </r>
  <r>
    <s v="CA-2011-104472"/>
    <d v="2011-06-02T00:00:00"/>
    <d v="2011-06-07T00:00:00"/>
    <s v="ChristineKargatis@gmail.com"/>
    <x v="40"/>
    <x v="1"/>
    <x v="187"/>
    <n v="73.319999999999993"/>
    <n v="6"/>
    <n v="21.995999999999999"/>
    <x v="1"/>
    <n v="6"/>
    <x v="0"/>
    <n v="2"/>
    <n v="5"/>
    <n v="30"/>
    <n v="12.22"/>
    <x v="0"/>
    <x v="0"/>
    <x v="0"/>
  </r>
  <r>
    <s v="CA-2013-112942"/>
    <d v="2013-02-13T00:00:00"/>
    <d v="2013-02-18T00:00:00"/>
    <s v="RossDeVincentis@gmail.com"/>
    <x v="0"/>
    <x v="8"/>
    <x v="188"/>
    <n v="146.82"/>
    <n v="3"/>
    <n v="73.41"/>
    <x v="0"/>
    <n v="2"/>
    <x v="11"/>
    <n v="13"/>
    <n v="5"/>
    <n v="50"/>
    <n v="48.94"/>
    <x v="1"/>
    <x v="0"/>
    <x v="0"/>
  </r>
  <r>
    <s v="CA-2014-131954"/>
    <d v="2014-01-22T00:00:00"/>
    <d v="2014-01-26T00:00:00"/>
    <s v="DarrinSayre@gmail.com"/>
    <x v="1"/>
    <x v="5"/>
    <x v="189"/>
    <n v="242.94"/>
    <n v="3"/>
    <n v="9.7175999999999991"/>
    <x v="3"/>
    <n v="1"/>
    <x v="4"/>
    <n v="22"/>
    <n v="4"/>
    <n v="4"/>
    <n v="80.98"/>
    <x v="0"/>
    <x v="0"/>
    <x v="1"/>
  </r>
  <r>
    <s v="CA-2014-131954"/>
    <d v="2014-01-22T00:00:00"/>
    <d v="2014-01-26T00:00:00"/>
    <s v="DarrinSayre@gmail.com"/>
    <x v="1"/>
    <x v="7"/>
    <x v="190"/>
    <n v="179.97"/>
    <n v="3"/>
    <n v="86.385599999999997"/>
    <x v="3"/>
    <n v="1"/>
    <x v="4"/>
    <n v="22"/>
    <n v="4"/>
    <n v="48"/>
    <n v="59.99"/>
    <x v="0"/>
    <x v="0"/>
    <x v="0"/>
  </r>
  <r>
    <s v="CA-2014-131954"/>
    <d v="2014-01-22T00:00:00"/>
    <d v="2014-01-26T00:00:00"/>
    <s v="DarrinSayre@gmail.com"/>
    <x v="1"/>
    <x v="3"/>
    <x v="191"/>
    <n v="99.695999999999998"/>
    <n v="6"/>
    <n v="33.647399999999998"/>
    <x v="3"/>
    <n v="1"/>
    <x v="4"/>
    <n v="22"/>
    <n v="4"/>
    <n v="33.75"/>
    <n v="16.616"/>
    <x v="0"/>
    <x v="0"/>
    <x v="0"/>
  </r>
  <r>
    <s v="CA-2014-131954"/>
    <d v="2014-01-22T00:00:00"/>
    <d v="2014-01-26T00:00:00"/>
    <s v="DarrinSayre@gmail.com"/>
    <x v="1"/>
    <x v="3"/>
    <x v="192"/>
    <n v="27.936"/>
    <n v="4"/>
    <n v="9.4283999999999999"/>
    <x v="3"/>
    <n v="1"/>
    <x v="4"/>
    <n v="22"/>
    <n v="4"/>
    <n v="33.75"/>
    <n v="6.984"/>
    <x v="0"/>
    <x v="0"/>
    <x v="0"/>
  </r>
  <r>
    <s v="CA-2014-131954"/>
    <d v="2014-01-22T00:00:00"/>
    <d v="2014-01-26T00:00:00"/>
    <s v="DarrinSayre@gmail.com"/>
    <x v="1"/>
    <x v="14"/>
    <x v="193"/>
    <n v="84.98"/>
    <n v="1"/>
    <n v="18.695599999999999"/>
    <x v="3"/>
    <n v="1"/>
    <x v="4"/>
    <n v="22"/>
    <n v="4"/>
    <n v="22"/>
    <n v="84.98"/>
    <x v="0"/>
    <x v="0"/>
    <x v="0"/>
  </r>
  <r>
    <s v="CA-2014-131954"/>
    <d v="2014-01-22T00:00:00"/>
    <d v="2014-01-26T00:00:00"/>
    <s v="DarrinSayre@gmail.com"/>
    <x v="1"/>
    <x v="3"/>
    <x v="194"/>
    <n v="18.72"/>
    <n v="5"/>
    <n v="6.5519999999999996"/>
    <x v="3"/>
    <n v="1"/>
    <x v="4"/>
    <n v="22"/>
    <n v="4"/>
    <n v="35"/>
    <n v="3.7440000000000002"/>
    <x v="0"/>
    <x v="0"/>
    <x v="0"/>
  </r>
  <r>
    <s v="CA-2011-132500"/>
    <d v="2011-09-08T00:00:00"/>
    <d v="2011-09-12T00:00:00"/>
    <s v="GaryZandusky@gmail.com"/>
    <x v="3"/>
    <x v="7"/>
    <x v="195"/>
    <n v="49.98"/>
    <n v="2"/>
    <n v="8.4966000000000008"/>
    <x v="1"/>
    <n v="9"/>
    <x v="8"/>
    <n v="8"/>
    <n v="4"/>
    <n v="17"/>
    <n v="24.99"/>
    <x v="0"/>
    <x v="0"/>
    <x v="0"/>
  </r>
  <r>
    <s v="CA-2011-124429"/>
    <d v="2011-05-27T00:00:00"/>
    <d v="2011-05-27T00:00:00"/>
    <s v="MayaHerman@gmail.com"/>
    <x v="16"/>
    <x v="5"/>
    <x v="196"/>
    <n v="359.32"/>
    <n v="4"/>
    <n v="7.1863999999999999"/>
    <x v="1"/>
    <n v="5"/>
    <x v="2"/>
    <n v="27"/>
    <n v="0"/>
    <n v="2"/>
    <n v="89.83"/>
    <x v="0"/>
    <x v="0"/>
    <x v="1"/>
  </r>
  <r>
    <s v="CA-2012-135272"/>
    <d v="2012-12-07T00:00:00"/>
    <d v="2012-12-12T00:00:00"/>
    <s v="MelanieSeite@gmail.com"/>
    <x v="0"/>
    <x v="1"/>
    <x v="197"/>
    <n v="79.92"/>
    <n v="4"/>
    <n v="28.7712"/>
    <x v="2"/>
    <n v="12"/>
    <x v="1"/>
    <n v="7"/>
    <n v="5"/>
    <n v="36"/>
    <n v="19.98"/>
    <x v="1"/>
    <x v="0"/>
    <x v="0"/>
  </r>
  <r>
    <s v="CA-2012-112319"/>
    <d v="2012-08-31T00:00:00"/>
    <d v="2012-09-05T00:00:00"/>
    <s v="AndrewRoberts@gmail.com"/>
    <x v="0"/>
    <x v="8"/>
    <x v="145"/>
    <n v="58.32"/>
    <n v="9"/>
    <n v="27.993600000000001"/>
    <x v="2"/>
    <n v="8"/>
    <x v="3"/>
    <n v="31"/>
    <n v="5"/>
    <n v="48"/>
    <n v="6.48"/>
    <x v="1"/>
    <x v="0"/>
    <x v="0"/>
  </r>
  <r>
    <s v="CA-2012-144267"/>
    <d v="2012-08-21T00:00:00"/>
    <d v="2012-08-23T00:00:00"/>
    <s v="NickZandusky@gmail.com"/>
    <x v="3"/>
    <x v="8"/>
    <x v="103"/>
    <n v="59.94"/>
    <n v="3"/>
    <n v="28.171800000000001"/>
    <x v="2"/>
    <n v="8"/>
    <x v="3"/>
    <n v="21"/>
    <n v="2"/>
    <n v="47"/>
    <n v="19.98"/>
    <x v="0"/>
    <x v="0"/>
    <x v="0"/>
  </r>
  <r>
    <s v="CA-2012-144267"/>
    <d v="2012-08-21T00:00:00"/>
    <d v="2012-08-23T00:00:00"/>
    <s v="NickZandusky@gmail.com"/>
    <x v="3"/>
    <x v="8"/>
    <x v="198"/>
    <n v="23.92"/>
    <n v="4"/>
    <n v="11.720800000000001"/>
    <x v="2"/>
    <n v="8"/>
    <x v="3"/>
    <n v="21"/>
    <n v="2"/>
    <n v="49"/>
    <n v="5.98"/>
    <x v="0"/>
    <x v="0"/>
    <x v="0"/>
  </r>
  <r>
    <s v="CA-2012-144267"/>
    <d v="2012-08-21T00:00:00"/>
    <d v="2012-08-23T00:00:00"/>
    <s v="NickZandusky@gmail.com"/>
    <x v="3"/>
    <x v="8"/>
    <x v="199"/>
    <n v="4.28"/>
    <n v="1"/>
    <n v="1.9259999999999999"/>
    <x v="2"/>
    <n v="8"/>
    <x v="3"/>
    <n v="21"/>
    <n v="2"/>
    <n v="45"/>
    <n v="4.28"/>
    <x v="0"/>
    <x v="0"/>
    <x v="0"/>
  </r>
  <r>
    <s v="CA-2014-129567"/>
    <d v="2014-03-18T00:00:00"/>
    <d v="2014-03-22T00:00:00"/>
    <s v="ClayLudtke@gmail.com"/>
    <x v="41"/>
    <x v="3"/>
    <x v="200"/>
    <n v="17.456"/>
    <n v="2"/>
    <n v="5.8914"/>
    <x v="3"/>
    <n v="3"/>
    <x v="9"/>
    <n v="18"/>
    <n v="4"/>
    <n v="33.75"/>
    <n v="8.7279999999999998"/>
    <x v="0"/>
    <x v="0"/>
    <x v="0"/>
  </r>
  <r>
    <s v="CA-2012-154620"/>
    <d v="2012-12-12T00:00:00"/>
    <d v="2012-12-16T00:00:00"/>
    <s v="LizThompson@gmail.com"/>
    <x v="41"/>
    <x v="9"/>
    <x v="201"/>
    <n v="348.928"/>
    <n v="2"/>
    <n v="34.892800000000001"/>
    <x v="2"/>
    <n v="12"/>
    <x v="1"/>
    <n v="12"/>
    <n v="4"/>
    <n v="10"/>
    <n v="174.464"/>
    <x v="0"/>
    <x v="0"/>
    <x v="1"/>
  </r>
  <r>
    <s v="CA-2011-156433"/>
    <d v="2011-09-20T00:00:00"/>
    <d v="2011-09-26T00:00:00"/>
    <s v="EricaSmith@gmail.com"/>
    <x v="3"/>
    <x v="0"/>
    <x v="202"/>
    <n v="9.9600000000000009"/>
    <n v="2"/>
    <n v="4.5815999999999999"/>
    <x v="1"/>
    <n v="9"/>
    <x v="8"/>
    <n v="20"/>
    <n v="6"/>
    <n v="46"/>
    <n v="4.9800000000000004"/>
    <x v="0"/>
    <x v="0"/>
    <x v="0"/>
  </r>
  <r>
    <s v="CA-2011-156433"/>
    <d v="2011-09-20T00:00:00"/>
    <d v="2011-09-26T00:00:00"/>
    <s v="EricaSmith@gmail.com"/>
    <x v="3"/>
    <x v="8"/>
    <x v="98"/>
    <n v="21.72"/>
    <n v="4"/>
    <n v="10.642799999999999"/>
    <x v="1"/>
    <n v="9"/>
    <x v="8"/>
    <n v="20"/>
    <n v="6"/>
    <n v="49"/>
    <n v="5.43"/>
    <x v="0"/>
    <x v="0"/>
    <x v="0"/>
  </r>
  <r>
    <s v="CA-2012-101910"/>
    <d v="2012-11-27T00:00:00"/>
    <d v="2012-12-03T00:00:00"/>
    <s v="CarlosDaly@gmail.com"/>
    <x v="42"/>
    <x v="9"/>
    <x v="203"/>
    <n v="283.92"/>
    <n v="5"/>
    <n v="17.745000000000001"/>
    <x v="2"/>
    <n v="11"/>
    <x v="6"/>
    <n v="27"/>
    <n v="6"/>
    <n v="6.25"/>
    <n v="56.784000000000013"/>
    <x v="0"/>
    <x v="0"/>
    <x v="1"/>
  </r>
  <r>
    <s v="CA-2014-105809"/>
    <d v="2014-02-21T00:00:00"/>
    <d v="2014-02-24T00:00:00"/>
    <s v="HelenWasserman@gmail.com"/>
    <x v="16"/>
    <x v="1"/>
    <x v="204"/>
    <n v="22.23"/>
    <n v="1"/>
    <n v="7.3358999999999996"/>
    <x v="3"/>
    <n v="2"/>
    <x v="11"/>
    <n v="21"/>
    <n v="3"/>
    <n v="33"/>
    <n v="22.23"/>
    <x v="0"/>
    <x v="0"/>
    <x v="0"/>
  </r>
  <r>
    <s v="CA-2014-105809"/>
    <d v="2014-02-21T00:00:00"/>
    <d v="2014-02-24T00:00:00"/>
    <s v="HelenWasserman@gmail.com"/>
    <x v="16"/>
    <x v="6"/>
    <x v="205"/>
    <n v="215.96799999999999"/>
    <n v="2"/>
    <n v="18.897200000000002"/>
    <x v="3"/>
    <n v="2"/>
    <x v="11"/>
    <n v="21"/>
    <n v="3"/>
    <n v="8.75"/>
    <n v="107.98399999999999"/>
    <x v="0"/>
    <x v="0"/>
    <x v="1"/>
  </r>
  <r>
    <s v="CA-2014-135783"/>
    <d v="2014-04-23T00:00:00"/>
    <d v="2014-04-25T00:00:00"/>
    <s v="GaryMcGarr@gmail.com"/>
    <x v="3"/>
    <x v="1"/>
    <x v="206"/>
    <n v="18.28"/>
    <n v="2"/>
    <n v="6.2152000000000003"/>
    <x v="3"/>
    <n v="4"/>
    <x v="10"/>
    <n v="23"/>
    <n v="2"/>
    <n v="34"/>
    <n v="9.14"/>
    <x v="0"/>
    <x v="0"/>
    <x v="0"/>
  </r>
  <r>
    <s v="CA-2011-134313"/>
    <d v="2011-11-01T00:00:00"/>
    <d v="2011-11-07T00:00:00"/>
    <s v="RussellApplegate@gmail.com"/>
    <x v="13"/>
    <x v="2"/>
    <x v="207"/>
    <n v="43.176000000000002"/>
    <n v="3"/>
    <n v="4.3175999999999997"/>
    <x v="1"/>
    <n v="11"/>
    <x v="6"/>
    <n v="1"/>
    <n v="6"/>
    <n v="10"/>
    <n v="14.391999999999999"/>
    <x v="0"/>
    <x v="0"/>
    <x v="0"/>
  </r>
  <r>
    <s v="CA-2011-151995"/>
    <d v="2011-10-13T00:00:00"/>
    <d v="2011-10-15T00:00:00"/>
    <s v="ZuschussCarroll@gmail.com"/>
    <x v="43"/>
    <x v="2"/>
    <x v="208"/>
    <n v="11.52"/>
    <n v="4"/>
    <n v="3.2256"/>
    <x v="1"/>
    <n v="10"/>
    <x v="7"/>
    <n v="13"/>
    <n v="2"/>
    <n v="28"/>
    <n v="2.88"/>
    <x v="0"/>
    <x v="0"/>
    <x v="0"/>
  </r>
  <r>
    <s v="CA-2011-151995"/>
    <d v="2011-10-13T00:00:00"/>
    <d v="2011-10-15T00:00:00"/>
    <s v="ZuschussCarroll@gmail.com"/>
    <x v="43"/>
    <x v="4"/>
    <x v="209"/>
    <n v="213.92"/>
    <n v="4"/>
    <n v="62.036799999999999"/>
    <x v="1"/>
    <n v="10"/>
    <x v="7"/>
    <n v="13"/>
    <n v="2"/>
    <n v="29"/>
    <n v="53.48"/>
    <x v="0"/>
    <x v="0"/>
    <x v="0"/>
  </r>
  <r>
    <s v="CA-2011-151995"/>
    <d v="2011-10-13T00:00:00"/>
    <d v="2011-10-15T00:00:00"/>
    <s v="ZuschussCarroll@gmail.com"/>
    <x v="43"/>
    <x v="7"/>
    <x v="210"/>
    <n v="25.78"/>
    <n v="2"/>
    <n v="2.5779999999999998"/>
    <x v="1"/>
    <n v="10"/>
    <x v="7"/>
    <n v="13"/>
    <n v="2"/>
    <n v="10"/>
    <n v="12.89"/>
    <x v="0"/>
    <x v="0"/>
    <x v="0"/>
  </r>
  <r>
    <s v="CA-2014-143686"/>
    <d v="2014-05-15T00:00:00"/>
    <d v="2014-05-15T00:00:00"/>
    <s v="PaulineJohnson@gmail.com"/>
    <x v="44"/>
    <x v="1"/>
    <x v="206"/>
    <n v="18.28"/>
    <n v="2"/>
    <n v="6.2152000000000003"/>
    <x v="3"/>
    <n v="5"/>
    <x v="2"/>
    <n v="15"/>
    <n v="0"/>
    <n v="34"/>
    <n v="9.14"/>
    <x v="0"/>
    <x v="0"/>
    <x v="0"/>
  </r>
  <r>
    <s v="US-2011-102071"/>
    <d v="2011-05-09T00:00:00"/>
    <d v="2011-05-15T00:00:00"/>
    <s v="PatrickGardner@gmail.com"/>
    <x v="3"/>
    <x v="7"/>
    <x v="211"/>
    <n v="67.8"/>
    <n v="4"/>
    <n v="4.0679999999999996"/>
    <x v="1"/>
    <n v="5"/>
    <x v="2"/>
    <n v="9"/>
    <n v="6"/>
    <n v="6"/>
    <n v="16.95"/>
    <x v="0"/>
    <x v="0"/>
    <x v="0"/>
  </r>
  <r>
    <s v="US-2011-102071"/>
    <d v="2011-05-09T00:00:00"/>
    <d v="2011-05-15T00:00:00"/>
    <s v="PatrickGardner@gmail.com"/>
    <x v="3"/>
    <x v="7"/>
    <x v="212"/>
    <n v="167.97"/>
    <n v="3"/>
    <n v="40.312800000000003"/>
    <x v="1"/>
    <n v="5"/>
    <x v="2"/>
    <n v="9"/>
    <n v="6"/>
    <n v="24"/>
    <n v="55.99"/>
    <x v="0"/>
    <x v="0"/>
    <x v="0"/>
  </r>
  <r>
    <s v="CA-2013-161669"/>
    <d v="2013-11-08T00:00:00"/>
    <d v="2013-11-10T00:00:00"/>
    <s v="EudokiaMartin@gmail.com"/>
    <x v="0"/>
    <x v="3"/>
    <x v="213"/>
    <n v="37.44"/>
    <n v="4"/>
    <n v="11.7"/>
    <x v="0"/>
    <n v="11"/>
    <x v="6"/>
    <n v="8"/>
    <n v="2"/>
    <n v="31.25"/>
    <n v="9.36"/>
    <x v="0"/>
    <x v="0"/>
    <x v="0"/>
  </r>
  <r>
    <s v="CA-2013-161669"/>
    <d v="2013-11-08T00:00:00"/>
    <d v="2013-11-10T00:00:00"/>
    <s v="EudokiaMartin@gmail.com"/>
    <x v="0"/>
    <x v="3"/>
    <x v="214"/>
    <n v="26.975999999999999"/>
    <n v="4"/>
    <n v="8.7672000000000008"/>
    <x v="0"/>
    <n v="11"/>
    <x v="6"/>
    <n v="8"/>
    <n v="2"/>
    <n v="32.5"/>
    <n v="6.7439999999999998"/>
    <x v="0"/>
    <x v="0"/>
    <x v="0"/>
  </r>
  <r>
    <s v="CA-2013-161669"/>
    <d v="2013-11-08T00:00:00"/>
    <d v="2013-11-10T00:00:00"/>
    <s v="EudokiaMartin@gmail.com"/>
    <x v="0"/>
    <x v="11"/>
    <x v="215"/>
    <n v="11.36"/>
    <n v="2"/>
    <n v="3.2944"/>
    <x v="0"/>
    <n v="11"/>
    <x v="6"/>
    <n v="8"/>
    <n v="2"/>
    <n v="29"/>
    <n v="5.68"/>
    <x v="0"/>
    <x v="0"/>
    <x v="0"/>
  </r>
  <r>
    <s v="CA-2013-161669"/>
    <d v="2013-11-08T00:00:00"/>
    <d v="2013-11-10T00:00:00"/>
    <s v="EudokiaMartin@gmail.com"/>
    <x v="0"/>
    <x v="0"/>
    <x v="216"/>
    <n v="14.62"/>
    <n v="2"/>
    <n v="6.8714000000000004"/>
    <x v="0"/>
    <n v="11"/>
    <x v="6"/>
    <n v="8"/>
    <n v="2"/>
    <n v="47"/>
    <n v="7.31"/>
    <x v="0"/>
    <x v="0"/>
    <x v="0"/>
  </r>
  <r>
    <s v="CA-2013-152534"/>
    <d v="2013-06-21T00:00:00"/>
    <d v="2013-06-26T00:00:00"/>
    <s v="DavePoirier@gmail.com"/>
    <x v="45"/>
    <x v="2"/>
    <x v="217"/>
    <n v="5.16"/>
    <n v="2"/>
    <n v="1.3415999999999999"/>
    <x v="0"/>
    <n v="6"/>
    <x v="0"/>
    <n v="21"/>
    <n v="5"/>
    <n v="26"/>
    <n v="2.58"/>
    <x v="0"/>
    <x v="0"/>
    <x v="0"/>
  </r>
  <r>
    <s v="CA-2013-152534"/>
    <d v="2013-06-21T00:00:00"/>
    <d v="2013-06-26T00:00:00"/>
    <s v="DavePoirier@gmail.com"/>
    <x v="45"/>
    <x v="8"/>
    <x v="218"/>
    <n v="38.880000000000003"/>
    <n v="6"/>
    <n v="18.662400000000002"/>
    <x v="0"/>
    <n v="6"/>
    <x v="0"/>
    <n v="21"/>
    <n v="5"/>
    <n v="48"/>
    <n v="6.48"/>
    <x v="0"/>
    <x v="0"/>
    <x v="0"/>
  </r>
  <r>
    <s v="CA-2011-133851"/>
    <d v="2011-06-09T00:00:00"/>
    <d v="2011-06-16T00:00:00"/>
    <s v="ChuckMagee@gmail.com"/>
    <x v="3"/>
    <x v="11"/>
    <x v="50"/>
    <n v="7.36"/>
    <n v="2"/>
    <n v="0.1472"/>
    <x v="1"/>
    <n v="6"/>
    <x v="0"/>
    <n v="9"/>
    <n v="7"/>
    <n v="2"/>
    <n v="3.68"/>
    <x v="0"/>
    <x v="0"/>
    <x v="0"/>
  </r>
  <r>
    <s v="CA-2011-133851"/>
    <d v="2011-06-09T00:00:00"/>
    <d v="2011-06-16T00:00:00"/>
    <s v="ChuckMagee@gmail.com"/>
    <x v="3"/>
    <x v="2"/>
    <x v="219"/>
    <n v="23.1"/>
    <n v="2"/>
    <n v="10.625999999999999"/>
    <x v="1"/>
    <n v="6"/>
    <x v="0"/>
    <n v="9"/>
    <n v="7"/>
    <n v="46"/>
    <n v="11.55"/>
    <x v="0"/>
    <x v="0"/>
    <x v="0"/>
  </r>
  <r>
    <s v="US-2014-123463"/>
    <d v="2014-12-24T00:00:00"/>
    <d v="2014-12-24T00:00:00"/>
    <s v="GaryZandusky@gmail.com"/>
    <x v="3"/>
    <x v="2"/>
    <x v="220"/>
    <n v="13.48"/>
    <n v="4"/>
    <n v="5.9311999999999996"/>
    <x v="3"/>
    <n v="12"/>
    <x v="1"/>
    <n v="24"/>
    <n v="0"/>
    <n v="44"/>
    <n v="3.37"/>
    <x v="0"/>
    <x v="0"/>
    <x v="0"/>
  </r>
  <r>
    <s v="CA-2012-143602"/>
    <d v="2012-04-25T00:00:00"/>
    <d v="2012-04-28T00:00:00"/>
    <s v="JillStevenson@gmail.com"/>
    <x v="0"/>
    <x v="3"/>
    <x v="221"/>
    <n v="13.944000000000001"/>
    <n v="3"/>
    <n v="4.5317999999999996"/>
    <x v="2"/>
    <n v="4"/>
    <x v="10"/>
    <n v="25"/>
    <n v="3"/>
    <n v="32.5"/>
    <n v="4.6480000000000006"/>
    <x v="1"/>
    <x v="0"/>
    <x v="0"/>
  </r>
  <r>
    <s v="CA-2014-115364"/>
    <d v="2014-06-27T00:00:00"/>
    <d v="2014-07-03T00:00:00"/>
    <s v="OlveraToch@gmail.com"/>
    <x v="16"/>
    <x v="5"/>
    <x v="222"/>
    <n v="83.76"/>
    <n v="12"/>
    <n v="1.6752"/>
    <x v="3"/>
    <n v="6"/>
    <x v="0"/>
    <n v="27"/>
    <n v="6"/>
    <n v="2"/>
    <n v="6.98"/>
    <x v="0"/>
    <x v="0"/>
    <x v="0"/>
  </r>
  <r>
    <s v="CA-2011-104976"/>
    <d v="2011-12-09T00:00:00"/>
    <d v="2011-12-16T00:00:00"/>
    <s v="CymaKinney@gmail.com"/>
    <x v="3"/>
    <x v="8"/>
    <x v="223"/>
    <n v="34.68"/>
    <n v="6"/>
    <n v="16.993200000000002"/>
    <x v="1"/>
    <n v="12"/>
    <x v="1"/>
    <n v="9"/>
    <n v="7"/>
    <n v="49"/>
    <n v="5.78"/>
    <x v="0"/>
    <x v="0"/>
    <x v="0"/>
  </r>
  <r>
    <s v="CA-2013-105494"/>
    <d v="2013-11-11T00:00:00"/>
    <d v="2013-11-13T00:00:00"/>
    <s v="PamelaCoakley@gmail.com"/>
    <x v="3"/>
    <x v="5"/>
    <x v="224"/>
    <n v="155.82"/>
    <n v="7"/>
    <n v="42.071399999999997"/>
    <x v="0"/>
    <n v="11"/>
    <x v="6"/>
    <n v="11"/>
    <n v="2"/>
    <n v="27"/>
    <n v="22.26"/>
    <x v="0"/>
    <x v="0"/>
    <x v="0"/>
  </r>
  <r>
    <s v="CA-2013-105494"/>
    <d v="2013-11-11T00:00:00"/>
    <d v="2013-11-13T00:00:00"/>
    <s v="PamelaCoakley@gmail.com"/>
    <x v="3"/>
    <x v="3"/>
    <x v="225"/>
    <n v="70.007999999999996"/>
    <n v="3"/>
    <n v="24.502800000000001"/>
    <x v="0"/>
    <n v="11"/>
    <x v="6"/>
    <n v="11"/>
    <n v="2"/>
    <n v="35"/>
    <n v="23.335999999999999"/>
    <x v="0"/>
    <x v="0"/>
    <x v="0"/>
  </r>
  <r>
    <s v="CA-2013-130477"/>
    <d v="2013-04-09T00:00:00"/>
    <d v="2013-04-13T00:00:00"/>
    <s v="LoganCurrie@gmail.com"/>
    <x v="0"/>
    <x v="8"/>
    <x v="226"/>
    <n v="20.04"/>
    <n v="3"/>
    <n v="9.6191999999999993"/>
    <x v="0"/>
    <n v="4"/>
    <x v="10"/>
    <n v="9"/>
    <n v="4"/>
    <n v="48"/>
    <n v="6.68"/>
    <x v="0"/>
    <x v="0"/>
    <x v="0"/>
  </r>
  <r>
    <s v="CA-2013-130477"/>
    <d v="2013-04-09T00:00:00"/>
    <d v="2013-04-13T00:00:00"/>
    <s v="LoganCurrie@gmail.com"/>
    <x v="0"/>
    <x v="5"/>
    <x v="227"/>
    <n v="64.959999999999994"/>
    <n v="2"/>
    <n v="2.5983999999999998"/>
    <x v="0"/>
    <n v="4"/>
    <x v="10"/>
    <n v="9"/>
    <n v="4"/>
    <n v="4"/>
    <n v="32.479999999999997"/>
    <x v="0"/>
    <x v="0"/>
    <x v="0"/>
  </r>
  <r>
    <s v="CA-2013-130477"/>
    <d v="2013-04-09T00:00:00"/>
    <d v="2013-04-13T00:00:00"/>
    <s v="LoganCurrie@gmail.com"/>
    <x v="0"/>
    <x v="8"/>
    <x v="228"/>
    <n v="12.96"/>
    <n v="2"/>
    <n v="6.2207999999999997"/>
    <x v="0"/>
    <n v="4"/>
    <x v="10"/>
    <n v="9"/>
    <n v="4"/>
    <n v="48"/>
    <n v="6.48"/>
    <x v="0"/>
    <x v="0"/>
    <x v="0"/>
  </r>
  <r>
    <s v="US-2014-111745"/>
    <d v="2014-11-06T00:00:00"/>
    <d v="2014-11-07T00:00:00"/>
    <s v="RubenAusman@gmail.com"/>
    <x v="46"/>
    <x v="7"/>
    <x v="229"/>
    <n v="159.99"/>
    <n v="1"/>
    <n v="54.396599999999999"/>
    <x v="3"/>
    <n v="11"/>
    <x v="6"/>
    <n v="6"/>
    <n v="1"/>
    <n v="34"/>
    <n v="159.99"/>
    <x v="0"/>
    <x v="0"/>
    <x v="0"/>
  </r>
  <r>
    <s v="CA-2012-148250"/>
    <d v="2012-12-13T00:00:00"/>
    <d v="2012-12-17T00:00:00"/>
    <s v="RachelPayne@gmail.com"/>
    <x v="47"/>
    <x v="8"/>
    <x v="230"/>
    <n v="12.96"/>
    <n v="2"/>
    <n v="6.2207999999999997"/>
    <x v="2"/>
    <n v="12"/>
    <x v="1"/>
    <n v="13"/>
    <n v="4"/>
    <n v="48"/>
    <n v="6.48"/>
    <x v="0"/>
    <x v="0"/>
    <x v="0"/>
  </r>
  <r>
    <s v="CA-2012-148250"/>
    <d v="2012-12-13T00:00:00"/>
    <d v="2012-12-17T00:00:00"/>
    <s v="RachelPayne@gmail.com"/>
    <x v="47"/>
    <x v="4"/>
    <x v="231"/>
    <n v="134.47999999999999"/>
    <n v="4"/>
    <n v="34.964799999999997"/>
    <x v="2"/>
    <n v="12"/>
    <x v="1"/>
    <n v="13"/>
    <n v="4"/>
    <n v="26"/>
    <n v="33.619999999999997"/>
    <x v="0"/>
    <x v="0"/>
    <x v="0"/>
  </r>
  <r>
    <s v="CA-2013-105760"/>
    <d v="2013-06-20T00:00:00"/>
    <d v="2013-06-21T00:00:00"/>
    <s v="KarenCarlisle@gmail.com"/>
    <x v="3"/>
    <x v="8"/>
    <x v="232"/>
    <n v="17.12"/>
    <n v="2"/>
    <n v="8.0464000000000002"/>
    <x v="0"/>
    <n v="6"/>
    <x v="0"/>
    <n v="20"/>
    <n v="1"/>
    <n v="47"/>
    <n v="8.56"/>
    <x v="1"/>
    <x v="0"/>
    <x v="0"/>
  </r>
  <r>
    <s v="CA-2013-142958"/>
    <d v="2013-12-14T00:00:00"/>
    <d v="2013-12-21T00:00:00"/>
    <s v="RobWilliams@gmail.com"/>
    <x v="48"/>
    <x v="3"/>
    <x v="233"/>
    <n v="6.0960000000000001"/>
    <n v="2"/>
    <n v="2.2098"/>
    <x v="0"/>
    <n v="12"/>
    <x v="1"/>
    <n v="14"/>
    <n v="7"/>
    <n v="36.25"/>
    <n v="3.048"/>
    <x v="0"/>
    <x v="0"/>
    <x v="0"/>
  </r>
  <r>
    <s v="CA-2012-120880"/>
    <d v="2012-05-29T00:00:00"/>
    <d v="2012-06-03T00:00:00"/>
    <s v="JohnLucas@gmail.com"/>
    <x v="1"/>
    <x v="8"/>
    <x v="164"/>
    <n v="32.4"/>
    <n v="5"/>
    <n v="15.552"/>
    <x v="2"/>
    <n v="5"/>
    <x v="2"/>
    <n v="29"/>
    <n v="5"/>
    <n v="48"/>
    <n v="6.48"/>
    <x v="0"/>
    <x v="0"/>
    <x v="0"/>
  </r>
  <r>
    <s v="CA-2012-120880"/>
    <d v="2012-05-29T00:00:00"/>
    <d v="2012-06-03T00:00:00"/>
    <s v="JohnLucas@gmail.com"/>
    <x v="1"/>
    <x v="3"/>
    <x v="234"/>
    <n v="167.76"/>
    <n v="5"/>
    <n v="62.91"/>
    <x v="2"/>
    <n v="5"/>
    <x v="2"/>
    <n v="29"/>
    <n v="5"/>
    <n v="37.5"/>
    <n v="33.552"/>
    <x v="0"/>
    <x v="0"/>
    <x v="0"/>
  </r>
  <r>
    <s v="US-2012-140200"/>
    <d v="2012-07-26T00:00:00"/>
    <d v="2012-07-28T00:00:00"/>
    <s v="CynthiaArntzen@gmail.com"/>
    <x v="33"/>
    <x v="13"/>
    <x v="235"/>
    <n v="393.16500000000002"/>
    <n v="3"/>
    <n v="-204.44579999999999"/>
    <x v="2"/>
    <n v="7"/>
    <x v="5"/>
    <n v="26"/>
    <n v="2"/>
    <n v="-52"/>
    <n v="131.05500000000001"/>
    <x v="1"/>
    <x v="1"/>
    <x v="1"/>
  </r>
  <r>
    <s v="CA-2014-102414"/>
    <d v="2014-05-16T00:00:00"/>
    <d v="2014-05-19T00:00:00"/>
    <s v="JosephAirdo@gmail.com"/>
    <x v="7"/>
    <x v="6"/>
    <x v="236"/>
    <n v="29.591999999999999"/>
    <n v="1"/>
    <n v="2.5893000000000002"/>
    <x v="3"/>
    <n v="5"/>
    <x v="2"/>
    <n v="16"/>
    <n v="3"/>
    <n v="8.75"/>
    <n v="29.591999999999999"/>
    <x v="0"/>
    <x v="0"/>
    <x v="0"/>
  </r>
  <r>
    <s v="CA-2014-102414"/>
    <d v="2014-05-16T00:00:00"/>
    <d v="2014-05-19T00:00:00"/>
    <s v="JosephAirdo@gmail.com"/>
    <x v="7"/>
    <x v="3"/>
    <x v="237"/>
    <n v="4.7519999999999998"/>
    <n v="2"/>
    <n v="-3.1680000000000001"/>
    <x v="3"/>
    <n v="5"/>
    <x v="2"/>
    <n v="16"/>
    <n v="3"/>
    <n v="-66.67"/>
    <n v="2.3759999999999999"/>
    <x v="0"/>
    <x v="1"/>
    <x v="0"/>
  </r>
  <r>
    <s v="CA-2014-102414"/>
    <d v="2014-05-16T00:00:00"/>
    <d v="2014-05-19T00:00:00"/>
    <s v="JosephAirdo@gmail.com"/>
    <x v="7"/>
    <x v="8"/>
    <x v="238"/>
    <n v="15.552"/>
    <n v="3"/>
    <n v="5.6375999999999999"/>
    <x v="3"/>
    <n v="5"/>
    <x v="2"/>
    <n v="16"/>
    <n v="3"/>
    <n v="36.25"/>
    <n v="5.1840000000000002"/>
    <x v="0"/>
    <x v="0"/>
    <x v="0"/>
  </r>
  <r>
    <s v="CA-2012-112571"/>
    <d v="2012-09-22T00:00:00"/>
    <d v="2012-09-22T00:00:00"/>
    <s v="DanielLacy@gmail.com"/>
    <x v="49"/>
    <x v="1"/>
    <x v="239"/>
    <n v="204.6"/>
    <n v="2"/>
    <n v="53.195999999999998"/>
    <x v="2"/>
    <n v="9"/>
    <x v="8"/>
    <n v="22"/>
    <n v="0"/>
    <n v="26"/>
    <n v="102.3"/>
    <x v="1"/>
    <x v="0"/>
    <x v="0"/>
  </r>
  <r>
    <s v="CA-2014-152142"/>
    <d v="2014-11-15T00:00:00"/>
    <d v="2014-11-20T00:00:00"/>
    <s v="LindsayWilliams@gmail.com"/>
    <x v="3"/>
    <x v="9"/>
    <x v="63"/>
    <n v="321.56799999999998"/>
    <n v="2"/>
    <n v="28.1372"/>
    <x v="3"/>
    <n v="11"/>
    <x v="6"/>
    <n v="15"/>
    <n v="5"/>
    <n v="8.75"/>
    <n v="160.78399999999999"/>
    <x v="0"/>
    <x v="0"/>
    <x v="1"/>
  </r>
  <r>
    <s v="CA-2013-120859"/>
    <d v="2013-09-02T00:00:00"/>
    <d v="2013-09-05T00:00:00"/>
    <s v="CynthiaVoltz@gmail.com"/>
    <x v="3"/>
    <x v="12"/>
    <x v="240"/>
    <n v="21.88"/>
    <n v="2"/>
    <n v="10.94"/>
    <x v="0"/>
    <n v="9"/>
    <x v="8"/>
    <n v="2"/>
    <n v="3"/>
    <n v="50"/>
    <n v="10.94"/>
    <x v="0"/>
    <x v="0"/>
    <x v="0"/>
  </r>
  <r>
    <s v="US-2014-100209"/>
    <d v="2014-07-10T00:00:00"/>
    <d v="2014-07-16T00:00:00"/>
    <s v="TamaraDahlen@gmail.com"/>
    <x v="5"/>
    <x v="3"/>
    <x v="241"/>
    <n v="1.08"/>
    <n v="2"/>
    <n v="-0.79200000000000004"/>
    <x v="3"/>
    <n v="7"/>
    <x v="5"/>
    <n v="10"/>
    <n v="6"/>
    <n v="-73.33"/>
    <n v="0.54"/>
    <x v="0"/>
    <x v="1"/>
    <x v="0"/>
  </r>
  <r>
    <s v="CA-2011-163419"/>
    <d v="2011-11-11T00:00:00"/>
    <d v="2011-11-14T00:00:00"/>
    <s v="TracyZic@gmail.com"/>
    <x v="28"/>
    <x v="2"/>
    <x v="242"/>
    <n v="3.3919999999999999"/>
    <n v="1"/>
    <n v="0.80559999999999998"/>
    <x v="1"/>
    <n v="11"/>
    <x v="6"/>
    <n v="11"/>
    <n v="3"/>
    <n v="23.75"/>
    <n v="3.3919999999999999"/>
    <x v="0"/>
    <x v="0"/>
    <x v="0"/>
  </r>
  <r>
    <s v="CA-2013-105585"/>
    <d v="2013-08-27T00:00:00"/>
    <d v="2013-08-28T00:00:00"/>
    <s v="RolandFjeld@gmail.com"/>
    <x v="10"/>
    <x v="10"/>
    <x v="243"/>
    <n v="10.23"/>
    <n v="3"/>
    <n v="4.9104000000000001"/>
    <x v="0"/>
    <n v="8"/>
    <x v="3"/>
    <n v="27"/>
    <n v="1"/>
    <n v="48"/>
    <n v="3.41"/>
    <x v="0"/>
    <x v="0"/>
    <x v="0"/>
  </r>
  <r>
    <s v="CA-2013-105585"/>
    <d v="2013-08-27T00:00:00"/>
    <d v="2013-08-28T00:00:00"/>
    <s v="RolandFjeld@gmail.com"/>
    <x v="10"/>
    <x v="8"/>
    <x v="244"/>
    <n v="154.9"/>
    <n v="5"/>
    <n v="69.704999999999998"/>
    <x v="0"/>
    <n v="8"/>
    <x v="3"/>
    <n v="27"/>
    <n v="1"/>
    <n v="45"/>
    <n v="30.98"/>
    <x v="0"/>
    <x v="0"/>
    <x v="0"/>
  </r>
  <r>
    <s v="CA-2013-155488"/>
    <d v="2013-11-14T00:00:00"/>
    <d v="2013-11-18T00:00:00"/>
    <s v="FrankMerwin@gmail.com"/>
    <x v="39"/>
    <x v="2"/>
    <x v="245"/>
    <n v="44.02"/>
    <n v="2"/>
    <n v="11.4452"/>
    <x v="0"/>
    <n v="11"/>
    <x v="6"/>
    <n v="14"/>
    <n v="4"/>
    <n v="26"/>
    <n v="22.01"/>
    <x v="0"/>
    <x v="0"/>
    <x v="0"/>
  </r>
  <r>
    <s v="CA-2012-126445"/>
    <d v="2012-08-27T00:00:00"/>
    <d v="2012-08-31T00:00:00"/>
    <s v="RyanAkin@gmail.com"/>
    <x v="50"/>
    <x v="5"/>
    <x v="246"/>
    <n v="484.65"/>
    <n v="3"/>
    <n v="92.083500000000001"/>
    <x v="2"/>
    <n v="8"/>
    <x v="3"/>
    <n v="27"/>
    <n v="4"/>
    <n v="19"/>
    <n v="161.55000000000001"/>
    <x v="0"/>
    <x v="0"/>
    <x v="1"/>
  </r>
  <r>
    <s v="CA-2012-105312"/>
    <d v="2012-11-06T00:00:00"/>
    <d v="2012-11-09T00:00:00"/>
    <s v="MegTillman@gmail.com"/>
    <x v="9"/>
    <x v="12"/>
    <x v="247"/>
    <n v="7.08"/>
    <n v="3"/>
    <n v="2.4780000000000002"/>
    <x v="2"/>
    <n v="11"/>
    <x v="6"/>
    <n v="6"/>
    <n v="3"/>
    <n v="35"/>
    <n v="2.36"/>
    <x v="0"/>
    <x v="0"/>
    <x v="0"/>
  </r>
  <r>
    <s v="CA-2012-105312"/>
    <d v="2012-11-06T00:00:00"/>
    <d v="2012-11-09T00:00:00"/>
    <s v="MegTillman@gmail.com"/>
    <x v="9"/>
    <x v="3"/>
    <x v="248"/>
    <n v="4.4009999999999998"/>
    <n v="3"/>
    <n v="-3.5207999999999999"/>
    <x v="2"/>
    <n v="11"/>
    <x v="6"/>
    <n v="6"/>
    <n v="3"/>
    <n v="-80"/>
    <n v="1.4670000000000001"/>
    <x v="0"/>
    <x v="1"/>
    <x v="0"/>
  </r>
  <r>
    <s v="CA-2011-158540"/>
    <d v="2011-11-24T00:00:00"/>
    <d v="2011-11-26T00:00:00"/>
    <s v="VivekGonzalez@gmail.com"/>
    <x v="16"/>
    <x v="1"/>
    <x v="249"/>
    <n v="151.72"/>
    <n v="4"/>
    <n v="27.3096"/>
    <x v="1"/>
    <n v="11"/>
    <x v="6"/>
    <n v="24"/>
    <n v="2"/>
    <n v="18"/>
    <n v="37.93"/>
    <x v="0"/>
    <x v="0"/>
    <x v="0"/>
  </r>
  <r>
    <s v="CA-2014-118437"/>
    <d v="2014-06-18T00:00:00"/>
    <d v="2014-06-22T00:00:00"/>
    <s v="PhilipFox@gmail.com"/>
    <x v="51"/>
    <x v="1"/>
    <x v="250"/>
    <n v="155.25"/>
    <n v="3"/>
    <n v="46.575000000000003"/>
    <x v="3"/>
    <n v="6"/>
    <x v="0"/>
    <n v="18"/>
    <n v="4"/>
    <n v="30"/>
    <n v="51.75"/>
    <x v="0"/>
    <x v="0"/>
    <x v="0"/>
  </r>
  <r>
    <s v="CA-2014-118437"/>
    <d v="2014-06-18T00:00:00"/>
    <d v="2014-06-22T00:00:00"/>
    <s v="PhilipFox@gmail.com"/>
    <x v="51"/>
    <x v="5"/>
    <x v="251"/>
    <n v="14.03"/>
    <n v="1"/>
    <n v="4.0686999999999998"/>
    <x v="3"/>
    <n v="6"/>
    <x v="0"/>
    <n v="18"/>
    <n v="4"/>
    <n v="29"/>
    <n v="14.03"/>
    <x v="0"/>
    <x v="0"/>
    <x v="0"/>
  </r>
  <r>
    <s v="US-2012-126214"/>
    <d v="2012-12-21T00:00:00"/>
    <d v="2012-12-24T00:00:00"/>
    <s v="JohnStevenson@gmail.com"/>
    <x v="1"/>
    <x v="7"/>
    <x v="252"/>
    <n v="99.6"/>
    <n v="1"/>
    <n v="36.851999999999997"/>
    <x v="2"/>
    <n v="12"/>
    <x v="1"/>
    <n v="21"/>
    <n v="3"/>
    <n v="37"/>
    <n v="99.6"/>
    <x v="0"/>
    <x v="0"/>
    <x v="0"/>
  </r>
  <r>
    <s v="CA-2012-133025"/>
    <d v="2012-09-17T00:00:00"/>
    <d v="2012-09-19T00:00:00"/>
    <s v="MegO'Connel@gmail.com"/>
    <x v="0"/>
    <x v="8"/>
    <x v="72"/>
    <n v="32.4"/>
    <n v="5"/>
    <n v="15.552"/>
    <x v="2"/>
    <n v="9"/>
    <x v="8"/>
    <n v="17"/>
    <n v="2"/>
    <n v="48"/>
    <n v="6.48"/>
    <x v="0"/>
    <x v="0"/>
    <x v="0"/>
  </r>
  <r>
    <s v="CA-2014-106964"/>
    <d v="2014-12-18T00:00:00"/>
    <d v="2014-12-21T00:00:00"/>
    <s v="HallieRedmond@gmail.com"/>
    <x v="0"/>
    <x v="3"/>
    <x v="253"/>
    <n v="11.808"/>
    <n v="2"/>
    <n v="4.2804000000000002"/>
    <x v="3"/>
    <n v="12"/>
    <x v="1"/>
    <n v="18"/>
    <n v="3"/>
    <n v="36.25"/>
    <n v="5.9039999999999999"/>
    <x v="1"/>
    <x v="0"/>
    <x v="0"/>
  </r>
  <r>
    <s v="CA-2012-127418"/>
    <d v="2012-06-13T00:00:00"/>
    <d v="2012-06-14T00:00:00"/>
    <s v="JenniferJackson@gmail.com"/>
    <x v="0"/>
    <x v="3"/>
    <x v="254"/>
    <n v="36.624000000000002"/>
    <n v="3"/>
    <n v="13.734"/>
    <x v="2"/>
    <n v="6"/>
    <x v="0"/>
    <n v="13"/>
    <n v="1"/>
    <n v="37.5"/>
    <n v="12.208"/>
    <x v="1"/>
    <x v="0"/>
    <x v="0"/>
  </r>
  <r>
    <s v="CA-2011-139192"/>
    <d v="2011-05-27T00:00:00"/>
    <d v="2011-06-01T00:00:00"/>
    <s v="LenaCreighton@gmail.com"/>
    <x v="3"/>
    <x v="7"/>
    <x v="255"/>
    <n v="99.99"/>
    <n v="1"/>
    <n v="37.996200000000002"/>
    <x v="1"/>
    <n v="5"/>
    <x v="2"/>
    <n v="27"/>
    <n v="5"/>
    <n v="38"/>
    <n v="99.99"/>
    <x v="0"/>
    <x v="0"/>
    <x v="0"/>
  </r>
  <r>
    <s v="CA-2014-167150"/>
    <d v="2014-12-11T00:00:00"/>
    <d v="2014-12-18T00:00:00"/>
    <s v="BenPeterman@gmail.com"/>
    <x v="16"/>
    <x v="3"/>
    <x v="256"/>
    <n v="19.936"/>
    <n v="4"/>
    <n v="7.2267999999999999"/>
    <x v="3"/>
    <n v="12"/>
    <x v="1"/>
    <n v="11"/>
    <n v="7"/>
    <n v="36.25"/>
    <n v="4.984"/>
    <x v="0"/>
    <x v="0"/>
    <x v="0"/>
  </r>
  <r>
    <s v="CA-2014-167150"/>
    <d v="2014-12-11T00:00:00"/>
    <d v="2014-12-18T00:00:00"/>
    <s v="BenPeterman@gmail.com"/>
    <x v="16"/>
    <x v="3"/>
    <x v="257"/>
    <n v="65.567999999999998"/>
    <n v="2"/>
    <n v="22.948799999999999"/>
    <x v="3"/>
    <n v="12"/>
    <x v="1"/>
    <n v="11"/>
    <n v="7"/>
    <n v="35"/>
    <n v="32.783999999999999"/>
    <x v="0"/>
    <x v="0"/>
    <x v="0"/>
  </r>
  <r>
    <s v="CA-2013-157686"/>
    <d v="2013-10-02T00:00:00"/>
    <d v="2013-10-03T00:00:00"/>
    <s v="BrianDeCherney@gmail.com"/>
    <x v="3"/>
    <x v="9"/>
    <x v="258"/>
    <n v="194.84800000000001"/>
    <n v="4"/>
    <n v="12.178000000000001"/>
    <x v="0"/>
    <n v="10"/>
    <x v="7"/>
    <n v="2"/>
    <n v="1"/>
    <n v="6.25"/>
    <n v="48.712000000000003"/>
    <x v="0"/>
    <x v="0"/>
    <x v="0"/>
  </r>
  <r>
    <s v="CA-2012-144652"/>
    <d v="2012-11-20T00:00:00"/>
    <d v="2012-11-26T00:00:00"/>
    <s v="SkyeNorling@gmail.com"/>
    <x v="0"/>
    <x v="2"/>
    <x v="259"/>
    <n v="19.46"/>
    <n v="7"/>
    <n v="5.0595999999999997"/>
    <x v="2"/>
    <n v="11"/>
    <x v="6"/>
    <n v="20"/>
    <n v="6"/>
    <n v="26"/>
    <n v="2.78"/>
    <x v="0"/>
    <x v="0"/>
    <x v="0"/>
  </r>
  <r>
    <s v="CA-2013-152814"/>
    <d v="2013-04-29T00:00:00"/>
    <d v="2013-05-03T00:00:00"/>
    <s v="EricaHernandez@gmail.com"/>
    <x v="13"/>
    <x v="8"/>
    <x v="260"/>
    <n v="29.472000000000001"/>
    <n v="3"/>
    <n v="9.9467999999999996"/>
    <x v="0"/>
    <n v="4"/>
    <x v="10"/>
    <n v="29"/>
    <n v="4"/>
    <n v="33.75"/>
    <n v="9.8239999999999998"/>
    <x v="0"/>
    <x v="0"/>
    <x v="0"/>
  </r>
  <r>
    <s v="CA-2013-134348"/>
    <d v="2013-11-13T00:00:00"/>
    <d v="2013-11-20T00:00:00"/>
    <s v="MauriceSatty@gmail.com"/>
    <x v="33"/>
    <x v="3"/>
    <x v="261"/>
    <n v="6.27"/>
    <n v="5"/>
    <n v="-4.5979999999999999"/>
    <x v="0"/>
    <n v="11"/>
    <x v="6"/>
    <n v="13"/>
    <n v="7"/>
    <n v="-73.33"/>
    <n v="1.254"/>
    <x v="0"/>
    <x v="1"/>
    <x v="0"/>
  </r>
  <r>
    <s v="CA-2013-134348"/>
    <d v="2013-11-13T00:00:00"/>
    <d v="2013-11-20T00:00:00"/>
    <s v="MauriceSatty@gmail.com"/>
    <x v="33"/>
    <x v="3"/>
    <x v="262"/>
    <n v="4.3680000000000003"/>
    <n v="7"/>
    <n v="-3.3488000000000002"/>
    <x v="0"/>
    <n v="11"/>
    <x v="6"/>
    <n v="13"/>
    <n v="7"/>
    <n v="-76.67"/>
    <n v="0.624"/>
    <x v="0"/>
    <x v="1"/>
    <x v="0"/>
  </r>
  <r>
    <s v="CA-2013-134348"/>
    <d v="2013-11-13T00:00:00"/>
    <d v="2013-11-20T00:00:00"/>
    <s v="MauriceSatty@gmail.com"/>
    <x v="33"/>
    <x v="7"/>
    <x v="263"/>
    <n v="31.984000000000002"/>
    <n v="2"/>
    <n v="1.9990000000000001"/>
    <x v="0"/>
    <n v="11"/>
    <x v="6"/>
    <n v="13"/>
    <n v="7"/>
    <n v="6.25"/>
    <n v="15.992000000000001"/>
    <x v="0"/>
    <x v="0"/>
    <x v="0"/>
  </r>
  <r>
    <s v="CA-2014-132521"/>
    <d v="2014-09-24T00:00:00"/>
    <d v="2014-09-26T00:00:00"/>
    <s v="DonWeiss@gmail.com"/>
    <x v="1"/>
    <x v="4"/>
    <x v="264"/>
    <n v="119.96"/>
    <n v="2"/>
    <n v="33.588799999999999"/>
    <x v="3"/>
    <n v="9"/>
    <x v="8"/>
    <n v="24"/>
    <n v="2"/>
    <n v="28"/>
    <n v="59.98"/>
    <x v="0"/>
    <x v="0"/>
    <x v="0"/>
  </r>
  <r>
    <s v="CA-2014-132521"/>
    <d v="2014-09-24T00:00:00"/>
    <d v="2014-09-26T00:00:00"/>
    <s v="DonWeiss@gmail.com"/>
    <x v="1"/>
    <x v="5"/>
    <x v="142"/>
    <n v="31.44"/>
    <n v="3"/>
    <n v="8.4887999999999995"/>
    <x v="3"/>
    <n v="9"/>
    <x v="8"/>
    <n v="24"/>
    <n v="2"/>
    <n v="27"/>
    <n v="10.48"/>
    <x v="0"/>
    <x v="0"/>
    <x v="0"/>
  </r>
  <r>
    <s v="CA-2014-132521"/>
    <d v="2014-09-24T00:00:00"/>
    <d v="2014-09-26T00:00:00"/>
    <s v="DonWeiss@gmail.com"/>
    <x v="1"/>
    <x v="3"/>
    <x v="265"/>
    <n v="6.88"/>
    <n v="1"/>
    <n v="2.3220000000000001"/>
    <x v="3"/>
    <n v="9"/>
    <x v="8"/>
    <n v="24"/>
    <n v="2"/>
    <n v="33.75"/>
    <n v="6.88"/>
    <x v="0"/>
    <x v="0"/>
    <x v="0"/>
  </r>
  <r>
    <s v="CA-2013-166163"/>
    <d v="2013-08-16T00:00:00"/>
    <d v="2013-08-21T00:00:00"/>
    <s v="CraigYedwab@gmail.com"/>
    <x v="52"/>
    <x v="6"/>
    <x v="266"/>
    <n v="71.975999999999999"/>
    <n v="3"/>
    <n v="7.1976000000000004"/>
    <x v="0"/>
    <n v="8"/>
    <x v="3"/>
    <n v="16"/>
    <n v="5"/>
    <n v="10"/>
    <n v="23.992000000000001"/>
    <x v="0"/>
    <x v="0"/>
    <x v="0"/>
  </r>
  <r>
    <s v="CA-2013-166163"/>
    <d v="2013-08-16T00:00:00"/>
    <d v="2013-08-21T00:00:00"/>
    <s v="CraigYedwab@gmail.com"/>
    <x v="52"/>
    <x v="0"/>
    <x v="267"/>
    <n v="3.15"/>
    <n v="1"/>
    <n v="1.512"/>
    <x v="0"/>
    <n v="8"/>
    <x v="3"/>
    <n v="16"/>
    <n v="5"/>
    <n v="48"/>
    <n v="3.15"/>
    <x v="0"/>
    <x v="0"/>
    <x v="0"/>
  </r>
  <r>
    <s v="CA-2012-143490"/>
    <d v="2012-12-06T00:00:00"/>
    <d v="2012-12-13T00:00:00"/>
    <s v="NaresjPatel@gmail.com"/>
    <x v="16"/>
    <x v="2"/>
    <x v="268"/>
    <n v="120.15"/>
    <n v="9"/>
    <n v="33.642000000000003"/>
    <x v="2"/>
    <n v="12"/>
    <x v="1"/>
    <n v="6"/>
    <n v="7"/>
    <n v="28"/>
    <n v="13.35"/>
    <x v="0"/>
    <x v="0"/>
    <x v="0"/>
  </r>
  <r>
    <s v="CA-2012-143490"/>
    <d v="2012-12-06T00:00:00"/>
    <d v="2012-12-13T00:00:00"/>
    <s v="NaresjPatel@gmail.com"/>
    <x v="16"/>
    <x v="6"/>
    <x v="269"/>
    <n v="219.184"/>
    <n v="2"/>
    <n v="19.178599999999999"/>
    <x v="2"/>
    <n v="12"/>
    <x v="1"/>
    <n v="6"/>
    <n v="7"/>
    <n v="8.75"/>
    <n v="109.592"/>
    <x v="0"/>
    <x v="0"/>
    <x v="1"/>
  </r>
  <r>
    <s v="CA-2011-159338"/>
    <d v="2011-06-25T00:00:00"/>
    <d v="2011-06-28T00:00:00"/>
    <s v="NoelStaavos@gmail.com"/>
    <x v="0"/>
    <x v="13"/>
    <x v="270"/>
    <n v="447.84"/>
    <n v="5"/>
    <n v="11.196"/>
    <x v="1"/>
    <n v="6"/>
    <x v="0"/>
    <n v="25"/>
    <n v="3"/>
    <n v="2.5"/>
    <n v="89.567999999999998"/>
    <x v="0"/>
    <x v="0"/>
    <x v="1"/>
  </r>
  <r>
    <s v="CA-2013-107216"/>
    <d v="2013-06-15T00:00:00"/>
    <d v="2013-06-18T00:00:00"/>
    <s v="PaulVanHugh@gmail.com"/>
    <x v="3"/>
    <x v="2"/>
    <x v="271"/>
    <n v="7.04"/>
    <n v="4"/>
    <n v="2.0415999999999999"/>
    <x v="0"/>
    <n v="6"/>
    <x v="0"/>
    <n v="15"/>
    <n v="3"/>
    <n v="29"/>
    <n v="1.76"/>
    <x v="0"/>
    <x v="0"/>
    <x v="0"/>
  </r>
  <r>
    <s v="CA-2013-107216"/>
    <d v="2013-06-15T00:00:00"/>
    <d v="2013-06-18T00:00:00"/>
    <s v="PaulVanHugh@gmail.com"/>
    <x v="3"/>
    <x v="1"/>
    <x v="272"/>
    <n v="8.73"/>
    <n v="3"/>
    <n v="4.1031000000000004"/>
    <x v="0"/>
    <n v="6"/>
    <x v="0"/>
    <n v="15"/>
    <n v="3"/>
    <n v="47"/>
    <n v="2.91"/>
    <x v="0"/>
    <x v="0"/>
    <x v="0"/>
  </r>
  <r>
    <s v="CA-2013-107216"/>
    <d v="2013-06-15T00:00:00"/>
    <d v="2013-06-18T00:00:00"/>
    <s v="PaulVanHugh@gmail.com"/>
    <x v="3"/>
    <x v="7"/>
    <x v="273"/>
    <n v="29.29"/>
    <n v="1"/>
    <n v="9.6656999999999993"/>
    <x v="0"/>
    <n v="6"/>
    <x v="0"/>
    <n v="15"/>
    <n v="3"/>
    <n v="33"/>
    <n v="29.29"/>
    <x v="0"/>
    <x v="0"/>
    <x v="0"/>
  </r>
  <r>
    <s v="CA-2013-107216"/>
    <d v="2013-06-15T00:00:00"/>
    <d v="2013-06-18T00:00:00"/>
    <s v="PaulVanHugh@gmail.com"/>
    <x v="3"/>
    <x v="2"/>
    <x v="274"/>
    <n v="8.64"/>
    <n v="3"/>
    <n v="2.5055999999999998"/>
    <x v="0"/>
    <n v="6"/>
    <x v="0"/>
    <n v="15"/>
    <n v="3"/>
    <n v="29"/>
    <n v="2.88"/>
    <x v="0"/>
    <x v="0"/>
    <x v="0"/>
  </r>
  <r>
    <s v="CA-2013-112340"/>
    <d v="2013-10-22T00:00:00"/>
    <d v="2013-10-28T00:00:00"/>
    <s v="NeomaMurray@gmail.com"/>
    <x v="47"/>
    <x v="8"/>
    <x v="275"/>
    <n v="22.92"/>
    <n v="3"/>
    <n v="11.2308"/>
    <x v="0"/>
    <n v="10"/>
    <x v="7"/>
    <n v="22"/>
    <n v="6"/>
    <n v="49"/>
    <n v="7.6400000000000006"/>
    <x v="0"/>
    <x v="0"/>
    <x v="0"/>
  </r>
  <r>
    <s v="CA-2014-140585"/>
    <d v="2014-12-19T00:00:00"/>
    <d v="2014-12-24T00:00:00"/>
    <s v="RussellApplegate@gmail.com"/>
    <x v="53"/>
    <x v="3"/>
    <x v="225"/>
    <n v="46.671999999999997"/>
    <n v="2"/>
    <n v="16.3352"/>
    <x v="3"/>
    <n v="12"/>
    <x v="1"/>
    <n v="19"/>
    <n v="5"/>
    <n v="35"/>
    <n v="23.335999999999999"/>
    <x v="0"/>
    <x v="0"/>
    <x v="0"/>
  </r>
  <r>
    <s v="CA-2014-140585"/>
    <d v="2014-12-19T00:00:00"/>
    <d v="2014-12-24T00:00:00"/>
    <s v="RussellApplegate@gmail.com"/>
    <x v="53"/>
    <x v="14"/>
    <x v="276"/>
    <n v="119.833"/>
    <n v="1"/>
    <n v="-12.6882"/>
    <x v="3"/>
    <n v="12"/>
    <x v="1"/>
    <n v="19"/>
    <n v="5"/>
    <n v="-10.59"/>
    <n v="119.833"/>
    <x v="0"/>
    <x v="1"/>
    <x v="0"/>
  </r>
  <r>
    <s v="CA-2014-140585"/>
    <d v="2014-12-19T00:00:00"/>
    <d v="2014-12-24T00:00:00"/>
    <s v="RussellApplegate@gmail.com"/>
    <x v="53"/>
    <x v="7"/>
    <x v="190"/>
    <n v="119.98"/>
    <n v="2"/>
    <n v="57.590400000000002"/>
    <x v="3"/>
    <n v="12"/>
    <x v="1"/>
    <n v="19"/>
    <n v="5"/>
    <n v="48"/>
    <n v="59.99"/>
    <x v="0"/>
    <x v="0"/>
    <x v="0"/>
  </r>
  <r>
    <s v="CA-2013-144855"/>
    <d v="2013-07-23T00:00:00"/>
    <d v="2013-07-25T00:00:00"/>
    <s v="DionisLloyd@gmail.com"/>
    <x v="3"/>
    <x v="0"/>
    <x v="100"/>
    <n v="6.3"/>
    <n v="2"/>
    <n v="3.024"/>
    <x v="0"/>
    <n v="7"/>
    <x v="5"/>
    <n v="23"/>
    <n v="2"/>
    <n v="48"/>
    <n v="3.15"/>
    <x v="0"/>
    <x v="0"/>
    <x v="0"/>
  </r>
  <r>
    <s v="US-2013-114776"/>
    <d v="2013-12-07T00:00:00"/>
    <d v="2013-12-08T00:00:00"/>
    <s v="GregGuthrie@gmail.com"/>
    <x v="54"/>
    <x v="8"/>
    <x v="72"/>
    <n v="19.440000000000001"/>
    <n v="3"/>
    <n v="9.3312000000000008"/>
    <x v="0"/>
    <n v="12"/>
    <x v="1"/>
    <n v="7"/>
    <n v="1"/>
    <n v="48"/>
    <n v="6.48"/>
    <x v="0"/>
    <x v="0"/>
    <x v="0"/>
  </r>
  <r>
    <s v="CA-2011-146969"/>
    <d v="2011-09-29T00:00:00"/>
    <d v="2011-10-03T00:00:00"/>
    <s v="ArthurPrichep@gmail.com"/>
    <x v="0"/>
    <x v="1"/>
    <x v="239"/>
    <n v="204.6"/>
    <n v="2"/>
    <n v="53.195999999999998"/>
    <x v="1"/>
    <n v="9"/>
    <x v="8"/>
    <n v="29"/>
    <n v="4"/>
    <n v="26"/>
    <n v="102.3"/>
    <x v="0"/>
    <x v="0"/>
    <x v="0"/>
  </r>
  <r>
    <s v="CA-2011-146969"/>
    <d v="2011-09-29T00:00:00"/>
    <d v="2011-10-03T00:00:00"/>
    <s v="ArthurPrichep@gmail.com"/>
    <x v="0"/>
    <x v="10"/>
    <x v="277"/>
    <n v="8.7200000000000006"/>
    <n v="4"/>
    <n v="2.8776000000000002"/>
    <x v="1"/>
    <n v="9"/>
    <x v="8"/>
    <n v="29"/>
    <n v="4"/>
    <n v="33"/>
    <n v="2.1800000000000002"/>
    <x v="0"/>
    <x v="0"/>
    <x v="0"/>
  </r>
  <r>
    <s v="CA-2011-146969"/>
    <d v="2011-09-29T00:00:00"/>
    <d v="2011-10-03T00:00:00"/>
    <s v="ArthurPrichep@gmail.com"/>
    <x v="0"/>
    <x v="8"/>
    <x v="278"/>
    <n v="6.48"/>
    <n v="1"/>
    <n v="3.1103999999999998"/>
    <x v="1"/>
    <n v="9"/>
    <x v="8"/>
    <n v="29"/>
    <n v="4"/>
    <n v="48"/>
    <n v="6.48"/>
    <x v="0"/>
    <x v="0"/>
    <x v="0"/>
  </r>
  <r>
    <s v="CA-2011-146969"/>
    <d v="2011-09-29T00:00:00"/>
    <d v="2011-10-03T00:00:00"/>
    <s v="ArthurPrichep@gmail.com"/>
    <x v="0"/>
    <x v="5"/>
    <x v="279"/>
    <n v="62.18"/>
    <n v="1"/>
    <n v="16.788599999999999"/>
    <x v="1"/>
    <n v="9"/>
    <x v="8"/>
    <n v="29"/>
    <n v="4"/>
    <n v="27"/>
    <n v="62.18"/>
    <x v="0"/>
    <x v="0"/>
    <x v="0"/>
  </r>
  <r>
    <s v="CA-2014-160395"/>
    <d v="2014-01-01T00:00:00"/>
    <d v="2014-01-07T00:00:00"/>
    <s v="KellyLampkin@gmail.com"/>
    <x v="55"/>
    <x v="2"/>
    <x v="280"/>
    <n v="3.64"/>
    <n v="2"/>
    <n v="1.6379999999999999"/>
    <x v="3"/>
    <n v="1"/>
    <x v="4"/>
    <n v="1"/>
    <n v="6"/>
    <n v="45"/>
    <n v="1.82"/>
    <x v="0"/>
    <x v="0"/>
    <x v="0"/>
  </r>
  <r>
    <s v="CA-2014-160395"/>
    <d v="2014-01-01T00:00:00"/>
    <d v="2014-01-07T00:00:00"/>
    <s v="KellyLampkin@gmail.com"/>
    <x v="55"/>
    <x v="3"/>
    <x v="281"/>
    <n v="159.768"/>
    <n v="7"/>
    <n v="53.921700000000001"/>
    <x v="3"/>
    <n v="1"/>
    <x v="4"/>
    <n v="1"/>
    <n v="6"/>
    <n v="33.75"/>
    <n v="22.824000000000002"/>
    <x v="0"/>
    <x v="0"/>
    <x v="0"/>
  </r>
  <r>
    <s v="CA-2013-149314"/>
    <d v="2013-07-03T00:00:00"/>
    <d v="2013-07-08T00:00:00"/>
    <s v="GeorgeBell@gmail.com"/>
    <x v="0"/>
    <x v="9"/>
    <x v="282"/>
    <n v="195.184"/>
    <n v="1"/>
    <n v="19.5184"/>
    <x v="0"/>
    <n v="7"/>
    <x v="5"/>
    <n v="3"/>
    <n v="5"/>
    <n v="10"/>
    <n v="195.184"/>
    <x v="0"/>
    <x v="0"/>
    <x v="0"/>
  </r>
  <r>
    <s v="CA-2011-126522"/>
    <d v="2011-09-01T00:00:00"/>
    <d v="2011-09-05T00:00:00"/>
    <s v="LarryTron@gmail.com"/>
    <x v="56"/>
    <x v="2"/>
    <x v="283"/>
    <n v="53.94"/>
    <n v="3"/>
    <n v="15.6426"/>
    <x v="1"/>
    <n v="9"/>
    <x v="8"/>
    <n v="1"/>
    <n v="4"/>
    <n v="29"/>
    <n v="17.98"/>
    <x v="0"/>
    <x v="0"/>
    <x v="0"/>
  </r>
  <r>
    <s v="CA-2012-125416"/>
    <d v="2012-11-02T00:00:00"/>
    <d v="2012-11-02T00:00:00"/>
    <s v="KellyCollister@gmail.com"/>
    <x v="1"/>
    <x v="7"/>
    <x v="25"/>
    <n v="447.93"/>
    <n v="9"/>
    <n v="49.272300000000001"/>
    <x v="2"/>
    <n v="11"/>
    <x v="6"/>
    <n v="2"/>
    <n v="0"/>
    <n v="11"/>
    <n v="49.77"/>
    <x v="0"/>
    <x v="0"/>
    <x v="1"/>
  </r>
  <r>
    <s v="CA-2011-158064"/>
    <d v="2011-04-21T00:00:00"/>
    <d v="2011-04-25T00:00:00"/>
    <s v="AllenArmold@gmail.com"/>
    <x v="0"/>
    <x v="3"/>
    <x v="284"/>
    <n v="16.52"/>
    <n v="5"/>
    <n v="5.5754999999999999"/>
    <x v="1"/>
    <n v="4"/>
    <x v="10"/>
    <n v="21"/>
    <n v="4"/>
    <n v="33.75"/>
    <n v="3.3039999999999998"/>
    <x v="0"/>
    <x v="0"/>
    <x v="0"/>
  </r>
  <r>
    <s v="CA-2011-120243"/>
    <d v="2011-12-27T00:00:00"/>
    <d v="2011-12-30T00:00:00"/>
    <s v="AlyssaTate@gmail.com"/>
    <x v="0"/>
    <x v="0"/>
    <x v="50"/>
    <n v="11.56"/>
    <n v="4"/>
    <n v="5.4332000000000003"/>
    <x v="1"/>
    <n v="12"/>
    <x v="1"/>
    <n v="27"/>
    <n v="3"/>
    <n v="47"/>
    <n v="2.89"/>
    <x v="0"/>
    <x v="0"/>
    <x v="0"/>
  </r>
  <r>
    <s v="CA-2011-127131"/>
    <d v="2011-11-24T00:00:00"/>
    <d v="2011-11-30T00:00:00"/>
    <s v="HaroldRyan@gmail.com"/>
    <x v="1"/>
    <x v="3"/>
    <x v="285"/>
    <n v="12.096"/>
    <n v="7"/>
    <n v="4.2336"/>
    <x v="1"/>
    <n v="11"/>
    <x v="6"/>
    <n v="24"/>
    <n v="6"/>
    <n v="35"/>
    <n v="1.728"/>
    <x v="0"/>
    <x v="0"/>
    <x v="0"/>
  </r>
  <r>
    <s v="CA-2011-127131"/>
    <d v="2011-11-24T00:00:00"/>
    <d v="2011-11-30T00:00:00"/>
    <s v="HaroldRyan@gmail.com"/>
    <x v="1"/>
    <x v="5"/>
    <x v="286"/>
    <n v="485.88"/>
    <n v="6"/>
    <n v="9.7175999999999991"/>
    <x v="1"/>
    <n v="11"/>
    <x v="6"/>
    <n v="24"/>
    <n v="6"/>
    <n v="2"/>
    <n v="80.98"/>
    <x v="0"/>
    <x v="0"/>
    <x v="1"/>
  </r>
  <r>
    <s v="CA-2011-127131"/>
    <d v="2011-11-24T00:00:00"/>
    <d v="2011-11-30T00:00:00"/>
    <s v="HaroldRyan@gmail.com"/>
    <x v="1"/>
    <x v="8"/>
    <x v="287"/>
    <n v="25.92"/>
    <n v="4"/>
    <n v="12.441599999999999"/>
    <x v="1"/>
    <n v="11"/>
    <x v="6"/>
    <n v="24"/>
    <n v="6"/>
    <n v="48"/>
    <n v="6.48"/>
    <x v="0"/>
    <x v="0"/>
    <x v="0"/>
  </r>
  <r>
    <s v="CA-2011-127131"/>
    <d v="2011-11-24T00:00:00"/>
    <d v="2011-11-30T00:00:00"/>
    <s v="HaroldRyan@gmail.com"/>
    <x v="1"/>
    <x v="5"/>
    <x v="288"/>
    <n v="197.58"/>
    <n v="2"/>
    <n v="53.346600000000002"/>
    <x v="1"/>
    <n v="11"/>
    <x v="6"/>
    <n v="24"/>
    <n v="6"/>
    <n v="27"/>
    <n v="98.79"/>
    <x v="0"/>
    <x v="0"/>
    <x v="0"/>
  </r>
  <r>
    <s v="CA-2014-117212"/>
    <d v="2014-02-27T00:00:00"/>
    <d v="2014-03-01T00:00:00"/>
    <s v="BradleyTalbott@gmail.com"/>
    <x v="0"/>
    <x v="4"/>
    <x v="289"/>
    <n v="81.92"/>
    <n v="4"/>
    <n v="22.118400000000001"/>
    <x v="3"/>
    <n v="2"/>
    <x v="11"/>
    <n v="27"/>
    <n v="2"/>
    <n v="27"/>
    <n v="20.48"/>
    <x v="0"/>
    <x v="0"/>
    <x v="0"/>
  </r>
  <r>
    <s v="CA-2014-117212"/>
    <d v="2014-02-27T00:00:00"/>
    <d v="2014-03-01T00:00:00"/>
    <s v="BradleyTalbott@gmail.com"/>
    <x v="0"/>
    <x v="8"/>
    <x v="101"/>
    <n v="223.92"/>
    <n v="4"/>
    <n v="109.7208"/>
    <x v="3"/>
    <n v="2"/>
    <x v="11"/>
    <n v="27"/>
    <n v="2"/>
    <n v="49"/>
    <n v="55.98"/>
    <x v="0"/>
    <x v="0"/>
    <x v="1"/>
  </r>
  <r>
    <s v="CA-2014-117212"/>
    <d v="2014-02-27T00:00:00"/>
    <d v="2014-03-01T00:00:00"/>
    <s v="BradleyTalbott@gmail.com"/>
    <x v="0"/>
    <x v="8"/>
    <x v="290"/>
    <n v="23.12"/>
    <n v="4"/>
    <n v="11.328799999999999"/>
    <x v="3"/>
    <n v="2"/>
    <x v="11"/>
    <n v="27"/>
    <n v="2"/>
    <n v="49"/>
    <n v="5.78"/>
    <x v="0"/>
    <x v="0"/>
    <x v="0"/>
  </r>
  <r>
    <s v="CA-2013-114727"/>
    <d v="2013-07-19T00:00:00"/>
    <d v="2013-07-25T00:00:00"/>
    <s v="LindaSouthworth@gmail.com"/>
    <x v="13"/>
    <x v="3"/>
    <x v="262"/>
    <n v="1.8720000000000001"/>
    <n v="3"/>
    <n v="-1.4352"/>
    <x v="0"/>
    <n v="7"/>
    <x v="5"/>
    <n v="19"/>
    <n v="6"/>
    <n v="-76.67"/>
    <n v="0.624"/>
    <x v="0"/>
    <x v="1"/>
    <x v="0"/>
  </r>
  <r>
    <s v="CA-2013-114727"/>
    <d v="2013-07-19T00:00:00"/>
    <d v="2013-07-25T00:00:00"/>
    <s v="LindaSouthworth@gmail.com"/>
    <x v="13"/>
    <x v="5"/>
    <x v="291"/>
    <n v="338.04"/>
    <n v="3"/>
    <n v="-33.804000000000002"/>
    <x v="0"/>
    <n v="7"/>
    <x v="5"/>
    <n v="19"/>
    <n v="6"/>
    <n v="-10"/>
    <n v="112.68"/>
    <x v="0"/>
    <x v="1"/>
    <x v="1"/>
  </r>
  <r>
    <s v="CA-2011-110184"/>
    <d v="2011-07-12T00:00:00"/>
    <d v="2011-07-16T00:00:00"/>
    <s v="BenFerrer@gmail.com"/>
    <x v="0"/>
    <x v="5"/>
    <x v="6"/>
    <n v="249.75"/>
    <n v="9"/>
    <n v="44.954999999999998"/>
    <x v="1"/>
    <n v="7"/>
    <x v="5"/>
    <n v="12"/>
    <n v="4"/>
    <n v="18"/>
    <n v="27.75"/>
    <x v="0"/>
    <x v="0"/>
    <x v="1"/>
  </r>
  <r>
    <s v="CA-2011-110184"/>
    <d v="2011-07-12T00:00:00"/>
    <d v="2011-07-16T00:00:00"/>
    <s v="BenFerrer@gmail.com"/>
    <x v="0"/>
    <x v="6"/>
    <x v="292"/>
    <n v="255.93600000000001"/>
    <n v="8"/>
    <n v="28.7928"/>
    <x v="1"/>
    <n v="7"/>
    <x v="5"/>
    <n v="12"/>
    <n v="4"/>
    <n v="11.25"/>
    <n v="31.992000000000001"/>
    <x v="0"/>
    <x v="0"/>
    <x v="1"/>
  </r>
  <r>
    <s v="CA-2014-100013"/>
    <d v="2014-11-07T00:00:00"/>
    <d v="2014-11-12T00:00:00"/>
    <s v="ZuschussCarroll@gmail.com"/>
    <x v="0"/>
    <x v="12"/>
    <x v="293"/>
    <n v="15.28"/>
    <n v="2"/>
    <n v="7.4871999999999996"/>
    <x v="3"/>
    <n v="11"/>
    <x v="6"/>
    <n v="7"/>
    <n v="5"/>
    <n v="49"/>
    <n v="7.64"/>
    <x v="0"/>
    <x v="0"/>
    <x v="0"/>
  </r>
  <r>
    <s v="CA-2014-100013"/>
    <d v="2014-11-07T00:00:00"/>
    <d v="2014-11-12T00:00:00"/>
    <s v="ZuschussCarroll@gmail.com"/>
    <x v="0"/>
    <x v="1"/>
    <x v="294"/>
    <n v="8.73"/>
    <n v="1"/>
    <n v="2.9681999999999999"/>
    <x v="3"/>
    <n v="11"/>
    <x v="6"/>
    <n v="7"/>
    <n v="5"/>
    <n v="34"/>
    <n v="8.73"/>
    <x v="0"/>
    <x v="0"/>
    <x v="0"/>
  </r>
  <r>
    <s v="CA-2014-100013"/>
    <d v="2014-11-07T00:00:00"/>
    <d v="2014-11-12T00:00:00"/>
    <s v="ZuschussCarroll@gmail.com"/>
    <x v="0"/>
    <x v="2"/>
    <x v="295"/>
    <n v="5.68"/>
    <n v="2"/>
    <n v="1.7607999999999999"/>
    <x v="3"/>
    <n v="11"/>
    <x v="6"/>
    <n v="7"/>
    <n v="5"/>
    <n v="31"/>
    <n v="2.84"/>
    <x v="0"/>
    <x v="0"/>
    <x v="0"/>
  </r>
  <r>
    <s v="CA-2011-127012"/>
    <d v="2011-08-11T00:00:00"/>
    <d v="2011-08-15T00:00:00"/>
    <s v="GregMatthias@gmail.com"/>
    <x v="1"/>
    <x v="1"/>
    <x v="296"/>
    <n v="12.35"/>
    <n v="1"/>
    <n v="5.4340000000000002"/>
    <x v="1"/>
    <n v="8"/>
    <x v="3"/>
    <n v="11"/>
    <n v="4"/>
    <n v="44"/>
    <n v="12.35"/>
    <x v="0"/>
    <x v="0"/>
    <x v="0"/>
  </r>
  <r>
    <s v="CA-2011-127012"/>
    <d v="2011-08-11T00:00:00"/>
    <d v="2011-08-15T00:00:00"/>
    <s v="GregMatthias@gmail.com"/>
    <x v="1"/>
    <x v="2"/>
    <x v="297"/>
    <n v="40.97"/>
    <n v="1"/>
    <n v="10.652200000000001"/>
    <x v="1"/>
    <n v="8"/>
    <x v="3"/>
    <n v="11"/>
    <n v="4"/>
    <n v="26"/>
    <n v="40.97"/>
    <x v="0"/>
    <x v="0"/>
    <x v="0"/>
  </r>
  <r>
    <s v="CA-2011-127012"/>
    <d v="2011-08-11T00:00:00"/>
    <d v="2011-08-15T00:00:00"/>
    <s v="GregMatthias@gmail.com"/>
    <x v="1"/>
    <x v="10"/>
    <x v="77"/>
    <n v="22.96"/>
    <n v="2"/>
    <n v="10.7912"/>
    <x v="1"/>
    <n v="8"/>
    <x v="3"/>
    <n v="11"/>
    <n v="4"/>
    <n v="47"/>
    <n v="11.48"/>
    <x v="0"/>
    <x v="0"/>
    <x v="0"/>
  </r>
  <r>
    <s v="CA-2011-168494"/>
    <d v="2011-12-12T00:00:00"/>
    <d v="2011-12-14T00:00:00"/>
    <s v="NoraPreis@gmail.com"/>
    <x v="57"/>
    <x v="14"/>
    <x v="298"/>
    <n v="254.97450000000001"/>
    <n v="3"/>
    <n v="11.998799999999999"/>
    <x v="1"/>
    <n v="12"/>
    <x v="1"/>
    <n v="12"/>
    <n v="2"/>
    <n v="4.71"/>
    <n v="84.991500000000002"/>
    <x v="0"/>
    <x v="0"/>
    <x v="1"/>
  </r>
  <r>
    <s v="CA-2014-110380"/>
    <d v="2014-09-03T00:00:00"/>
    <d v="2014-09-08T00:00:00"/>
    <s v="PhillipFlathmann@gmail.com"/>
    <x v="3"/>
    <x v="2"/>
    <x v="299"/>
    <n v="6.57"/>
    <n v="3"/>
    <n v="1.7739"/>
    <x v="3"/>
    <n v="9"/>
    <x v="8"/>
    <n v="3"/>
    <n v="5"/>
    <n v="27"/>
    <n v="2.19"/>
    <x v="0"/>
    <x v="0"/>
    <x v="0"/>
  </r>
  <r>
    <s v="US-2011-167738"/>
    <d v="2011-12-24T00:00:00"/>
    <d v="2011-12-29T00:00:00"/>
    <s v="JulieCreighton@gmail.com"/>
    <x v="0"/>
    <x v="5"/>
    <x v="300"/>
    <n v="142.86000000000001"/>
    <n v="1"/>
    <n v="41.429400000000001"/>
    <x v="1"/>
    <n v="12"/>
    <x v="1"/>
    <n v="24"/>
    <n v="5"/>
    <n v="29"/>
    <n v="142.86000000000001"/>
    <x v="0"/>
    <x v="0"/>
    <x v="0"/>
  </r>
  <r>
    <s v="US-2011-167738"/>
    <d v="2011-12-24T00:00:00"/>
    <d v="2011-12-29T00:00:00"/>
    <s v="JulieCreighton@gmail.com"/>
    <x v="0"/>
    <x v="9"/>
    <x v="258"/>
    <n v="292.27199999999999"/>
    <n v="6"/>
    <n v="18.266999999999999"/>
    <x v="1"/>
    <n v="12"/>
    <x v="1"/>
    <n v="24"/>
    <n v="5"/>
    <n v="6.25"/>
    <n v="48.712000000000003"/>
    <x v="0"/>
    <x v="0"/>
    <x v="1"/>
  </r>
  <r>
    <s v="CA-2014-121412"/>
    <d v="2014-09-24T00:00:00"/>
    <d v="2014-09-28T00:00:00"/>
    <s v="BrookeGillingham@gmail.com"/>
    <x v="28"/>
    <x v="1"/>
    <x v="187"/>
    <n v="29.327999999999999"/>
    <n v="3"/>
    <n v="3.6659999999999999"/>
    <x v="3"/>
    <n v="9"/>
    <x v="8"/>
    <n v="24"/>
    <n v="4"/>
    <n v="12.5"/>
    <n v="9.7759999999999998"/>
    <x v="1"/>
    <x v="0"/>
    <x v="0"/>
  </r>
  <r>
    <s v="CA-2013-163384"/>
    <d v="2013-11-11T00:00:00"/>
    <d v="2013-11-13T00:00:00"/>
    <s v="ChuckClark@gmail.com"/>
    <x v="3"/>
    <x v="3"/>
    <x v="301"/>
    <n v="13.215999999999999"/>
    <n v="4"/>
    <n v="4.4603999999999999"/>
    <x v="0"/>
    <n v="11"/>
    <x v="6"/>
    <n v="11"/>
    <n v="2"/>
    <n v="33.75"/>
    <n v="3.3039999999999998"/>
    <x v="0"/>
    <x v="0"/>
    <x v="0"/>
  </r>
  <r>
    <s v="CA-2013-163384"/>
    <d v="2013-11-11T00:00:00"/>
    <d v="2013-11-13T00:00:00"/>
    <s v="ChuckClark@gmail.com"/>
    <x v="3"/>
    <x v="8"/>
    <x v="302"/>
    <n v="32.4"/>
    <n v="5"/>
    <n v="15.552"/>
    <x v="0"/>
    <n v="11"/>
    <x v="6"/>
    <n v="11"/>
    <n v="2"/>
    <n v="48"/>
    <n v="6.48"/>
    <x v="0"/>
    <x v="0"/>
    <x v="0"/>
  </r>
  <r>
    <s v="CA-2012-101707"/>
    <d v="2012-08-27T00:00:00"/>
    <d v="2012-09-01T00:00:00"/>
    <s v="PhilipFox@gmail.com"/>
    <x v="16"/>
    <x v="11"/>
    <x v="37"/>
    <n v="32.94"/>
    <n v="3"/>
    <n v="9.2232000000000003"/>
    <x v="2"/>
    <n v="8"/>
    <x v="3"/>
    <n v="27"/>
    <n v="5"/>
    <n v="28"/>
    <n v="10.98"/>
    <x v="0"/>
    <x v="0"/>
    <x v="0"/>
  </r>
  <r>
    <s v="CA-2012-101707"/>
    <d v="2012-08-27T00:00:00"/>
    <d v="2012-09-01T00:00:00"/>
    <s v="PhilipFox@gmail.com"/>
    <x v="16"/>
    <x v="8"/>
    <x v="303"/>
    <n v="114.2"/>
    <n v="5"/>
    <n v="52.531999999999996"/>
    <x v="2"/>
    <n v="8"/>
    <x v="3"/>
    <n v="27"/>
    <n v="5"/>
    <n v="46"/>
    <n v="22.84"/>
    <x v="0"/>
    <x v="0"/>
    <x v="0"/>
  </r>
  <r>
    <s v="CA-2012-101707"/>
    <d v="2012-08-27T00:00:00"/>
    <d v="2012-09-01T00:00:00"/>
    <s v="PhilipFox@gmail.com"/>
    <x v="16"/>
    <x v="0"/>
    <x v="304"/>
    <n v="3.08"/>
    <n v="1"/>
    <n v="1.4783999999999999"/>
    <x v="2"/>
    <n v="8"/>
    <x v="3"/>
    <n v="27"/>
    <n v="5"/>
    <n v="48"/>
    <n v="3.08"/>
    <x v="0"/>
    <x v="0"/>
    <x v="0"/>
  </r>
  <r>
    <s v="CA-2014-115427"/>
    <d v="2014-12-31T00:00:00"/>
    <d v="2015-01-04T00:00:00"/>
    <s v="EricaBern@gmail.com"/>
    <x v="58"/>
    <x v="3"/>
    <x v="305"/>
    <n v="13.904"/>
    <n v="2"/>
    <n v="4.5187999999999997"/>
    <x v="3"/>
    <n v="12"/>
    <x v="1"/>
    <n v="31"/>
    <n v="4"/>
    <n v="32.5"/>
    <n v="6.952"/>
    <x v="0"/>
    <x v="0"/>
    <x v="0"/>
  </r>
  <r>
    <s v="CA-2014-115427"/>
    <d v="2014-12-31T00:00:00"/>
    <d v="2015-01-04T00:00:00"/>
    <s v="EricaBern@gmail.com"/>
    <x v="58"/>
    <x v="3"/>
    <x v="306"/>
    <n v="20.72"/>
    <n v="2"/>
    <n v="6.4749999999999996"/>
    <x v="3"/>
    <n v="12"/>
    <x v="1"/>
    <n v="31"/>
    <n v="4"/>
    <n v="31.25"/>
    <n v="10.36"/>
    <x v="0"/>
    <x v="0"/>
    <x v="0"/>
  </r>
  <r>
    <s v="CA-2012-121391"/>
    <d v="2012-10-04T00:00:00"/>
    <d v="2012-10-07T00:00:00"/>
    <s v="AlexAvila@gmail.com"/>
    <x v="3"/>
    <x v="5"/>
    <x v="46"/>
    <n v="26.96"/>
    <n v="2"/>
    <n v="7.0095999999999998"/>
    <x v="2"/>
    <n v="10"/>
    <x v="7"/>
    <n v="4"/>
    <n v="3"/>
    <n v="26"/>
    <n v="13.48"/>
    <x v="0"/>
    <x v="0"/>
    <x v="0"/>
  </r>
  <r>
    <s v="CA-2013-141397"/>
    <d v="2013-06-21T00:00:00"/>
    <d v="2013-06-22T00:00:00"/>
    <s v="RoyCollins@gmail.com"/>
    <x v="59"/>
    <x v="8"/>
    <x v="307"/>
    <n v="46.76"/>
    <n v="7"/>
    <n v="22.444800000000001"/>
    <x v="0"/>
    <n v="6"/>
    <x v="0"/>
    <n v="21"/>
    <n v="1"/>
    <n v="48"/>
    <n v="6.68"/>
    <x v="0"/>
    <x v="0"/>
    <x v="0"/>
  </r>
  <r>
    <s v="CA-2013-141397"/>
    <d v="2013-06-21T00:00:00"/>
    <d v="2013-06-22T00:00:00"/>
    <s v="RoyCollins@gmail.com"/>
    <x v="59"/>
    <x v="3"/>
    <x v="253"/>
    <n v="17.712"/>
    <n v="3"/>
    <n v="6.4206000000000003"/>
    <x v="0"/>
    <n v="6"/>
    <x v="0"/>
    <n v="21"/>
    <n v="1"/>
    <n v="36.25"/>
    <n v="5.9039999999999999"/>
    <x v="0"/>
    <x v="0"/>
    <x v="0"/>
  </r>
  <r>
    <s v="CA-2013-141397"/>
    <d v="2013-06-21T00:00:00"/>
    <d v="2013-06-22T00:00:00"/>
    <s v="RoyCollins@gmail.com"/>
    <x v="59"/>
    <x v="4"/>
    <x v="308"/>
    <n v="21.78"/>
    <n v="2"/>
    <n v="5.6627999999999998"/>
    <x v="0"/>
    <n v="6"/>
    <x v="0"/>
    <n v="21"/>
    <n v="1"/>
    <n v="26"/>
    <n v="10.89"/>
    <x v="0"/>
    <x v="0"/>
    <x v="0"/>
  </r>
  <r>
    <s v="CA-2013-141397"/>
    <d v="2013-06-21T00:00:00"/>
    <d v="2013-06-22T00:00:00"/>
    <s v="RoyCollins@gmail.com"/>
    <x v="59"/>
    <x v="5"/>
    <x v="309"/>
    <n v="161.94"/>
    <n v="3"/>
    <n v="9.7164000000000001"/>
    <x v="0"/>
    <n v="6"/>
    <x v="0"/>
    <n v="21"/>
    <n v="1"/>
    <n v="6"/>
    <n v="53.98"/>
    <x v="0"/>
    <x v="0"/>
    <x v="0"/>
  </r>
  <r>
    <s v="CA-2013-141397"/>
    <d v="2013-06-21T00:00:00"/>
    <d v="2013-06-22T00:00:00"/>
    <s v="RoyCollins@gmail.com"/>
    <x v="59"/>
    <x v="9"/>
    <x v="310"/>
    <n v="161.56800000000001"/>
    <n v="2"/>
    <n v="-8.0784000000000002"/>
    <x v="0"/>
    <n v="6"/>
    <x v="0"/>
    <n v="21"/>
    <n v="1"/>
    <n v="-5"/>
    <n v="80.784000000000006"/>
    <x v="0"/>
    <x v="1"/>
    <x v="0"/>
  </r>
  <r>
    <s v="CA-2013-145919"/>
    <d v="2013-12-19T00:00:00"/>
    <d v="2013-12-24T00:00:00"/>
    <s v="HenryGoldwyn@gmail.com"/>
    <x v="0"/>
    <x v="8"/>
    <x v="311"/>
    <n v="38.880000000000003"/>
    <n v="6"/>
    <n v="18.662400000000002"/>
    <x v="0"/>
    <n v="12"/>
    <x v="1"/>
    <n v="19"/>
    <n v="5"/>
    <n v="48"/>
    <n v="6.48"/>
    <x v="0"/>
    <x v="0"/>
    <x v="0"/>
  </r>
  <r>
    <s v="CA-2013-145919"/>
    <d v="2013-12-19T00:00:00"/>
    <d v="2013-12-24T00:00:00"/>
    <s v="HenryGoldwyn@gmail.com"/>
    <x v="0"/>
    <x v="1"/>
    <x v="312"/>
    <n v="183.84"/>
    <n v="8"/>
    <n v="62.505600000000001"/>
    <x v="0"/>
    <n v="12"/>
    <x v="1"/>
    <n v="19"/>
    <n v="5"/>
    <n v="34"/>
    <n v="22.98"/>
    <x v="0"/>
    <x v="0"/>
    <x v="0"/>
  </r>
  <r>
    <s v="CA-2014-106033"/>
    <d v="2014-10-16T00:00:00"/>
    <d v="2014-10-19T00:00:00"/>
    <s v="FrankGastineau@gmail.com"/>
    <x v="3"/>
    <x v="2"/>
    <x v="313"/>
    <n v="87.92"/>
    <n v="4"/>
    <n v="26.376000000000001"/>
    <x v="3"/>
    <n v="10"/>
    <x v="7"/>
    <n v="16"/>
    <n v="3"/>
    <n v="30"/>
    <n v="21.98"/>
    <x v="0"/>
    <x v="0"/>
    <x v="0"/>
  </r>
  <r>
    <s v="CA-2013-142762"/>
    <d v="2013-05-24T00:00:00"/>
    <d v="2013-05-28T00:00:00"/>
    <s v="LisaDeCherney@gmail.com"/>
    <x v="3"/>
    <x v="1"/>
    <x v="296"/>
    <n v="37.049999999999997"/>
    <n v="3"/>
    <n v="16.302"/>
    <x v="0"/>
    <n v="5"/>
    <x v="2"/>
    <n v="24"/>
    <n v="4"/>
    <n v="44"/>
    <n v="12.35"/>
    <x v="0"/>
    <x v="0"/>
    <x v="0"/>
  </r>
  <r>
    <s v="CA-2011-121664"/>
    <d v="2011-05-06T00:00:00"/>
    <d v="2011-05-10T00:00:00"/>
    <s v="HaroldPawlan@gmail.com"/>
    <x v="0"/>
    <x v="3"/>
    <x v="314"/>
    <n v="140.73599999999999"/>
    <n v="8"/>
    <n v="52.776000000000003"/>
    <x v="1"/>
    <n v="5"/>
    <x v="2"/>
    <n v="6"/>
    <n v="4"/>
    <n v="37.5"/>
    <n v="17.591999999999999"/>
    <x v="0"/>
    <x v="0"/>
    <x v="0"/>
  </r>
  <r>
    <s v="US-2014-123281"/>
    <d v="2014-04-03T00:00:00"/>
    <d v="2014-04-08T00:00:00"/>
    <s v="JamieFrazer@gmail.com"/>
    <x v="0"/>
    <x v="1"/>
    <x v="315"/>
    <n v="25.11"/>
    <n v="3"/>
    <n v="6.5286"/>
    <x v="3"/>
    <n v="4"/>
    <x v="10"/>
    <n v="3"/>
    <n v="5"/>
    <n v="26"/>
    <n v="8.3699999999999992"/>
    <x v="0"/>
    <x v="0"/>
    <x v="0"/>
  </r>
  <r>
    <s v="CA-2014-162978"/>
    <d v="2014-05-05T00:00:00"/>
    <d v="2014-05-10T00:00:00"/>
    <s v="LindsayWilliams@gmail.com"/>
    <x v="3"/>
    <x v="6"/>
    <x v="316"/>
    <n v="183.96"/>
    <n v="5"/>
    <n v="20.695499999999999"/>
    <x v="3"/>
    <n v="5"/>
    <x v="2"/>
    <n v="5"/>
    <n v="5"/>
    <n v="11.25"/>
    <n v="36.792000000000002"/>
    <x v="0"/>
    <x v="0"/>
    <x v="0"/>
  </r>
  <r>
    <s v="CA-2014-162978"/>
    <d v="2014-05-05T00:00:00"/>
    <d v="2014-05-10T00:00:00"/>
    <s v="LindsayWilliams@gmail.com"/>
    <x v="3"/>
    <x v="8"/>
    <x v="317"/>
    <n v="17.61"/>
    <n v="3"/>
    <n v="8.4527999999999999"/>
    <x v="3"/>
    <n v="5"/>
    <x v="2"/>
    <n v="5"/>
    <n v="5"/>
    <n v="48"/>
    <n v="5.87"/>
    <x v="0"/>
    <x v="0"/>
    <x v="0"/>
  </r>
  <r>
    <s v="CA-2014-162978"/>
    <d v="2014-05-05T00:00:00"/>
    <d v="2014-05-10T00:00:00"/>
    <s v="LindsayWilliams@gmail.com"/>
    <x v="3"/>
    <x v="13"/>
    <x v="318"/>
    <n v="300.904"/>
    <n v="1"/>
    <n v="11.283899999999999"/>
    <x v="3"/>
    <n v="5"/>
    <x v="2"/>
    <n v="5"/>
    <n v="5"/>
    <n v="3.75"/>
    <n v="300.904"/>
    <x v="0"/>
    <x v="0"/>
    <x v="1"/>
  </r>
  <r>
    <s v="US-2011-151925"/>
    <d v="2011-09-26T00:00:00"/>
    <d v="2011-10-01T00:00:00"/>
    <s v="KeanTakahito@gmail.com"/>
    <x v="0"/>
    <x v="9"/>
    <x v="319"/>
    <n v="145.56800000000001"/>
    <n v="2"/>
    <n v="0"/>
    <x v="1"/>
    <n v="9"/>
    <x v="8"/>
    <n v="26"/>
    <n v="5"/>
    <n v="0"/>
    <n v="72.784000000000006"/>
    <x v="0"/>
    <x v="0"/>
    <x v="0"/>
  </r>
  <r>
    <s v="US-2014-155425"/>
    <d v="2014-11-11T00:00:00"/>
    <d v="2014-11-12T00:00:00"/>
    <s v="AnnBlume@gmail.com"/>
    <x v="24"/>
    <x v="3"/>
    <x v="320"/>
    <n v="38.387999999999998"/>
    <n v="14"/>
    <n v="-25.591999999999999"/>
    <x v="3"/>
    <n v="11"/>
    <x v="6"/>
    <n v="11"/>
    <n v="1"/>
    <n v="-66.67"/>
    <n v="2.742"/>
    <x v="0"/>
    <x v="1"/>
    <x v="0"/>
  </r>
  <r>
    <s v="US-2014-155425"/>
    <d v="2014-11-11T00:00:00"/>
    <d v="2014-11-12T00:00:00"/>
    <s v="AnnBlume@gmail.com"/>
    <x v="24"/>
    <x v="15"/>
    <x v="321"/>
    <n v="95.994"/>
    <n v="2"/>
    <n v="-63.996000000000002"/>
    <x v="3"/>
    <n v="11"/>
    <x v="6"/>
    <n v="11"/>
    <n v="1"/>
    <n v="-66.67"/>
    <n v="47.997"/>
    <x v="0"/>
    <x v="1"/>
    <x v="0"/>
  </r>
  <r>
    <s v="US-2014-155425"/>
    <d v="2014-11-11T00:00:00"/>
    <d v="2014-11-12T00:00:00"/>
    <s v="AnnBlume@gmail.com"/>
    <x v="24"/>
    <x v="7"/>
    <x v="322"/>
    <n v="239.952"/>
    <n v="6"/>
    <n v="-35.992800000000003"/>
    <x v="3"/>
    <n v="11"/>
    <x v="6"/>
    <n v="11"/>
    <n v="1"/>
    <n v="-15"/>
    <n v="39.991999999999997"/>
    <x v="0"/>
    <x v="1"/>
    <x v="1"/>
  </r>
  <r>
    <s v="US-2014-155425"/>
    <d v="2014-11-11T00:00:00"/>
    <d v="2014-11-12T00:00:00"/>
    <s v="AnnBlume@gmail.com"/>
    <x v="24"/>
    <x v="6"/>
    <x v="61"/>
    <n v="201.584"/>
    <n v="2"/>
    <n v="15.1188"/>
    <x v="3"/>
    <n v="11"/>
    <x v="6"/>
    <n v="11"/>
    <n v="1"/>
    <n v="7.5"/>
    <n v="100.792"/>
    <x v="0"/>
    <x v="0"/>
    <x v="0"/>
  </r>
  <r>
    <s v="CA-2014-133249"/>
    <d v="2014-07-09T00:00:00"/>
    <d v="2014-07-12T00:00:00"/>
    <s v="SamZeldin@gmail.com"/>
    <x v="60"/>
    <x v="1"/>
    <x v="323"/>
    <n v="145.9"/>
    <n v="5"/>
    <n v="62.737000000000002"/>
    <x v="3"/>
    <n v="7"/>
    <x v="5"/>
    <n v="9"/>
    <n v="3"/>
    <n v="43"/>
    <n v="29.18"/>
    <x v="0"/>
    <x v="0"/>
    <x v="0"/>
  </r>
  <r>
    <s v="US-2012-103471"/>
    <d v="2012-12-24T00:00:00"/>
    <d v="2012-12-28T00:00:00"/>
    <s v="JimRadford@gmail.com"/>
    <x v="19"/>
    <x v="2"/>
    <x v="324"/>
    <n v="14.04"/>
    <n v="3"/>
    <n v="1.5794999999999999"/>
    <x v="2"/>
    <n v="12"/>
    <x v="1"/>
    <n v="24"/>
    <n v="4"/>
    <n v="11.25"/>
    <n v="4.68"/>
    <x v="0"/>
    <x v="0"/>
    <x v="0"/>
  </r>
  <r>
    <s v="US-2011-157021"/>
    <d v="2011-04-01T00:00:00"/>
    <d v="2011-04-06T00:00:00"/>
    <s v="KunstMiller@gmail.com"/>
    <x v="36"/>
    <x v="0"/>
    <x v="325"/>
    <n v="29.6"/>
    <n v="2"/>
    <n v="14.8"/>
    <x v="1"/>
    <n v="4"/>
    <x v="10"/>
    <n v="1"/>
    <n v="5"/>
    <n v="50"/>
    <n v="14.8"/>
    <x v="0"/>
    <x v="0"/>
    <x v="0"/>
  </r>
  <r>
    <s v="US-2011-157021"/>
    <d v="2011-04-01T00:00:00"/>
    <d v="2011-04-06T00:00:00"/>
    <s v="KunstMiller@gmail.com"/>
    <x v="36"/>
    <x v="3"/>
    <x v="326"/>
    <n v="17.088000000000001"/>
    <n v="4"/>
    <n v="5.5536000000000003"/>
    <x v="1"/>
    <n v="4"/>
    <x v="10"/>
    <n v="1"/>
    <n v="5"/>
    <n v="32.5"/>
    <n v="4.2720000000000002"/>
    <x v="0"/>
    <x v="0"/>
    <x v="0"/>
  </r>
  <r>
    <s v="CA-2011-126361"/>
    <d v="2011-08-04T00:00:00"/>
    <d v="2011-08-09T00:00:00"/>
    <s v="ValerieDominguez@gmail.com"/>
    <x v="61"/>
    <x v="8"/>
    <x v="327"/>
    <n v="447.84"/>
    <n v="8"/>
    <n v="219.44159999999999"/>
    <x v="1"/>
    <n v="8"/>
    <x v="3"/>
    <n v="4"/>
    <n v="5"/>
    <n v="49"/>
    <n v="55.98"/>
    <x v="0"/>
    <x v="0"/>
    <x v="1"/>
  </r>
  <r>
    <s v="CA-2011-126361"/>
    <d v="2011-08-04T00:00:00"/>
    <d v="2011-08-09T00:00:00"/>
    <s v="ValerieDominguez@gmail.com"/>
    <x v="61"/>
    <x v="2"/>
    <x v="328"/>
    <n v="16.399999999999999"/>
    <n v="5"/>
    <n v="4.2640000000000002"/>
    <x v="1"/>
    <n v="8"/>
    <x v="3"/>
    <n v="4"/>
    <n v="5"/>
    <n v="26"/>
    <n v="3.28"/>
    <x v="0"/>
    <x v="0"/>
    <x v="0"/>
  </r>
  <r>
    <s v="CA-2011-126361"/>
    <d v="2011-08-04T00:00:00"/>
    <d v="2011-08-09T00:00:00"/>
    <s v="ValerieDominguez@gmail.com"/>
    <x v="61"/>
    <x v="6"/>
    <x v="329"/>
    <n v="399.96"/>
    <n v="5"/>
    <n v="34.996499999999997"/>
    <x v="1"/>
    <n v="8"/>
    <x v="3"/>
    <n v="4"/>
    <n v="5"/>
    <n v="8.75"/>
    <n v="79.99199999999999"/>
    <x v="0"/>
    <x v="0"/>
    <x v="1"/>
  </r>
  <r>
    <s v="CA-2011-126361"/>
    <d v="2011-08-04T00:00:00"/>
    <d v="2011-08-09T00:00:00"/>
    <s v="ValerieDominguez@gmail.com"/>
    <x v="61"/>
    <x v="5"/>
    <x v="330"/>
    <n v="158.9"/>
    <n v="5"/>
    <n v="7.9450000000000003"/>
    <x v="1"/>
    <n v="8"/>
    <x v="3"/>
    <n v="4"/>
    <n v="5"/>
    <n v="5"/>
    <n v="31.78"/>
    <x v="0"/>
    <x v="0"/>
    <x v="0"/>
  </r>
  <r>
    <s v="CA-2011-126361"/>
    <d v="2011-08-04T00:00:00"/>
    <d v="2011-08-09T00:00:00"/>
    <s v="ValerieDominguez@gmail.com"/>
    <x v="61"/>
    <x v="3"/>
    <x v="331"/>
    <n v="13.183999999999999"/>
    <n v="1"/>
    <n v="4.7792000000000003"/>
    <x v="1"/>
    <n v="8"/>
    <x v="3"/>
    <n v="4"/>
    <n v="5"/>
    <n v="36.25"/>
    <n v="13.183999999999999"/>
    <x v="0"/>
    <x v="0"/>
    <x v="0"/>
  </r>
  <r>
    <s v="US-2013-122245"/>
    <d v="2013-09-26T00:00:00"/>
    <d v="2013-10-01T00:00:00"/>
    <s v="AdrianBarton@gmail.com"/>
    <x v="7"/>
    <x v="13"/>
    <x v="235"/>
    <n v="393.16500000000002"/>
    <n v="3"/>
    <n v="-204.44579999999999"/>
    <x v="0"/>
    <n v="9"/>
    <x v="8"/>
    <n v="26"/>
    <n v="5"/>
    <n v="-52"/>
    <n v="131.05500000000001"/>
    <x v="0"/>
    <x v="1"/>
    <x v="1"/>
  </r>
  <r>
    <s v="CA-2014-115994"/>
    <d v="2014-01-29T00:00:00"/>
    <d v="2014-02-01T00:00:00"/>
    <s v="BethThompson@gmail.com"/>
    <x v="30"/>
    <x v="7"/>
    <x v="332"/>
    <n v="239.97"/>
    <n v="3"/>
    <n v="26.396699999999999"/>
    <x v="3"/>
    <n v="1"/>
    <x v="4"/>
    <n v="29"/>
    <n v="3"/>
    <n v="11"/>
    <n v="79.989999999999995"/>
    <x v="0"/>
    <x v="0"/>
    <x v="1"/>
  </r>
  <r>
    <s v="CA-2014-115994"/>
    <d v="2014-01-29T00:00:00"/>
    <d v="2014-02-01T00:00:00"/>
    <s v="BethThompson@gmail.com"/>
    <x v="30"/>
    <x v="1"/>
    <x v="333"/>
    <n v="37.74"/>
    <n v="3"/>
    <n v="12.8316"/>
    <x v="3"/>
    <n v="1"/>
    <x v="4"/>
    <n v="29"/>
    <n v="3"/>
    <n v="34"/>
    <n v="12.58"/>
    <x v="0"/>
    <x v="0"/>
    <x v="0"/>
  </r>
  <r>
    <s v="CA-2012-124800"/>
    <d v="2012-09-26T00:00:00"/>
    <d v="2012-09-30T00:00:00"/>
    <s v="RickWilson@gmail.com"/>
    <x v="33"/>
    <x v="8"/>
    <x v="334"/>
    <n v="86.272000000000006"/>
    <n v="4"/>
    <n v="31.273599999999998"/>
    <x v="2"/>
    <n v="9"/>
    <x v="8"/>
    <n v="26"/>
    <n v="4"/>
    <n v="36.25"/>
    <n v="21.568000000000001"/>
    <x v="0"/>
    <x v="0"/>
    <x v="0"/>
  </r>
  <r>
    <s v="CA-2012-124800"/>
    <d v="2012-09-26T00:00:00"/>
    <d v="2012-09-30T00:00:00"/>
    <s v="RickWilson@gmail.com"/>
    <x v="33"/>
    <x v="3"/>
    <x v="335"/>
    <n v="72.587999999999994"/>
    <n v="2"/>
    <n v="-48.392000000000003"/>
    <x v="2"/>
    <n v="9"/>
    <x v="8"/>
    <n v="26"/>
    <n v="4"/>
    <n v="-66.67"/>
    <n v="36.293999999999997"/>
    <x v="0"/>
    <x v="1"/>
    <x v="0"/>
  </r>
  <r>
    <s v="CA-2012-124800"/>
    <d v="2012-09-26T00:00:00"/>
    <d v="2012-09-30T00:00:00"/>
    <s v="RickWilson@gmail.com"/>
    <x v="33"/>
    <x v="4"/>
    <x v="336"/>
    <n v="60.671999999999997"/>
    <n v="2"/>
    <n v="14.409599999999999"/>
    <x v="2"/>
    <n v="9"/>
    <x v="8"/>
    <n v="26"/>
    <n v="4"/>
    <n v="23.75"/>
    <n v="30.335999999999999"/>
    <x v="0"/>
    <x v="0"/>
    <x v="0"/>
  </r>
  <r>
    <s v="CA-2012-124800"/>
    <d v="2012-09-26T00:00:00"/>
    <d v="2012-09-30T00:00:00"/>
    <s v="RickWilson@gmail.com"/>
    <x v="33"/>
    <x v="3"/>
    <x v="281"/>
    <n v="77.031000000000006"/>
    <n v="9"/>
    <n v="-59.057099999999998"/>
    <x v="2"/>
    <n v="9"/>
    <x v="8"/>
    <n v="26"/>
    <n v="4"/>
    <n v="-76.67"/>
    <n v="8.5590000000000011"/>
    <x v="0"/>
    <x v="1"/>
    <x v="0"/>
  </r>
  <r>
    <s v="CA-2012-124800"/>
    <d v="2012-09-26T00:00:00"/>
    <d v="2012-09-30T00:00:00"/>
    <s v="RickWilson@gmail.com"/>
    <x v="33"/>
    <x v="5"/>
    <x v="337"/>
    <n v="119.904"/>
    <n v="6"/>
    <n v="-1.4987999999999999"/>
    <x v="2"/>
    <n v="9"/>
    <x v="8"/>
    <n v="26"/>
    <n v="4"/>
    <n v="-1.25"/>
    <n v="19.984000000000002"/>
    <x v="0"/>
    <x v="1"/>
    <x v="0"/>
  </r>
  <r>
    <s v="CA-2012-124800"/>
    <d v="2012-09-26T00:00:00"/>
    <d v="2012-09-30T00:00:00"/>
    <s v="RickWilson@gmail.com"/>
    <x v="33"/>
    <x v="6"/>
    <x v="338"/>
    <n v="263.95999999999998"/>
    <n v="5"/>
    <n v="23.096499999999999"/>
    <x v="2"/>
    <n v="9"/>
    <x v="8"/>
    <n v="26"/>
    <n v="4"/>
    <n v="8.75"/>
    <n v="52.791999999999987"/>
    <x v="0"/>
    <x v="0"/>
    <x v="1"/>
  </r>
  <r>
    <s v="CA-2012-124800"/>
    <d v="2012-09-26T00:00:00"/>
    <d v="2012-09-30T00:00:00"/>
    <s v="RickWilson@gmail.com"/>
    <x v="33"/>
    <x v="5"/>
    <x v="116"/>
    <n v="363.64800000000002"/>
    <n v="4"/>
    <n v="-86.366399999999999"/>
    <x v="2"/>
    <n v="9"/>
    <x v="8"/>
    <n v="26"/>
    <n v="4"/>
    <n v="-23.75"/>
    <n v="90.912000000000006"/>
    <x v="0"/>
    <x v="1"/>
    <x v="1"/>
  </r>
  <r>
    <s v="US-2012-164448"/>
    <d v="2012-10-31T00:00:00"/>
    <d v="2012-11-04T00:00:00"/>
    <s v="DamalaKotsonis@gmail.com"/>
    <x v="45"/>
    <x v="3"/>
    <x v="339"/>
    <n v="9.7279999999999998"/>
    <n v="2"/>
    <n v="3.2831999999999999"/>
    <x v="2"/>
    <n v="10"/>
    <x v="7"/>
    <n v="31"/>
    <n v="4"/>
    <n v="33.75"/>
    <n v="4.8639999999999999"/>
    <x v="0"/>
    <x v="0"/>
    <x v="0"/>
  </r>
  <r>
    <s v="US-2012-164448"/>
    <d v="2012-10-31T00:00:00"/>
    <d v="2012-11-04T00:00:00"/>
    <s v="DamalaKotsonis@gmail.com"/>
    <x v="45"/>
    <x v="12"/>
    <x v="247"/>
    <n v="14.75"/>
    <n v="5"/>
    <n v="7.08"/>
    <x v="2"/>
    <n v="10"/>
    <x v="7"/>
    <n v="31"/>
    <n v="4"/>
    <n v="48"/>
    <n v="2.95"/>
    <x v="0"/>
    <x v="0"/>
    <x v="0"/>
  </r>
  <r>
    <s v="US-2012-164448"/>
    <d v="2012-10-31T00:00:00"/>
    <d v="2012-11-04T00:00:00"/>
    <s v="DamalaKotsonis@gmail.com"/>
    <x v="45"/>
    <x v="3"/>
    <x v="340"/>
    <n v="29.8"/>
    <n v="5"/>
    <n v="9.3125"/>
    <x v="2"/>
    <n v="10"/>
    <x v="7"/>
    <n v="31"/>
    <n v="4"/>
    <n v="31.25"/>
    <n v="5.96"/>
    <x v="0"/>
    <x v="0"/>
    <x v="0"/>
  </r>
  <r>
    <s v="US-2012-164448"/>
    <d v="2012-10-31T00:00:00"/>
    <d v="2012-11-04T00:00:00"/>
    <s v="DamalaKotsonis@gmail.com"/>
    <x v="45"/>
    <x v="0"/>
    <x v="341"/>
    <n v="427.42"/>
    <n v="14"/>
    <n v="196.61320000000001"/>
    <x v="2"/>
    <n v="10"/>
    <x v="7"/>
    <n v="31"/>
    <n v="4"/>
    <n v="46"/>
    <n v="30.53"/>
    <x v="0"/>
    <x v="0"/>
    <x v="1"/>
  </r>
  <r>
    <s v="US-2013-153129"/>
    <d v="2013-12-27T00:00:00"/>
    <d v="2013-12-31T00:00:00"/>
    <s v="FrankPreis@gmail.com"/>
    <x v="1"/>
    <x v="8"/>
    <x v="342"/>
    <n v="33.9"/>
    <n v="5"/>
    <n v="15.593999999999999"/>
    <x v="0"/>
    <n v="12"/>
    <x v="1"/>
    <n v="27"/>
    <n v="4"/>
    <n v="46"/>
    <n v="6.7799999999999994"/>
    <x v="0"/>
    <x v="0"/>
    <x v="0"/>
  </r>
  <r>
    <s v="CA-2014-128160"/>
    <d v="2014-12-20T00:00:00"/>
    <d v="2014-12-25T00:00:00"/>
    <s v="MichaelMoore@gmail.com"/>
    <x v="3"/>
    <x v="3"/>
    <x v="343"/>
    <n v="36.671999999999997"/>
    <n v="2"/>
    <n v="11.46"/>
    <x v="3"/>
    <n v="12"/>
    <x v="1"/>
    <n v="20"/>
    <n v="5"/>
    <n v="31.25"/>
    <n v="18.335999999999999"/>
    <x v="0"/>
    <x v="0"/>
    <x v="0"/>
  </r>
  <r>
    <s v="CA-2012-166135"/>
    <d v="2012-10-01T00:00:00"/>
    <d v="2012-10-06T00:00:00"/>
    <s v="ShaunChance@gmail.com"/>
    <x v="6"/>
    <x v="5"/>
    <x v="29"/>
    <n v="139.42400000000001"/>
    <n v="4"/>
    <n v="17.428000000000001"/>
    <x v="2"/>
    <n v="10"/>
    <x v="7"/>
    <n v="1"/>
    <n v="5"/>
    <n v="12.5"/>
    <n v="34.856000000000002"/>
    <x v="0"/>
    <x v="0"/>
    <x v="0"/>
  </r>
  <r>
    <s v="CA-2012-145821"/>
    <d v="2012-05-01T00:00:00"/>
    <d v="2012-05-07T00:00:00"/>
    <s v="JenniferBraxton@gmail.com"/>
    <x v="0"/>
    <x v="6"/>
    <x v="344"/>
    <n v="88.751999999999995"/>
    <n v="3"/>
    <n v="11.093999999999999"/>
    <x v="2"/>
    <n v="5"/>
    <x v="2"/>
    <n v="1"/>
    <n v="6"/>
    <n v="12.5"/>
    <n v="29.584"/>
    <x v="0"/>
    <x v="0"/>
    <x v="0"/>
  </r>
  <r>
    <s v="US-2012-160150"/>
    <d v="2012-07-19T00:00:00"/>
    <d v="2012-07-20T00:00:00"/>
    <s v="ThaisSissman@gmail.com"/>
    <x v="7"/>
    <x v="3"/>
    <x v="345"/>
    <n v="2.0249999999999999"/>
    <n v="1"/>
    <n v="-1.35"/>
    <x v="2"/>
    <n v="7"/>
    <x v="5"/>
    <n v="19"/>
    <n v="1"/>
    <n v="-66.67"/>
    <n v="2.0249999999999999"/>
    <x v="1"/>
    <x v="1"/>
    <x v="0"/>
  </r>
  <r>
    <s v="CA-2012-119907"/>
    <d v="2012-12-01T00:00:00"/>
    <d v="2012-12-08T00:00:00"/>
    <s v="LoganCurrie@gmail.com"/>
    <x v="1"/>
    <x v="3"/>
    <x v="346"/>
    <n v="55.423999999999999"/>
    <n v="2"/>
    <n v="19.398399999999999"/>
    <x v="2"/>
    <n v="12"/>
    <x v="1"/>
    <n v="1"/>
    <n v="7"/>
    <n v="35"/>
    <n v="27.712"/>
    <x v="0"/>
    <x v="0"/>
    <x v="0"/>
  </r>
  <r>
    <s v="CA-2011-151708"/>
    <d v="2011-08-08T00:00:00"/>
    <d v="2011-08-14T00:00:00"/>
    <s v="MariaBertelson@gmail.com"/>
    <x v="62"/>
    <x v="1"/>
    <x v="249"/>
    <n v="121.376"/>
    <n v="4"/>
    <n v="-3.0344000000000002"/>
    <x v="1"/>
    <n v="8"/>
    <x v="3"/>
    <n v="8"/>
    <n v="6"/>
    <n v="-2.5"/>
    <n v="30.344000000000001"/>
    <x v="0"/>
    <x v="1"/>
    <x v="0"/>
  </r>
  <r>
    <s v="CA-2011-151708"/>
    <d v="2011-08-08T00:00:00"/>
    <d v="2011-08-14T00:00:00"/>
    <s v="MariaBertelson@gmail.com"/>
    <x v="62"/>
    <x v="7"/>
    <x v="347"/>
    <n v="95.975999999999999"/>
    <n v="3"/>
    <n v="-10.7973"/>
    <x v="1"/>
    <n v="8"/>
    <x v="3"/>
    <n v="8"/>
    <n v="6"/>
    <n v="-11.25"/>
    <n v="31.992000000000001"/>
    <x v="0"/>
    <x v="1"/>
    <x v="0"/>
  </r>
  <r>
    <s v="CA-2014-164959"/>
    <d v="2014-07-12T00:00:00"/>
    <d v="2014-07-16T00:00:00"/>
    <s v="KatherineNockton@gmail.com"/>
    <x v="0"/>
    <x v="0"/>
    <x v="348"/>
    <n v="8.67"/>
    <n v="3"/>
    <n v="4.0749000000000004"/>
    <x v="3"/>
    <n v="7"/>
    <x v="5"/>
    <n v="12"/>
    <n v="4"/>
    <n v="47"/>
    <n v="2.89"/>
    <x v="0"/>
    <x v="0"/>
    <x v="0"/>
  </r>
  <r>
    <s v="CA-2014-121468"/>
    <d v="2014-11-20T00:00:00"/>
    <d v="2014-11-21T00:00:00"/>
    <s v="KatherineDucich@gmail.com"/>
    <x v="63"/>
    <x v="6"/>
    <x v="349"/>
    <n v="31.968"/>
    <n v="4"/>
    <n v="2.3976000000000002"/>
    <x v="3"/>
    <n v="11"/>
    <x v="6"/>
    <n v="20"/>
    <n v="1"/>
    <n v="7.5"/>
    <n v="7.992"/>
    <x v="0"/>
    <x v="0"/>
    <x v="0"/>
  </r>
  <r>
    <s v="US-2013-108455"/>
    <d v="2013-12-03T00:00:00"/>
    <d v="2013-12-09T00:00:00"/>
    <s v="MikeKennedy@gmail.com"/>
    <x v="3"/>
    <x v="8"/>
    <x v="350"/>
    <n v="25.92"/>
    <n v="4"/>
    <n v="12.441599999999999"/>
    <x v="0"/>
    <n v="12"/>
    <x v="1"/>
    <n v="3"/>
    <n v="6"/>
    <n v="48"/>
    <n v="6.48"/>
    <x v="0"/>
    <x v="0"/>
    <x v="0"/>
  </r>
  <r>
    <s v="US-2013-108455"/>
    <d v="2013-12-03T00:00:00"/>
    <d v="2013-12-09T00:00:00"/>
    <s v="MikeKennedy@gmail.com"/>
    <x v="3"/>
    <x v="8"/>
    <x v="351"/>
    <n v="40.46"/>
    <n v="7"/>
    <n v="19.825399999999998"/>
    <x v="0"/>
    <n v="12"/>
    <x v="1"/>
    <n v="3"/>
    <n v="6"/>
    <n v="49"/>
    <n v="5.78"/>
    <x v="0"/>
    <x v="0"/>
    <x v="0"/>
  </r>
  <r>
    <s v="US-2013-108455"/>
    <d v="2013-12-03T00:00:00"/>
    <d v="2013-12-09T00:00:00"/>
    <s v="MikeKennedy@gmail.com"/>
    <x v="3"/>
    <x v="5"/>
    <x v="352"/>
    <n v="33.869999999999997"/>
    <n v="3"/>
    <n v="8.8062000000000005"/>
    <x v="0"/>
    <n v="12"/>
    <x v="1"/>
    <n v="3"/>
    <n v="6"/>
    <n v="26"/>
    <n v="11.29"/>
    <x v="0"/>
    <x v="0"/>
    <x v="0"/>
  </r>
  <r>
    <s v="US-2013-108098"/>
    <d v="2013-10-15T00:00:00"/>
    <d v="2013-10-19T00:00:00"/>
    <s v="ChristinePhan@gmail.com"/>
    <x v="1"/>
    <x v="7"/>
    <x v="353"/>
    <n v="177"/>
    <n v="3"/>
    <n v="30.09"/>
    <x v="0"/>
    <n v="10"/>
    <x v="7"/>
    <n v="15"/>
    <n v="4"/>
    <n v="17"/>
    <n v="59"/>
    <x v="0"/>
    <x v="0"/>
    <x v="0"/>
  </r>
  <r>
    <s v="CA-2012-140410"/>
    <d v="2012-11-03T00:00:00"/>
    <d v="2012-11-07T00:00:00"/>
    <s v="CorinnaMitchell@gmail.com"/>
    <x v="0"/>
    <x v="7"/>
    <x v="354"/>
    <n v="89.97"/>
    <n v="3"/>
    <n v="37.787399999999998"/>
    <x v="2"/>
    <n v="11"/>
    <x v="6"/>
    <n v="3"/>
    <n v="4"/>
    <n v="42"/>
    <n v="29.99"/>
    <x v="0"/>
    <x v="0"/>
    <x v="0"/>
  </r>
  <r>
    <s v="CA-2012-140410"/>
    <d v="2012-11-03T00:00:00"/>
    <d v="2012-11-07T00:00:00"/>
    <s v="CorinnaMitchell@gmail.com"/>
    <x v="0"/>
    <x v="1"/>
    <x v="146"/>
    <n v="42.6"/>
    <n v="3"/>
    <n v="16.614000000000001"/>
    <x v="2"/>
    <n v="11"/>
    <x v="6"/>
    <n v="3"/>
    <n v="4"/>
    <n v="39"/>
    <n v="14.2"/>
    <x v="0"/>
    <x v="0"/>
    <x v="0"/>
  </r>
  <r>
    <s v="CA-2014-139661"/>
    <d v="2014-10-31T00:00:00"/>
    <d v="2014-11-04T00:00:00"/>
    <s v="JaneWaco@gmail.com"/>
    <x v="39"/>
    <x v="1"/>
    <x v="355"/>
    <n v="9.64"/>
    <n v="2"/>
    <n v="3.6631999999999998"/>
    <x v="3"/>
    <n v="10"/>
    <x v="7"/>
    <n v="31"/>
    <n v="4"/>
    <n v="38"/>
    <n v="4.82"/>
    <x v="0"/>
    <x v="0"/>
    <x v="0"/>
  </r>
  <r>
    <s v="CA-2013-141586"/>
    <d v="2013-10-18T00:00:00"/>
    <d v="2013-10-21T00:00:00"/>
    <s v="NeilKnudson@gmail.com"/>
    <x v="3"/>
    <x v="3"/>
    <x v="356"/>
    <n v="18.16"/>
    <n v="5"/>
    <n v="6.5830000000000002"/>
    <x v="0"/>
    <n v="10"/>
    <x v="7"/>
    <n v="18"/>
    <n v="3"/>
    <n v="36.25"/>
    <n v="3.6320000000000001"/>
    <x v="0"/>
    <x v="0"/>
    <x v="0"/>
  </r>
  <r>
    <s v="CA-2013-100468"/>
    <d v="2013-11-25T00:00:00"/>
    <d v="2013-12-02T00:00:00"/>
    <s v="AlyssaTate@gmail.com"/>
    <x v="0"/>
    <x v="6"/>
    <x v="357"/>
    <n v="33.520000000000003"/>
    <n v="2"/>
    <n v="3.3519999999999999"/>
    <x v="0"/>
    <n v="11"/>
    <x v="6"/>
    <n v="25"/>
    <n v="7"/>
    <n v="10"/>
    <n v="16.760000000000002"/>
    <x v="0"/>
    <x v="0"/>
    <x v="0"/>
  </r>
  <r>
    <s v="CA-2013-100468"/>
    <d v="2013-11-25T00:00:00"/>
    <d v="2013-12-02T00:00:00"/>
    <s v="AlyssaTate@gmail.com"/>
    <x v="0"/>
    <x v="1"/>
    <x v="358"/>
    <n v="9.94"/>
    <n v="2"/>
    <n v="3.0813999999999999"/>
    <x v="0"/>
    <n v="11"/>
    <x v="6"/>
    <n v="25"/>
    <n v="7"/>
    <n v="31"/>
    <n v="4.97"/>
    <x v="0"/>
    <x v="0"/>
    <x v="0"/>
  </r>
  <r>
    <s v="CA-2012-153388"/>
    <d v="2012-08-01T00:00:00"/>
    <d v="2012-08-07T00:00:00"/>
    <s v="PaulineChand@gmail.com"/>
    <x v="0"/>
    <x v="2"/>
    <x v="359"/>
    <n v="6.72"/>
    <n v="4"/>
    <n v="3.36"/>
    <x v="2"/>
    <n v="8"/>
    <x v="3"/>
    <n v="1"/>
    <n v="6"/>
    <n v="50"/>
    <n v="1.68"/>
    <x v="0"/>
    <x v="0"/>
    <x v="0"/>
  </r>
  <r>
    <s v="CA-2014-103611"/>
    <d v="2014-09-13T00:00:00"/>
    <d v="2014-09-16T00:00:00"/>
    <s v="JessicaMyrick@gmail.com"/>
    <x v="0"/>
    <x v="1"/>
    <x v="360"/>
    <n v="8.36"/>
    <n v="2"/>
    <n v="3.0095999999999998"/>
    <x v="3"/>
    <n v="9"/>
    <x v="8"/>
    <n v="13"/>
    <n v="3"/>
    <n v="36"/>
    <n v="4.18"/>
    <x v="0"/>
    <x v="0"/>
    <x v="0"/>
  </r>
  <r>
    <s v="CA-2014-100384"/>
    <d v="2014-06-25T00:00:00"/>
    <d v="2014-07-02T00:00:00"/>
    <s v="NicoleHansen@gmail.com"/>
    <x v="64"/>
    <x v="2"/>
    <x v="361"/>
    <n v="385.6"/>
    <n v="8"/>
    <n v="111.824"/>
    <x v="3"/>
    <n v="6"/>
    <x v="0"/>
    <n v="25"/>
    <n v="7"/>
    <n v="29"/>
    <n v="48.2"/>
    <x v="0"/>
    <x v="0"/>
    <x v="1"/>
  </r>
  <r>
    <s v="CA-2014-100384"/>
    <d v="2014-06-25T00:00:00"/>
    <d v="2014-07-02T00:00:00"/>
    <s v="NicoleHansen@gmail.com"/>
    <x v="64"/>
    <x v="2"/>
    <x v="362"/>
    <n v="35.82"/>
    <n v="9"/>
    <n v="11.820600000000001"/>
    <x v="3"/>
    <n v="6"/>
    <x v="0"/>
    <n v="25"/>
    <n v="7"/>
    <n v="33"/>
    <n v="3.98"/>
    <x v="0"/>
    <x v="0"/>
    <x v="0"/>
  </r>
  <r>
    <s v="CA-2011-111059"/>
    <d v="2011-02-04T00:00:00"/>
    <d v="2011-02-07T00:00:00"/>
    <s v="TomBoeckenhauer@gmail.com"/>
    <x v="1"/>
    <x v="3"/>
    <x v="76"/>
    <n v="83.84"/>
    <n v="2"/>
    <n v="27.248000000000001"/>
    <x v="1"/>
    <n v="2"/>
    <x v="11"/>
    <n v="4"/>
    <n v="3"/>
    <n v="32.5"/>
    <n v="41.92"/>
    <x v="0"/>
    <x v="0"/>
    <x v="0"/>
  </r>
  <r>
    <s v="CA-2011-111059"/>
    <d v="2011-02-04T00:00:00"/>
    <d v="2011-02-07T00:00:00"/>
    <s v="TomBoeckenhauer@gmail.com"/>
    <x v="1"/>
    <x v="3"/>
    <x v="363"/>
    <n v="13.272"/>
    <n v="3"/>
    <n v="4.3133999999999997"/>
    <x v="1"/>
    <n v="2"/>
    <x v="11"/>
    <n v="4"/>
    <n v="3"/>
    <n v="32.5"/>
    <n v="4.4240000000000004"/>
    <x v="0"/>
    <x v="0"/>
    <x v="0"/>
  </r>
  <r>
    <s v="CA-2014-116204"/>
    <d v="2014-02-12T00:00:00"/>
    <d v="2014-02-15T00:00:00"/>
    <s v="VictoriaWilson@gmail.com"/>
    <x v="3"/>
    <x v="3"/>
    <x v="233"/>
    <n v="21.335999999999999"/>
    <n v="7"/>
    <n v="7.7343000000000002"/>
    <x v="3"/>
    <n v="2"/>
    <x v="11"/>
    <n v="12"/>
    <n v="3"/>
    <n v="36.25"/>
    <n v="3.048"/>
    <x v="0"/>
    <x v="0"/>
    <x v="0"/>
  </r>
  <r>
    <s v="CA-2012-144806"/>
    <d v="2012-12-06T00:00:00"/>
    <d v="2012-12-11T00:00:00"/>
    <s v="GaryHwang@gmail.com"/>
    <x v="24"/>
    <x v="1"/>
    <x v="364"/>
    <n v="206.11199999999999"/>
    <n v="6"/>
    <n v="48.951599999999999"/>
    <x v="2"/>
    <n v="12"/>
    <x v="1"/>
    <n v="6"/>
    <n v="5"/>
    <n v="23.75"/>
    <n v="34.351999999999997"/>
    <x v="0"/>
    <x v="0"/>
    <x v="0"/>
  </r>
  <r>
    <s v="CA-2012-144806"/>
    <d v="2012-12-06T00:00:00"/>
    <d v="2012-12-11T00:00:00"/>
    <s v="GaryHwang@gmail.com"/>
    <x v="24"/>
    <x v="8"/>
    <x v="365"/>
    <n v="19.920000000000002"/>
    <n v="5"/>
    <n v="6.7229999999999999"/>
    <x v="2"/>
    <n v="12"/>
    <x v="1"/>
    <n v="6"/>
    <n v="5"/>
    <n v="33.75"/>
    <n v="3.984"/>
    <x v="0"/>
    <x v="0"/>
    <x v="0"/>
  </r>
  <r>
    <s v="CA-2012-144806"/>
    <d v="2012-12-06T00:00:00"/>
    <d v="2012-12-11T00:00:00"/>
    <s v="GaryHwang@gmail.com"/>
    <x v="24"/>
    <x v="8"/>
    <x v="366"/>
    <n v="198.27199999999999"/>
    <n v="8"/>
    <n v="61.96"/>
    <x v="2"/>
    <n v="12"/>
    <x v="1"/>
    <n v="6"/>
    <n v="5"/>
    <n v="31.25"/>
    <n v="24.783999999999999"/>
    <x v="0"/>
    <x v="0"/>
    <x v="0"/>
  </r>
  <r>
    <s v="CA-2012-144806"/>
    <d v="2012-12-06T00:00:00"/>
    <d v="2012-12-11T00:00:00"/>
    <s v="GaryHwang@gmail.com"/>
    <x v="24"/>
    <x v="5"/>
    <x v="367"/>
    <n v="247.10400000000001"/>
    <n v="6"/>
    <n v="-58.687199999999997"/>
    <x v="2"/>
    <n v="12"/>
    <x v="1"/>
    <n v="6"/>
    <n v="5"/>
    <n v="-23.75"/>
    <n v="41.183999999999997"/>
    <x v="0"/>
    <x v="1"/>
    <x v="1"/>
  </r>
  <r>
    <s v="CA-2012-144806"/>
    <d v="2012-12-06T00:00:00"/>
    <d v="2012-12-11T00:00:00"/>
    <s v="GaryHwang@gmail.com"/>
    <x v="24"/>
    <x v="2"/>
    <x v="283"/>
    <n v="86.304000000000002"/>
    <n v="6"/>
    <n v="9.7091999999999992"/>
    <x v="2"/>
    <n v="12"/>
    <x v="1"/>
    <n v="6"/>
    <n v="5"/>
    <n v="11.25"/>
    <n v="14.384"/>
    <x v="0"/>
    <x v="0"/>
    <x v="0"/>
  </r>
  <r>
    <s v="CA-2014-159884"/>
    <d v="2014-09-01T00:00:00"/>
    <d v="2014-09-06T00:00:00"/>
    <s v="JeremyFarry@gmail.com"/>
    <x v="65"/>
    <x v="5"/>
    <x v="368"/>
    <n v="10.744"/>
    <n v="1"/>
    <n v="0.80579999999999996"/>
    <x v="3"/>
    <n v="9"/>
    <x v="8"/>
    <n v="1"/>
    <n v="5"/>
    <n v="7.5"/>
    <n v="10.744"/>
    <x v="0"/>
    <x v="0"/>
    <x v="0"/>
  </r>
  <r>
    <s v="CA-2014-159884"/>
    <d v="2014-09-01T00:00:00"/>
    <d v="2014-09-06T00:00:00"/>
    <s v="JeremyFarry@gmail.com"/>
    <x v="65"/>
    <x v="10"/>
    <x v="369"/>
    <n v="8.3759999999999994"/>
    <n v="3"/>
    <n v="2.7222"/>
    <x v="3"/>
    <n v="9"/>
    <x v="8"/>
    <n v="1"/>
    <n v="5"/>
    <n v="32.5"/>
    <n v="2.7919999999999998"/>
    <x v="0"/>
    <x v="0"/>
    <x v="0"/>
  </r>
  <r>
    <s v="CA-2014-124086"/>
    <d v="2014-02-11T00:00:00"/>
    <d v="2014-02-15T00:00:00"/>
    <s v="MikePelletier@gmail.com"/>
    <x v="66"/>
    <x v="14"/>
    <x v="370"/>
    <n v="203.983"/>
    <n v="2"/>
    <n v="16.7986"/>
    <x v="3"/>
    <n v="2"/>
    <x v="11"/>
    <n v="11"/>
    <n v="4"/>
    <n v="8.24"/>
    <n v="101.9915"/>
    <x v="0"/>
    <x v="0"/>
    <x v="0"/>
  </r>
  <r>
    <s v="CA-2011-107181"/>
    <d v="2011-02-05T00:00:00"/>
    <d v="2011-02-09T00:00:00"/>
    <s v="DeborahBrumfield@gmail.com"/>
    <x v="16"/>
    <x v="3"/>
    <x v="371"/>
    <n v="82.896000000000001"/>
    <n v="3"/>
    <n v="29.0136"/>
    <x v="1"/>
    <n v="2"/>
    <x v="11"/>
    <n v="5"/>
    <n v="4"/>
    <n v="35"/>
    <n v="27.632000000000001"/>
    <x v="0"/>
    <x v="0"/>
    <x v="0"/>
  </r>
  <r>
    <s v="CA-2011-107181"/>
    <d v="2011-02-05T00:00:00"/>
    <d v="2011-02-09T00:00:00"/>
    <s v="DeborahBrumfield@gmail.com"/>
    <x v="16"/>
    <x v="8"/>
    <x v="232"/>
    <n v="34.24"/>
    <n v="4"/>
    <n v="16.0928"/>
    <x v="1"/>
    <n v="2"/>
    <x v="11"/>
    <n v="5"/>
    <n v="4"/>
    <n v="47"/>
    <n v="8.56"/>
    <x v="0"/>
    <x v="0"/>
    <x v="0"/>
  </r>
  <r>
    <s v="CA-2013-159345"/>
    <d v="2013-06-18T00:00:00"/>
    <d v="2013-06-23T00:00:00"/>
    <s v="IvanGibson@gmail.com"/>
    <x v="16"/>
    <x v="8"/>
    <x v="327"/>
    <n v="111.96"/>
    <n v="2"/>
    <n v="54.860399999999998"/>
    <x v="0"/>
    <n v="6"/>
    <x v="0"/>
    <n v="18"/>
    <n v="5"/>
    <n v="49"/>
    <n v="55.98"/>
    <x v="0"/>
    <x v="0"/>
    <x v="0"/>
  </r>
  <r>
    <s v="CA-2012-111507"/>
    <d v="2012-02-06T00:00:00"/>
    <d v="2012-02-13T00:00:00"/>
    <s v="VictoriaWilson@gmail.com"/>
    <x v="67"/>
    <x v="2"/>
    <x v="372"/>
    <n v="5.28"/>
    <n v="3"/>
    <n v="1.5311999999999999"/>
    <x v="2"/>
    <n v="2"/>
    <x v="11"/>
    <n v="6"/>
    <n v="7"/>
    <n v="29"/>
    <n v="1.76"/>
    <x v="0"/>
    <x v="0"/>
    <x v="0"/>
  </r>
  <r>
    <s v="CA-2012-112116"/>
    <d v="2012-03-16T00:00:00"/>
    <d v="2012-03-18T00:00:00"/>
    <s v="JeremyEllison@gmail.com"/>
    <x v="1"/>
    <x v="13"/>
    <x v="373"/>
    <n v="171.96"/>
    <n v="2"/>
    <n v="44.709600000000002"/>
    <x v="2"/>
    <n v="3"/>
    <x v="9"/>
    <n v="16"/>
    <n v="2"/>
    <n v="26"/>
    <n v="85.98"/>
    <x v="0"/>
    <x v="0"/>
    <x v="0"/>
  </r>
  <r>
    <s v="CA-2013-126809"/>
    <d v="2013-04-10T00:00:00"/>
    <d v="2013-04-14T00:00:00"/>
    <s v="EdwardBecker@gmail.com"/>
    <x v="1"/>
    <x v="3"/>
    <x v="374"/>
    <n v="35.351999999999997"/>
    <n v="9"/>
    <n v="12.815099999999999"/>
    <x v="0"/>
    <n v="4"/>
    <x v="10"/>
    <n v="10"/>
    <n v="4"/>
    <n v="36.25"/>
    <n v="3.927999999999999"/>
    <x v="0"/>
    <x v="0"/>
    <x v="0"/>
  </r>
  <r>
    <s v="CA-2011-105172"/>
    <d v="2011-04-04T00:00:00"/>
    <d v="2011-04-09T00:00:00"/>
    <s v="PaulKnutson@gmail.com"/>
    <x v="3"/>
    <x v="0"/>
    <x v="375"/>
    <n v="18.899999999999999"/>
    <n v="6"/>
    <n v="9.0719999999999992"/>
    <x v="1"/>
    <n v="4"/>
    <x v="10"/>
    <n v="4"/>
    <n v="5"/>
    <n v="48"/>
    <n v="3.15"/>
    <x v="1"/>
    <x v="0"/>
    <x v="0"/>
  </r>
  <r>
    <s v="CA-2014-107293"/>
    <d v="2014-09-06T00:00:00"/>
    <d v="2014-09-07T00:00:00"/>
    <s v="ChristopherSchild@gmail.com"/>
    <x v="1"/>
    <x v="2"/>
    <x v="259"/>
    <n v="2.78"/>
    <n v="1"/>
    <n v="0.7228"/>
    <x v="3"/>
    <n v="9"/>
    <x v="8"/>
    <n v="6"/>
    <n v="1"/>
    <n v="26"/>
    <n v="2.78"/>
    <x v="0"/>
    <x v="0"/>
    <x v="0"/>
  </r>
  <r>
    <s v="CA-2012-132101"/>
    <d v="2012-03-19T00:00:00"/>
    <d v="2012-03-25T00:00:00"/>
    <s v="JesusOcampo@gmail.com"/>
    <x v="1"/>
    <x v="6"/>
    <x v="376"/>
    <n v="453.57600000000002"/>
    <n v="3"/>
    <n v="39.687899999999999"/>
    <x v="2"/>
    <n v="3"/>
    <x v="9"/>
    <n v="19"/>
    <n v="6"/>
    <n v="8.75"/>
    <n v="151.19200000000001"/>
    <x v="0"/>
    <x v="0"/>
    <x v="1"/>
  </r>
  <r>
    <s v="US-2014-152002"/>
    <d v="2014-06-12T00:00:00"/>
    <d v="2014-06-12T00:00:00"/>
    <s v="DiannaVittorini@gmail.com"/>
    <x v="0"/>
    <x v="8"/>
    <x v="133"/>
    <n v="122.97"/>
    <n v="3"/>
    <n v="60.255299999999998"/>
    <x v="3"/>
    <n v="6"/>
    <x v="0"/>
    <n v="12"/>
    <n v="0"/>
    <n v="49"/>
    <n v="40.99"/>
    <x v="0"/>
    <x v="0"/>
    <x v="0"/>
  </r>
  <r>
    <s v="US-2011-157385"/>
    <d v="2011-11-23T00:00:00"/>
    <d v="2011-11-25T00:00:00"/>
    <s v="SanjitChand@gmail.com"/>
    <x v="0"/>
    <x v="12"/>
    <x v="377"/>
    <n v="21.84"/>
    <n v="3"/>
    <n v="10.4832"/>
    <x v="1"/>
    <n v="11"/>
    <x v="6"/>
    <n v="23"/>
    <n v="2"/>
    <n v="48"/>
    <n v="7.28"/>
    <x v="0"/>
    <x v="0"/>
    <x v="0"/>
  </r>
  <r>
    <s v="US-2011-157385"/>
    <d v="2011-11-23T00:00:00"/>
    <d v="2011-11-25T00:00:00"/>
    <s v="SanjitChand@gmail.com"/>
    <x v="0"/>
    <x v="7"/>
    <x v="378"/>
    <n v="29.99"/>
    <n v="1"/>
    <n v="6.2979000000000003"/>
    <x v="1"/>
    <n v="11"/>
    <x v="6"/>
    <n v="23"/>
    <n v="2"/>
    <n v="21"/>
    <n v="29.99"/>
    <x v="0"/>
    <x v="0"/>
    <x v="0"/>
  </r>
  <r>
    <s v="US-2011-157385"/>
    <d v="2011-11-23T00:00:00"/>
    <d v="2011-11-25T00:00:00"/>
    <s v="SanjitChand@gmail.com"/>
    <x v="0"/>
    <x v="9"/>
    <x v="140"/>
    <n v="381.44"/>
    <n v="2"/>
    <n v="23.84"/>
    <x v="1"/>
    <n v="11"/>
    <x v="6"/>
    <n v="23"/>
    <n v="2"/>
    <n v="6.25"/>
    <n v="190.72"/>
    <x v="0"/>
    <x v="0"/>
    <x v="1"/>
  </r>
  <r>
    <s v="CA-2012-122826"/>
    <d v="2012-06-23T00:00:00"/>
    <d v="2012-06-25T00:00:00"/>
    <s v="RickDuston@gmail.com"/>
    <x v="51"/>
    <x v="6"/>
    <x v="379"/>
    <n v="201.56800000000001"/>
    <n v="4"/>
    <n v="22.676400000000001"/>
    <x v="2"/>
    <n v="6"/>
    <x v="0"/>
    <n v="23"/>
    <n v="2"/>
    <n v="11.25"/>
    <n v="50.392000000000003"/>
    <x v="0"/>
    <x v="0"/>
    <x v="0"/>
  </r>
  <r>
    <s v="CA-2011-117317"/>
    <d v="2011-10-19T00:00:00"/>
    <d v="2011-10-19T00:00:00"/>
    <s v="JeremyFarry@gmail.com"/>
    <x v="0"/>
    <x v="8"/>
    <x v="380"/>
    <n v="13.44"/>
    <n v="3"/>
    <n v="6.5856000000000003"/>
    <x v="1"/>
    <n v="10"/>
    <x v="7"/>
    <n v="19"/>
    <n v="0"/>
    <n v="49"/>
    <n v="4.4800000000000004"/>
    <x v="0"/>
    <x v="0"/>
    <x v="0"/>
  </r>
  <r>
    <s v="US-2013-115819"/>
    <d v="2013-04-20T00:00:00"/>
    <d v="2013-04-25T00:00:00"/>
    <s v="JasO'Carroll@gmail.com"/>
    <x v="0"/>
    <x v="6"/>
    <x v="381"/>
    <n v="39.96"/>
    <n v="5"/>
    <n v="12.987"/>
    <x v="0"/>
    <n v="4"/>
    <x v="10"/>
    <n v="20"/>
    <n v="5"/>
    <n v="32.5"/>
    <n v="7.992"/>
    <x v="0"/>
    <x v="0"/>
    <x v="0"/>
  </r>
  <r>
    <s v="US-2013-115819"/>
    <d v="2013-04-20T00:00:00"/>
    <d v="2013-04-25T00:00:00"/>
    <s v="JasO'Carroll@gmail.com"/>
    <x v="0"/>
    <x v="2"/>
    <x v="382"/>
    <n v="5.46"/>
    <n v="3"/>
    <n v="1.5287999999999999"/>
    <x v="0"/>
    <n v="4"/>
    <x v="10"/>
    <n v="20"/>
    <n v="5"/>
    <n v="28"/>
    <n v="1.82"/>
    <x v="0"/>
    <x v="0"/>
    <x v="0"/>
  </r>
  <r>
    <s v="US-2013-115819"/>
    <d v="2013-04-20T00:00:00"/>
    <d v="2013-04-25T00:00:00"/>
    <s v="JasO'Carroll@gmail.com"/>
    <x v="0"/>
    <x v="2"/>
    <x v="383"/>
    <n v="73.2"/>
    <n v="5"/>
    <n v="21.228000000000002"/>
    <x v="0"/>
    <n v="4"/>
    <x v="10"/>
    <n v="20"/>
    <n v="5"/>
    <n v="29"/>
    <n v="14.64"/>
    <x v="0"/>
    <x v="0"/>
    <x v="0"/>
  </r>
  <r>
    <s v="US-2013-115819"/>
    <d v="2013-04-20T00:00:00"/>
    <d v="2013-04-25T00:00:00"/>
    <s v="JasO'Carroll@gmail.com"/>
    <x v="0"/>
    <x v="3"/>
    <x v="384"/>
    <n v="5.84"/>
    <n v="1"/>
    <n v="1.9710000000000001"/>
    <x v="0"/>
    <n v="4"/>
    <x v="10"/>
    <n v="20"/>
    <n v="5"/>
    <n v="33.75"/>
    <n v="5.84"/>
    <x v="0"/>
    <x v="0"/>
    <x v="0"/>
  </r>
  <r>
    <s v="US-2013-115819"/>
    <d v="2013-04-20T00:00:00"/>
    <d v="2013-04-25T00:00:00"/>
    <s v="JasO'Carroll@gmail.com"/>
    <x v="0"/>
    <x v="8"/>
    <x v="385"/>
    <n v="22.72"/>
    <n v="4"/>
    <n v="10.224"/>
    <x v="0"/>
    <n v="4"/>
    <x v="10"/>
    <n v="20"/>
    <n v="5"/>
    <n v="45"/>
    <n v="5.68"/>
    <x v="0"/>
    <x v="0"/>
    <x v="0"/>
  </r>
  <r>
    <s v="US-2013-115819"/>
    <d v="2013-04-20T00:00:00"/>
    <d v="2013-04-25T00:00:00"/>
    <s v="JasO'Carroll@gmail.com"/>
    <x v="0"/>
    <x v="3"/>
    <x v="386"/>
    <n v="9.3360000000000003"/>
    <n v="3"/>
    <n v="3.2675999999999998"/>
    <x v="0"/>
    <n v="4"/>
    <x v="10"/>
    <n v="20"/>
    <n v="5"/>
    <n v="35"/>
    <n v="3.1120000000000001"/>
    <x v="0"/>
    <x v="0"/>
    <x v="0"/>
  </r>
  <r>
    <s v="CA-2011-156349"/>
    <d v="2011-05-26T00:00:00"/>
    <d v="2011-05-30T00:00:00"/>
    <s v="MarinaLichtenstein@gmail.com"/>
    <x v="0"/>
    <x v="14"/>
    <x v="387"/>
    <n v="290.666"/>
    <n v="2"/>
    <n v="27.3568"/>
    <x v="1"/>
    <n v="5"/>
    <x v="2"/>
    <n v="26"/>
    <n v="4"/>
    <n v="9.41"/>
    <n v="145.333"/>
    <x v="0"/>
    <x v="0"/>
    <x v="1"/>
  </r>
  <r>
    <s v="CA-2011-156349"/>
    <d v="2011-05-26T00:00:00"/>
    <d v="2011-05-30T00:00:00"/>
    <s v="MarinaLichtenstein@gmail.com"/>
    <x v="0"/>
    <x v="6"/>
    <x v="388"/>
    <n v="201.584"/>
    <n v="2"/>
    <n v="20.1584"/>
    <x v="1"/>
    <n v="5"/>
    <x v="2"/>
    <n v="26"/>
    <n v="4"/>
    <n v="10"/>
    <n v="100.792"/>
    <x v="0"/>
    <x v="0"/>
    <x v="0"/>
  </r>
  <r>
    <s v="CA-2011-156349"/>
    <d v="2011-05-26T00:00:00"/>
    <d v="2011-05-30T00:00:00"/>
    <s v="MarinaLichtenstein@gmail.com"/>
    <x v="0"/>
    <x v="6"/>
    <x v="17"/>
    <n v="83.983999999999995"/>
    <n v="2"/>
    <n v="31.494"/>
    <x v="1"/>
    <n v="5"/>
    <x v="2"/>
    <n v="26"/>
    <n v="4"/>
    <n v="37.5"/>
    <n v="41.991999999999997"/>
    <x v="0"/>
    <x v="0"/>
    <x v="0"/>
  </r>
  <r>
    <s v="CA-2014-108560"/>
    <d v="2014-07-09T00:00:00"/>
    <d v="2014-07-16T00:00:00"/>
    <s v="JennaCaffey@gmail.com"/>
    <x v="68"/>
    <x v="1"/>
    <x v="389"/>
    <n v="198.46"/>
    <n v="2"/>
    <n v="99.23"/>
    <x v="3"/>
    <n v="7"/>
    <x v="5"/>
    <n v="9"/>
    <n v="7"/>
    <n v="50"/>
    <n v="99.23"/>
    <x v="0"/>
    <x v="0"/>
    <x v="0"/>
  </r>
  <r>
    <s v="CA-2014-108560"/>
    <d v="2014-07-09T00:00:00"/>
    <d v="2014-07-16T00:00:00"/>
    <s v="JennaCaffey@gmail.com"/>
    <x v="68"/>
    <x v="3"/>
    <x v="151"/>
    <n v="23.167999999999999"/>
    <n v="2"/>
    <n v="7.8192000000000004"/>
    <x v="3"/>
    <n v="7"/>
    <x v="5"/>
    <n v="9"/>
    <n v="7"/>
    <n v="33.75"/>
    <n v="11.584"/>
    <x v="0"/>
    <x v="0"/>
    <x v="0"/>
  </r>
  <r>
    <s v="CA-2014-108560"/>
    <d v="2014-07-09T00:00:00"/>
    <d v="2014-07-16T00:00:00"/>
    <s v="JennaCaffey@gmail.com"/>
    <x v="68"/>
    <x v="7"/>
    <x v="390"/>
    <n v="50"/>
    <n v="2"/>
    <n v="10.5"/>
    <x v="3"/>
    <n v="7"/>
    <x v="5"/>
    <n v="9"/>
    <n v="7"/>
    <n v="21"/>
    <n v="25"/>
    <x v="0"/>
    <x v="0"/>
    <x v="0"/>
  </r>
  <r>
    <s v="CA-2011-168984"/>
    <d v="2011-11-26T00:00:00"/>
    <d v="2011-12-02T00:00:00"/>
    <s v="NatalieWebber@gmail.com"/>
    <x v="69"/>
    <x v="8"/>
    <x v="391"/>
    <n v="15.552"/>
    <n v="3"/>
    <n v="5.4432"/>
    <x v="1"/>
    <n v="11"/>
    <x v="6"/>
    <n v="26"/>
    <n v="6"/>
    <n v="35"/>
    <n v="5.1840000000000002"/>
    <x v="0"/>
    <x v="0"/>
    <x v="0"/>
  </r>
  <r>
    <s v="CA-2011-168984"/>
    <d v="2011-11-26T00:00:00"/>
    <d v="2011-12-02T00:00:00"/>
    <s v="NatalieWebber@gmail.com"/>
    <x v="69"/>
    <x v="6"/>
    <x v="392"/>
    <n v="438.33600000000001"/>
    <n v="4"/>
    <n v="-87.667199999999994"/>
    <x v="1"/>
    <n v="11"/>
    <x v="6"/>
    <n v="26"/>
    <n v="6"/>
    <n v="-20"/>
    <n v="109.584"/>
    <x v="0"/>
    <x v="1"/>
    <x v="1"/>
  </r>
  <r>
    <s v="CA-2012-111829"/>
    <d v="2012-03-19T00:00:00"/>
    <d v="2012-03-20T00:00:00"/>
    <s v="FredHopkins@gmail.com"/>
    <x v="1"/>
    <x v="8"/>
    <x v="393"/>
    <n v="209.7"/>
    <n v="2"/>
    <n v="100.65600000000001"/>
    <x v="2"/>
    <n v="3"/>
    <x v="9"/>
    <n v="19"/>
    <n v="1"/>
    <n v="48"/>
    <n v="104.85"/>
    <x v="0"/>
    <x v="0"/>
    <x v="0"/>
  </r>
  <r>
    <s v="CA-2011-135699"/>
    <d v="2011-08-29T00:00:00"/>
    <d v="2011-08-29T00:00:00"/>
    <s v="HilaryHolden@gmail.com"/>
    <x v="3"/>
    <x v="8"/>
    <x v="394"/>
    <n v="109.92"/>
    <n v="2"/>
    <n v="53.860799999999998"/>
    <x v="1"/>
    <n v="8"/>
    <x v="3"/>
    <n v="29"/>
    <n v="0"/>
    <n v="49"/>
    <n v="54.96"/>
    <x v="0"/>
    <x v="0"/>
    <x v="0"/>
  </r>
  <r>
    <s v="CA-2011-135699"/>
    <d v="2011-08-29T00:00:00"/>
    <d v="2011-08-29T00:00:00"/>
    <s v="HilaryHolden@gmail.com"/>
    <x v="3"/>
    <x v="8"/>
    <x v="395"/>
    <n v="13.36"/>
    <n v="2"/>
    <n v="6.4127999999999998"/>
    <x v="1"/>
    <n v="8"/>
    <x v="3"/>
    <n v="29"/>
    <n v="0"/>
    <n v="48"/>
    <n v="6.68"/>
    <x v="0"/>
    <x v="0"/>
    <x v="0"/>
  </r>
  <r>
    <s v="US-2014-132444"/>
    <d v="2014-11-19T00:00:00"/>
    <d v="2014-11-22T00:00:00"/>
    <s v="ChristinaDeMoss@gmail.com"/>
    <x v="1"/>
    <x v="5"/>
    <x v="396"/>
    <n v="169.68"/>
    <n v="6"/>
    <n v="45.813600000000001"/>
    <x v="3"/>
    <n v="11"/>
    <x v="6"/>
    <n v="19"/>
    <n v="3"/>
    <n v="27"/>
    <n v="28.28"/>
    <x v="0"/>
    <x v="0"/>
    <x v="0"/>
  </r>
  <r>
    <s v="US-2014-132444"/>
    <d v="2014-11-19T00:00:00"/>
    <d v="2014-11-22T00:00:00"/>
    <s v="ChristinaDeMoss@gmail.com"/>
    <x v="1"/>
    <x v="7"/>
    <x v="139"/>
    <n v="132.52000000000001"/>
    <n v="4"/>
    <n v="54.333199999999998"/>
    <x v="3"/>
    <n v="11"/>
    <x v="6"/>
    <n v="19"/>
    <n v="3"/>
    <n v="41"/>
    <n v="33.130000000000003"/>
    <x v="0"/>
    <x v="0"/>
    <x v="0"/>
  </r>
  <r>
    <s v="US-2014-132444"/>
    <d v="2014-11-19T00:00:00"/>
    <d v="2014-11-22T00:00:00"/>
    <s v="ChristinaDeMoss@gmail.com"/>
    <x v="1"/>
    <x v="10"/>
    <x v="397"/>
    <n v="2.96"/>
    <n v="2"/>
    <n v="1.4208000000000001"/>
    <x v="3"/>
    <n v="11"/>
    <x v="6"/>
    <n v="19"/>
    <n v="3"/>
    <n v="48"/>
    <n v="1.48"/>
    <x v="0"/>
    <x v="0"/>
    <x v="0"/>
  </r>
  <r>
    <s v="US-2014-132444"/>
    <d v="2014-11-19T00:00:00"/>
    <d v="2014-11-22T00:00:00"/>
    <s v="ChristinaDeMoss@gmail.com"/>
    <x v="1"/>
    <x v="3"/>
    <x v="398"/>
    <n v="8.4480000000000004"/>
    <n v="2"/>
    <n v="2.9567999999999999"/>
    <x v="3"/>
    <n v="11"/>
    <x v="6"/>
    <n v="19"/>
    <n v="3"/>
    <n v="35"/>
    <n v="4.2240000000000002"/>
    <x v="0"/>
    <x v="0"/>
    <x v="0"/>
  </r>
  <r>
    <s v="US-2014-132444"/>
    <d v="2014-11-19T00:00:00"/>
    <d v="2014-11-22T00:00:00"/>
    <s v="ChristinaDeMoss@gmail.com"/>
    <x v="1"/>
    <x v="5"/>
    <x v="399"/>
    <n v="95.94"/>
    <n v="3"/>
    <n v="9.5939999999999994"/>
    <x v="3"/>
    <n v="11"/>
    <x v="6"/>
    <n v="19"/>
    <n v="3"/>
    <n v="10"/>
    <n v="31.98"/>
    <x v="0"/>
    <x v="0"/>
    <x v="0"/>
  </r>
  <r>
    <s v="CA-2014-161809"/>
    <d v="2014-01-21T00:00:00"/>
    <d v="2014-01-27T00:00:00"/>
    <s v="TheaHendricks@gmail.com"/>
    <x v="0"/>
    <x v="6"/>
    <x v="400"/>
    <n v="160.77600000000001"/>
    <n v="3"/>
    <n v="10.048500000000001"/>
    <x v="3"/>
    <n v="1"/>
    <x v="4"/>
    <n v="21"/>
    <n v="6"/>
    <n v="6.25"/>
    <n v="53.592000000000013"/>
    <x v="0"/>
    <x v="0"/>
    <x v="0"/>
  </r>
  <r>
    <s v="CA-2014-127285"/>
    <d v="2014-10-31T00:00:00"/>
    <d v="2014-11-07T00:00:00"/>
    <s v="MichelleMoray@gmail.com"/>
    <x v="1"/>
    <x v="3"/>
    <x v="401"/>
    <n v="88.751999999999995"/>
    <n v="3"/>
    <n v="27.734999999999999"/>
    <x v="3"/>
    <n v="10"/>
    <x v="7"/>
    <n v="31"/>
    <n v="7"/>
    <n v="31.25"/>
    <n v="29.584"/>
    <x v="0"/>
    <x v="0"/>
    <x v="0"/>
  </r>
  <r>
    <s v="CA-2014-127285"/>
    <d v="2014-10-31T00:00:00"/>
    <d v="2014-11-07T00:00:00"/>
    <s v="MichelleMoray@gmail.com"/>
    <x v="1"/>
    <x v="3"/>
    <x v="402"/>
    <n v="13.904"/>
    <n v="2"/>
    <n v="5.2140000000000004"/>
    <x v="3"/>
    <n v="10"/>
    <x v="7"/>
    <n v="31"/>
    <n v="7"/>
    <n v="37.5"/>
    <n v="6.952"/>
    <x v="0"/>
    <x v="0"/>
    <x v="0"/>
  </r>
  <r>
    <s v="CA-2013-107615"/>
    <d v="2013-03-23T00:00:00"/>
    <d v="2013-03-26T00:00:00"/>
    <s v="RobertBarroso@gmail.com"/>
    <x v="70"/>
    <x v="7"/>
    <x v="273"/>
    <n v="58.58"/>
    <n v="2"/>
    <n v="19.331399999999999"/>
    <x v="0"/>
    <n v="3"/>
    <x v="9"/>
    <n v="23"/>
    <n v="3"/>
    <n v="33"/>
    <n v="29.29"/>
    <x v="0"/>
    <x v="0"/>
    <x v="0"/>
  </r>
  <r>
    <s v="CA-2013-122728"/>
    <d v="2013-05-19T00:00:00"/>
    <d v="2013-05-25T00:00:00"/>
    <s v="EricBarreto@gmail.com"/>
    <x v="3"/>
    <x v="5"/>
    <x v="403"/>
    <n v="104.28"/>
    <n v="3"/>
    <n v="26.07"/>
    <x v="0"/>
    <n v="5"/>
    <x v="2"/>
    <n v="19"/>
    <n v="6"/>
    <n v="25"/>
    <n v="34.76"/>
    <x v="0"/>
    <x v="0"/>
    <x v="0"/>
  </r>
  <r>
    <s v="CA-2013-122728"/>
    <d v="2013-05-19T00:00:00"/>
    <d v="2013-05-25T00:00:00"/>
    <s v="EricBarreto@gmail.com"/>
    <x v="3"/>
    <x v="8"/>
    <x v="404"/>
    <n v="17.940000000000001"/>
    <n v="3"/>
    <n v="8.7905999999999995"/>
    <x v="0"/>
    <n v="5"/>
    <x v="2"/>
    <n v="19"/>
    <n v="6"/>
    <n v="49"/>
    <n v="5.98"/>
    <x v="0"/>
    <x v="0"/>
    <x v="0"/>
  </r>
  <r>
    <s v="US-2013-101497"/>
    <d v="2013-09-30T00:00:00"/>
    <d v="2013-10-02T00:00:00"/>
    <s v="PamelaStobb@gmail.com"/>
    <x v="0"/>
    <x v="8"/>
    <x v="405"/>
    <n v="18.97"/>
    <n v="1"/>
    <n v="9.1056000000000008"/>
    <x v="0"/>
    <n v="9"/>
    <x v="8"/>
    <n v="30"/>
    <n v="2"/>
    <n v="48"/>
    <n v="18.97"/>
    <x v="0"/>
    <x v="0"/>
    <x v="0"/>
  </r>
  <r>
    <s v="CA-2013-147585"/>
    <d v="2013-11-08T00:00:00"/>
    <d v="2013-11-13T00:00:00"/>
    <s v="ClaudiaBergmann@gmail.com"/>
    <x v="3"/>
    <x v="1"/>
    <x v="406"/>
    <n v="14.82"/>
    <n v="3"/>
    <n v="6.2244000000000002"/>
    <x v="0"/>
    <n v="11"/>
    <x v="6"/>
    <n v="8"/>
    <n v="5"/>
    <n v="42"/>
    <n v="4.9400000000000004"/>
    <x v="0"/>
    <x v="0"/>
    <x v="0"/>
  </r>
  <r>
    <s v="CA-2012-148376"/>
    <d v="2012-12-27T00:00:00"/>
    <d v="2012-12-31T00:00:00"/>
    <s v="ArthurGainer@gmail.com"/>
    <x v="0"/>
    <x v="4"/>
    <x v="209"/>
    <n v="106.96"/>
    <n v="2"/>
    <n v="31.0184"/>
    <x v="2"/>
    <n v="12"/>
    <x v="1"/>
    <n v="27"/>
    <n v="4"/>
    <n v="29"/>
    <n v="53.48"/>
    <x v="0"/>
    <x v="0"/>
    <x v="0"/>
  </r>
  <r>
    <s v="CA-2012-148376"/>
    <d v="2012-12-27T00:00:00"/>
    <d v="2012-12-31T00:00:00"/>
    <s v="ArthurGainer@gmail.com"/>
    <x v="0"/>
    <x v="0"/>
    <x v="407"/>
    <n v="21.56"/>
    <n v="7"/>
    <n v="10.348800000000001"/>
    <x v="2"/>
    <n v="12"/>
    <x v="1"/>
    <n v="27"/>
    <n v="4"/>
    <n v="48"/>
    <n v="3.08"/>
    <x v="0"/>
    <x v="0"/>
    <x v="0"/>
  </r>
  <r>
    <s v="CA-2011-139857"/>
    <d v="2011-02-03T00:00:00"/>
    <d v="2011-02-07T00:00:00"/>
    <s v="CynthiaDelaney@gmail.com"/>
    <x v="16"/>
    <x v="10"/>
    <x v="50"/>
    <n v="12.35"/>
    <n v="5"/>
    <n v="5.8045"/>
    <x v="1"/>
    <n v="2"/>
    <x v="11"/>
    <n v="3"/>
    <n v="4"/>
    <n v="47"/>
    <n v="2.4700000000000002"/>
    <x v="0"/>
    <x v="0"/>
    <x v="0"/>
  </r>
  <r>
    <s v="CA-2013-106306"/>
    <d v="2013-03-09T00:00:00"/>
    <d v="2013-03-09T00:00:00"/>
    <s v="PatrickGardner@gmail.com"/>
    <x v="62"/>
    <x v="3"/>
    <x v="408"/>
    <n v="9.702"/>
    <n v="3"/>
    <n v="-7.1147999999999998"/>
    <x v="0"/>
    <n v="3"/>
    <x v="9"/>
    <n v="9"/>
    <n v="0"/>
    <n v="-73.33"/>
    <n v="3.234"/>
    <x v="0"/>
    <x v="1"/>
    <x v="0"/>
  </r>
  <r>
    <s v="CA-2014-123491"/>
    <d v="2014-10-31T00:00:00"/>
    <d v="2014-11-06T00:00:00"/>
    <s v="JamieKunitz@gmail.com"/>
    <x v="3"/>
    <x v="0"/>
    <x v="409"/>
    <n v="43.86"/>
    <n v="6"/>
    <n v="20.6142"/>
    <x v="3"/>
    <n v="10"/>
    <x v="7"/>
    <n v="31"/>
    <n v="6"/>
    <n v="47"/>
    <n v="7.31"/>
    <x v="0"/>
    <x v="0"/>
    <x v="0"/>
  </r>
  <r>
    <s v="CA-2014-123491"/>
    <d v="2014-10-31T00:00:00"/>
    <d v="2014-11-06T00:00:00"/>
    <s v="JamieKunitz@gmail.com"/>
    <x v="3"/>
    <x v="6"/>
    <x v="410"/>
    <n v="148.47999999999999"/>
    <n v="2"/>
    <n v="16.704000000000001"/>
    <x v="3"/>
    <n v="10"/>
    <x v="7"/>
    <n v="31"/>
    <n v="6"/>
    <n v="11.25"/>
    <n v="74.239999999999995"/>
    <x v="0"/>
    <x v="0"/>
    <x v="0"/>
  </r>
  <r>
    <s v="CA-2014-123491"/>
    <d v="2014-10-31T00:00:00"/>
    <d v="2014-11-06T00:00:00"/>
    <s v="JamieKunitz@gmail.com"/>
    <x v="3"/>
    <x v="8"/>
    <x v="411"/>
    <n v="7.42"/>
    <n v="2"/>
    <n v="3.71"/>
    <x v="3"/>
    <n v="10"/>
    <x v="7"/>
    <n v="31"/>
    <n v="6"/>
    <n v="50"/>
    <n v="3.71"/>
    <x v="0"/>
    <x v="0"/>
    <x v="0"/>
  </r>
  <r>
    <s v="CA-2014-123491"/>
    <d v="2014-10-31T00:00:00"/>
    <d v="2014-11-06T00:00:00"/>
    <s v="JamieKunitz@gmail.com"/>
    <x v="3"/>
    <x v="9"/>
    <x v="412"/>
    <n v="71.992000000000004"/>
    <n v="1"/>
    <n v="-0.89990000000000003"/>
    <x v="3"/>
    <n v="10"/>
    <x v="7"/>
    <n v="31"/>
    <n v="6"/>
    <n v="-1.25"/>
    <n v="71.992000000000004"/>
    <x v="0"/>
    <x v="1"/>
    <x v="0"/>
  </r>
  <r>
    <s v="CA-2014-123491"/>
    <d v="2014-10-31T00:00:00"/>
    <d v="2014-11-06T00:00:00"/>
    <s v="JamieKunitz@gmail.com"/>
    <x v="3"/>
    <x v="2"/>
    <x v="362"/>
    <n v="19.899999999999999"/>
    <n v="5"/>
    <n v="6.5670000000000002"/>
    <x v="3"/>
    <n v="10"/>
    <x v="7"/>
    <n v="31"/>
    <n v="6"/>
    <n v="33"/>
    <n v="3.98"/>
    <x v="0"/>
    <x v="0"/>
    <x v="0"/>
  </r>
  <r>
    <s v="CA-2014-104003"/>
    <d v="2014-10-08T00:00:00"/>
    <d v="2014-10-14T00:00:00"/>
    <s v="DebraCatini@gmail.com"/>
    <x v="3"/>
    <x v="14"/>
    <x v="413"/>
    <n v="307.666"/>
    <n v="2"/>
    <n v="-14.478400000000001"/>
    <x v="3"/>
    <n v="10"/>
    <x v="7"/>
    <n v="8"/>
    <n v="6"/>
    <n v="-4.71"/>
    <n v="153.833"/>
    <x v="1"/>
    <x v="1"/>
    <x v="1"/>
  </r>
  <r>
    <s v="CA-2012-130204"/>
    <d v="2012-09-03T00:00:00"/>
    <d v="2012-09-09T00:00:00"/>
    <s v="DavidBremer@gmail.com"/>
    <x v="3"/>
    <x v="5"/>
    <x v="142"/>
    <n v="31.44"/>
    <n v="3"/>
    <n v="8.4887999999999995"/>
    <x v="2"/>
    <n v="9"/>
    <x v="8"/>
    <n v="3"/>
    <n v="6"/>
    <n v="27"/>
    <n v="10.48"/>
    <x v="0"/>
    <x v="0"/>
    <x v="0"/>
  </r>
  <r>
    <s v="CA-2012-130204"/>
    <d v="2012-09-03T00:00:00"/>
    <d v="2012-09-09T00:00:00"/>
    <s v="DavidBremer@gmail.com"/>
    <x v="3"/>
    <x v="7"/>
    <x v="414"/>
    <n v="17.899999999999999"/>
    <n v="2"/>
    <n v="3.4009999999999998"/>
    <x v="2"/>
    <n v="9"/>
    <x v="8"/>
    <n v="3"/>
    <n v="6"/>
    <n v="19"/>
    <n v="8.9499999999999993"/>
    <x v="0"/>
    <x v="0"/>
    <x v="0"/>
  </r>
  <r>
    <s v="CA-2012-130204"/>
    <d v="2012-09-03T00:00:00"/>
    <d v="2012-09-09T00:00:00"/>
    <s v="DavidBremer@gmail.com"/>
    <x v="3"/>
    <x v="7"/>
    <x v="415"/>
    <n v="129.44999999999999"/>
    <n v="5"/>
    <n v="46.601999999999997"/>
    <x v="2"/>
    <n v="9"/>
    <x v="8"/>
    <n v="3"/>
    <n v="6"/>
    <n v="36"/>
    <n v="25.89"/>
    <x v="0"/>
    <x v="0"/>
    <x v="0"/>
  </r>
  <r>
    <s v="CA-2011-110527"/>
    <d v="2011-08-09T00:00:00"/>
    <d v="2011-08-16T00:00:00"/>
    <s v="EmilyDucich@gmail.com"/>
    <x v="16"/>
    <x v="0"/>
    <x v="416"/>
    <n v="20.88"/>
    <n v="8"/>
    <n v="9.6047999999999991"/>
    <x v="1"/>
    <n v="8"/>
    <x v="3"/>
    <n v="9"/>
    <n v="7"/>
    <n v="46"/>
    <n v="2.61"/>
    <x v="0"/>
    <x v="0"/>
    <x v="0"/>
  </r>
  <r>
    <s v="CA-2014-168837"/>
    <d v="2014-10-15T00:00:00"/>
    <d v="2014-10-18T00:00:00"/>
    <s v="JoniWasserman@gmail.com"/>
    <x v="52"/>
    <x v="1"/>
    <x v="78"/>
    <n v="9.4600000000000009"/>
    <n v="2"/>
    <n v="3.6894"/>
    <x v="3"/>
    <n v="10"/>
    <x v="7"/>
    <n v="15"/>
    <n v="3"/>
    <n v="39"/>
    <n v="4.7300000000000004"/>
    <x v="0"/>
    <x v="0"/>
    <x v="0"/>
  </r>
  <r>
    <s v="CA-2014-116715"/>
    <d v="2014-12-03T00:00:00"/>
    <d v="2014-12-06T00:00:00"/>
    <s v="VictoriaWilson@gmail.com"/>
    <x v="3"/>
    <x v="8"/>
    <x v="394"/>
    <n v="109.92"/>
    <n v="2"/>
    <n v="53.860799999999998"/>
    <x v="3"/>
    <n v="12"/>
    <x v="1"/>
    <n v="3"/>
    <n v="3"/>
    <n v="49"/>
    <n v="54.96"/>
    <x v="0"/>
    <x v="0"/>
    <x v="0"/>
  </r>
  <r>
    <s v="CA-2014-116715"/>
    <d v="2014-12-03T00:00:00"/>
    <d v="2014-12-06T00:00:00"/>
    <s v="VictoriaWilson@gmail.com"/>
    <x v="3"/>
    <x v="8"/>
    <x v="417"/>
    <n v="8.56"/>
    <n v="2"/>
    <n v="3.8519999999999999"/>
    <x v="3"/>
    <n v="12"/>
    <x v="1"/>
    <n v="3"/>
    <n v="3"/>
    <n v="45"/>
    <n v="4.28"/>
    <x v="0"/>
    <x v="0"/>
    <x v="0"/>
  </r>
  <r>
    <s v="CA-2012-130785"/>
    <d v="2012-09-05T00:00:00"/>
    <d v="2012-09-09T00:00:00"/>
    <s v="ArthurGainer@gmail.com"/>
    <x v="16"/>
    <x v="14"/>
    <x v="418"/>
    <n v="411.33199999999999"/>
    <n v="4"/>
    <n v="-4.8391999999999999"/>
    <x v="2"/>
    <n v="9"/>
    <x v="8"/>
    <n v="5"/>
    <n v="4"/>
    <n v="-1.18"/>
    <n v="102.833"/>
    <x v="0"/>
    <x v="1"/>
    <x v="1"/>
  </r>
  <r>
    <s v="CA-2012-130785"/>
    <d v="2012-09-05T00:00:00"/>
    <d v="2012-09-09T00:00:00"/>
    <s v="ArthurGainer@gmail.com"/>
    <x v="16"/>
    <x v="3"/>
    <x v="419"/>
    <n v="28.751999999999999"/>
    <n v="6"/>
    <n v="9.7037999999999993"/>
    <x v="2"/>
    <n v="9"/>
    <x v="8"/>
    <n v="5"/>
    <n v="4"/>
    <n v="33.75"/>
    <n v="4.7919999999999998"/>
    <x v="0"/>
    <x v="0"/>
    <x v="0"/>
  </r>
  <r>
    <s v="CA-2012-130785"/>
    <d v="2012-09-05T00:00:00"/>
    <d v="2012-09-09T00:00:00"/>
    <s v="ArthurGainer@gmail.com"/>
    <x v="16"/>
    <x v="14"/>
    <x v="420"/>
    <n v="293.19900000000001"/>
    <n v="3"/>
    <n v="-20.696400000000001"/>
    <x v="2"/>
    <n v="9"/>
    <x v="8"/>
    <n v="5"/>
    <n v="4"/>
    <n v="-7.06"/>
    <n v="97.733000000000004"/>
    <x v="0"/>
    <x v="1"/>
    <x v="1"/>
  </r>
  <r>
    <s v="CA-2012-105347"/>
    <d v="2012-11-24T00:00:00"/>
    <d v="2012-11-28T00:00:00"/>
    <s v="DarrenPowers@gmail.com"/>
    <x v="0"/>
    <x v="8"/>
    <x v="421"/>
    <n v="368.91"/>
    <n v="9"/>
    <n v="180.76589999999999"/>
    <x v="2"/>
    <n v="11"/>
    <x v="6"/>
    <n v="24"/>
    <n v="4"/>
    <n v="49"/>
    <n v="40.99"/>
    <x v="0"/>
    <x v="0"/>
    <x v="1"/>
  </r>
  <r>
    <s v="CA-2012-105347"/>
    <d v="2012-11-24T00:00:00"/>
    <d v="2012-11-28T00:00:00"/>
    <s v="DarrenPowers@gmail.com"/>
    <x v="0"/>
    <x v="2"/>
    <x v="422"/>
    <n v="14.7"/>
    <n v="5"/>
    <n v="6.6150000000000002"/>
    <x v="2"/>
    <n v="11"/>
    <x v="6"/>
    <n v="24"/>
    <n v="4"/>
    <n v="45"/>
    <n v="2.94"/>
    <x v="0"/>
    <x v="0"/>
    <x v="0"/>
  </r>
  <r>
    <s v="CA-2013-100965"/>
    <d v="2013-07-08T00:00:00"/>
    <d v="2013-07-12T00:00:00"/>
    <s v="RaymondMesse@gmail.com"/>
    <x v="10"/>
    <x v="1"/>
    <x v="423"/>
    <n v="215.65"/>
    <n v="5"/>
    <n v="73.320999999999998"/>
    <x v="0"/>
    <n v="7"/>
    <x v="5"/>
    <n v="8"/>
    <n v="4"/>
    <n v="34"/>
    <n v="43.13"/>
    <x v="1"/>
    <x v="0"/>
    <x v="0"/>
  </r>
  <r>
    <s v="CA-2013-149461"/>
    <d v="2013-11-14T00:00:00"/>
    <d v="2013-11-20T00:00:00"/>
    <s v="AdrianShami@gmail.com"/>
    <x v="71"/>
    <x v="1"/>
    <x v="360"/>
    <n v="4.18"/>
    <n v="1"/>
    <n v="1.5047999999999999"/>
    <x v="0"/>
    <n v="11"/>
    <x v="6"/>
    <n v="14"/>
    <n v="6"/>
    <n v="36"/>
    <n v="4.18"/>
    <x v="1"/>
    <x v="0"/>
    <x v="0"/>
  </r>
  <r>
    <s v="US-2013-116729"/>
    <d v="2013-12-26T00:00:00"/>
    <d v="2013-12-29T00:00:00"/>
    <s v="GraceKelly@gmail.com"/>
    <x v="0"/>
    <x v="8"/>
    <x v="163"/>
    <n v="45.36"/>
    <n v="7"/>
    <n v="21.7728"/>
    <x v="0"/>
    <n v="12"/>
    <x v="1"/>
    <n v="26"/>
    <n v="3"/>
    <n v="48"/>
    <n v="6.48"/>
    <x v="0"/>
    <x v="0"/>
    <x v="0"/>
  </r>
  <r>
    <s v="US-2013-116729"/>
    <d v="2013-12-26T00:00:00"/>
    <d v="2013-12-29T00:00:00"/>
    <s v="GraceKelly@gmail.com"/>
    <x v="0"/>
    <x v="7"/>
    <x v="424"/>
    <n v="254.24"/>
    <n v="7"/>
    <n v="76.272000000000006"/>
    <x v="0"/>
    <n v="12"/>
    <x v="1"/>
    <n v="26"/>
    <n v="3"/>
    <n v="30"/>
    <n v="36.32"/>
    <x v="0"/>
    <x v="0"/>
    <x v="1"/>
  </r>
  <r>
    <s v="CA-2012-131597"/>
    <d v="2012-09-14T00:00:00"/>
    <d v="2012-09-18T00:00:00"/>
    <s v="StefaniaPerrino@gmail.com"/>
    <x v="0"/>
    <x v="13"/>
    <x v="425"/>
    <n v="170.136"/>
    <n v="3"/>
    <n v="-8.5068000000000001"/>
    <x v="2"/>
    <n v="9"/>
    <x v="8"/>
    <n v="14"/>
    <n v="4"/>
    <n v="-5"/>
    <n v="56.712000000000003"/>
    <x v="0"/>
    <x v="1"/>
    <x v="0"/>
  </r>
  <r>
    <s v="CA-2012-164833"/>
    <d v="2012-06-04T00:00:00"/>
    <d v="2012-06-04T00:00:00"/>
    <s v="LaurenLeatherbury@gmail.com"/>
    <x v="1"/>
    <x v="0"/>
    <x v="426"/>
    <n v="7.38"/>
    <n v="2"/>
    <n v="3.4685999999999999"/>
    <x v="2"/>
    <n v="6"/>
    <x v="0"/>
    <n v="4"/>
    <n v="0"/>
    <n v="47"/>
    <n v="3.69"/>
    <x v="0"/>
    <x v="0"/>
    <x v="0"/>
  </r>
  <r>
    <s v="CA-2012-164833"/>
    <d v="2012-06-04T00:00:00"/>
    <d v="2012-06-04T00:00:00"/>
    <s v="LaurenLeatherbury@gmail.com"/>
    <x v="1"/>
    <x v="2"/>
    <x v="427"/>
    <n v="9.26"/>
    <n v="2"/>
    <n v="3.0558000000000001"/>
    <x v="2"/>
    <n v="6"/>
    <x v="0"/>
    <n v="4"/>
    <n v="0"/>
    <n v="33"/>
    <n v="4.63"/>
    <x v="0"/>
    <x v="0"/>
    <x v="0"/>
  </r>
  <r>
    <s v="CA-2012-125423"/>
    <d v="2012-12-13T00:00:00"/>
    <d v="2012-12-15T00:00:00"/>
    <s v="MattCollins@gmail.com"/>
    <x v="0"/>
    <x v="0"/>
    <x v="428"/>
    <n v="9.9600000000000009"/>
    <n v="2"/>
    <n v="4.5815999999999999"/>
    <x v="2"/>
    <n v="12"/>
    <x v="1"/>
    <n v="13"/>
    <n v="2"/>
    <n v="46"/>
    <n v="4.9800000000000004"/>
    <x v="0"/>
    <x v="0"/>
    <x v="0"/>
  </r>
  <r>
    <s v="CA-2013-167507"/>
    <d v="2013-12-23T00:00:00"/>
    <d v="2013-12-29T00:00:00"/>
    <s v="SueAnnReed@gmail.com"/>
    <x v="72"/>
    <x v="3"/>
    <x v="429"/>
    <n v="31.32"/>
    <n v="10"/>
    <n v="-25.056000000000001"/>
    <x v="0"/>
    <n v="12"/>
    <x v="1"/>
    <n v="23"/>
    <n v="6"/>
    <n v="-80"/>
    <n v="3.1320000000000001"/>
    <x v="0"/>
    <x v="1"/>
    <x v="0"/>
  </r>
  <r>
    <s v="CA-2013-167507"/>
    <d v="2013-12-23T00:00:00"/>
    <d v="2013-12-29T00:00:00"/>
    <s v="SueAnnReed@gmail.com"/>
    <x v="72"/>
    <x v="1"/>
    <x v="179"/>
    <n v="11.84"/>
    <n v="4"/>
    <n v="3.1080000000000001"/>
    <x v="0"/>
    <n v="12"/>
    <x v="1"/>
    <n v="23"/>
    <n v="6"/>
    <n v="26.25"/>
    <n v="2.96"/>
    <x v="0"/>
    <x v="0"/>
    <x v="0"/>
  </r>
  <r>
    <s v="CA-2013-167507"/>
    <d v="2013-12-23T00:00:00"/>
    <d v="2013-12-29T00:00:00"/>
    <s v="SueAnnReed@gmail.com"/>
    <x v="72"/>
    <x v="1"/>
    <x v="430"/>
    <n v="22.783999999999999"/>
    <n v="1"/>
    <n v="4.8415999999999997"/>
    <x v="0"/>
    <n v="12"/>
    <x v="1"/>
    <n v="23"/>
    <n v="6"/>
    <n v="21.25"/>
    <n v="22.783999999999999"/>
    <x v="0"/>
    <x v="0"/>
    <x v="0"/>
  </r>
  <r>
    <s v="US-2014-113852"/>
    <d v="2014-07-30T00:00:00"/>
    <d v="2014-08-03T00:00:00"/>
    <s v="GiuliettaWeimer@gmail.com"/>
    <x v="1"/>
    <x v="7"/>
    <x v="11"/>
    <n v="90.57"/>
    <n v="3"/>
    <n v="11.774100000000001"/>
    <x v="3"/>
    <n v="7"/>
    <x v="5"/>
    <n v="30"/>
    <n v="4"/>
    <n v="13"/>
    <n v="30.19"/>
    <x v="0"/>
    <x v="0"/>
    <x v="0"/>
  </r>
  <r>
    <s v="CA-2014-128370"/>
    <d v="2014-09-11T00:00:00"/>
    <d v="2014-09-11T00:00:00"/>
    <s v="FrankHawley@gmail.com"/>
    <x v="0"/>
    <x v="9"/>
    <x v="128"/>
    <n v="362.35199999999998"/>
    <n v="3"/>
    <n v="27.176400000000001"/>
    <x v="3"/>
    <n v="9"/>
    <x v="8"/>
    <n v="11"/>
    <n v="0"/>
    <n v="7.5"/>
    <n v="120.78400000000001"/>
    <x v="0"/>
    <x v="0"/>
    <x v="1"/>
  </r>
  <r>
    <s v="CA-2014-128370"/>
    <d v="2014-09-11T00:00:00"/>
    <d v="2014-09-11T00:00:00"/>
    <s v="FrankHawley@gmail.com"/>
    <x v="0"/>
    <x v="3"/>
    <x v="85"/>
    <n v="7.1840000000000002"/>
    <n v="2"/>
    <n v="2.2450000000000001"/>
    <x v="3"/>
    <n v="9"/>
    <x v="8"/>
    <n v="11"/>
    <n v="0"/>
    <n v="31.25"/>
    <n v="3.5920000000000001"/>
    <x v="0"/>
    <x v="0"/>
    <x v="0"/>
  </r>
  <r>
    <s v="CA-2011-114643"/>
    <d v="2011-06-13T00:00:00"/>
    <d v="2011-06-17T00:00:00"/>
    <s v="FiliaMcAdams@gmail.com"/>
    <x v="0"/>
    <x v="2"/>
    <x v="50"/>
    <n v="14.52"/>
    <n v="3"/>
    <n v="4.7915999999999999"/>
    <x v="1"/>
    <n v="6"/>
    <x v="0"/>
    <n v="13"/>
    <n v="4"/>
    <n v="33"/>
    <n v="4.84"/>
    <x v="0"/>
    <x v="0"/>
    <x v="0"/>
  </r>
  <r>
    <s v="US-2013-100839"/>
    <d v="2013-10-14T00:00:00"/>
    <d v="2013-10-18T00:00:00"/>
    <s v="NoahChilds@gmail.com"/>
    <x v="6"/>
    <x v="1"/>
    <x v="431"/>
    <n v="24.96"/>
    <n v="3"/>
    <n v="4.3680000000000003"/>
    <x v="0"/>
    <n v="10"/>
    <x v="7"/>
    <n v="14"/>
    <n v="4"/>
    <n v="17.5"/>
    <n v="8.32"/>
    <x v="0"/>
    <x v="0"/>
    <x v="0"/>
  </r>
  <r>
    <s v="CA-2014-118857"/>
    <d v="2014-04-16T00:00:00"/>
    <d v="2014-04-19T00:00:00"/>
    <s v="AdamHart@gmail.com"/>
    <x v="73"/>
    <x v="1"/>
    <x v="432"/>
    <n v="196.45"/>
    <n v="5"/>
    <n v="70.721999999999994"/>
    <x v="3"/>
    <n v="4"/>
    <x v="10"/>
    <n v="16"/>
    <n v="3"/>
    <n v="36"/>
    <n v="39.29"/>
    <x v="0"/>
    <x v="0"/>
    <x v="0"/>
  </r>
  <r>
    <s v="CA-2013-148201"/>
    <d v="2013-08-27T00:00:00"/>
    <d v="2013-08-30T00:00:00"/>
    <s v="CharlesCrestani@gmail.com"/>
    <x v="1"/>
    <x v="8"/>
    <x v="228"/>
    <n v="6.48"/>
    <n v="1"/>
    <n v="3.1103999999999998"/>
    <x v="0"/>
    <n v="8"/>
    <x v="3"/>
    <n v="27"/>
    <n v="3"/>
    <n v="48"/>
    <n v="6.48"/>
    <x v="0"/>
    <x v="0"/>
    <x v="0"/>
  </r>
  <r>
    <s v="CA-2011-116932"/>
    <d v="2011-07-21T00:00:00"/>
    <d v="2011-07-25T00:00:00"/>
    <s v="MichelleEllison@gmail.com"/>
    <x v="3"/>
    <x v="2"/>
    <x v="433"/>
    <n v="99.2"/>
    <n v="5"/>
    <n v="25.792000000000002"/>
    <x v="1"/>
    <n v="7"/>
    <x v="5"/>
    <n v="21"/>
    <n v="4"/>
    <n v="26"/>
    <n v="19.84"/>
    <x v="0"/>
    <x v="0"/>
    <x v="0"/>
  </r>
  <r>
    <s v="CA-2011-116932"/>
    <d v="2011-07-21T00:00:00"/>
    <d v="2011-07-25T00:00:00"/>
    <s v="MichelleEllison@gmail.com"/>
    <x v="3"/>
    <x v="13"/>
    <x v="434"/>
    <n v="272.84800000000001"/>
    <n v="1"/>
    <n v="27.284800000000001"/>
    <x v="1"/>
    <n v="7"/>
    <x v="5"/>
    <n v="21"/>
    <n v="4"/>
    <n v="10"/>
    <n v="272.84800000000001"/>
    <x v="0"/>
    <x v="0"/>
    <x v="1"/>
  </r>
  <r>
    <s v="CA-2014-142888"/>
    <d v="2014-11-22T00:00:00"/>
    <d v="2014-11-26T00:00:00"/>
    <s v="BenjaminPatterson@gmail.com"/>
    <x v="74"/>
    <x v="13"/>
    <x v="435"/>
    <n v="70.98"/>
    <n v="1"/>
    <n v="20.584199999999999"/>
    <x v="3"/>
    <n v="11"/>
    <x v="6"/>
    <n v="22"/>
    <n v="4"/>
    <n v="29"/>
    <n v="70.98"/>
    <x v="0"/>
    <x v="0"/>
    <x v="0"/>
  </r>
  <r>
    <s v="CA-2014-118885"/>
    <d v="2014-12-30T00:00:00"/>
    <d v="2015-01-03T00:00:00"/>
    <s v="JamesGalang@gmail.com"/>
    <x v="0"/>
    <x v="9"/>
    <x v="436"/>
    <n v="393.56799999999998"/>
    <n v="4"/>
    <n v="-44.276400000000002"/>
    <x v="3"/>
    <n v="12"/>
    <x v="1"/>
    <n v="30"/>
    <n v="4"/>
    <n v="-11.25"/>
    <n v="98.391999999999996"/>
    <x v="0"/>
    <x v="1"/>
    <x v="1"/>
  </r>
  <r>
    <s v="CA-2014-118885"/>
    <d v="2014-12-30T00:00:00"/>
    <d v="2015-01-03T00:00:00"/>
    <s v="JamesGalang@gmail.com"/>
    <x v="0"/>
    <x v="6"/>
    <x v="61"/>
    <n v="302.37599999999998"/>
    <n v="3"/>
    <n v="22.6782"/>
    <x v="3"/>
    <n v="12"/>
    <x v="1"/>
    <n v="30"/>
    <n v="4"/>
    <n v="7.5"/>
    <n v="100.792"/>
    <x v="0"/>
    <x v="0"/>
    <x v="1"/>
  </r>
  <r>
    <s v="CA-2013-147578"/>
    <d v="2013-04-23T00:00:00"/>
    <d v="2013-04-27T00:00:00"/>
    <s v="PaulGonzalez@gmail.com"/>
    <x v="3"/>
    <x v="1"/>
    <x v="437"/>
    <n v="31.56"/>
    <n v="3"/>
    <n v="10.4148"/>
    <x v="0"/>
    <n v="4"/>
    <x v="10"/>
    <n v="23"/>
    <n v="4"/>
    <n v="33"/>
    <n v="10.52"/>
    <x v="0"/>
    <x v="0"/>
    <x v="0"/>
  </r>
  <r>
    <s v="CA-2011-157623"/>
    <d v="2011-03-14T00:00:00"/>
    <d v="2011-03-18T00:00:00"/>
    <s v="DeanKatz@gmail.com"/>
    <x v="27"/>
    <x v="8"/>
    <x v="438"/>
    <n v="10.56"/>
    <n v="2"/>
    <n v="4.7519999999999998"/>
    <x v="1"/>
    <n v="3"/>
    <x v="9"/>
    <n v="14"/>
    <n v="4"/>
    <n v="45"/>
    <n v="5.28"/>
    <x v="0"/>
    <x v="0"/>
    <x v="0"/>
  </r>
  <r>
    <s v="CA-2011-157623"/>
    <d v="2011-03-14T00:00:00"/>
    <d v="2011-03-18T00:00:00"/>
    <s v="DeanKatz@gmail.com"/>
    <x v="27"/>
    <x v="2"/>
    <x v="439"/>
    <n v="3.38"/>
    <n v="1"/>
    <n v="1.2505999999999999"/>
    <x v="1"/>
    <n v="3"/>
    <x v="9"/>
    <n v="14"/>
    <n v="4"/>
    <n v="37"/>
    <n v="3.38"/>
    <x v="0"/>
    <x v="0"/>
    <x v="0"/>
  </r>
  <r>
    <s v="CA-2013-100083"/>
    <d v="2013-11-25T00:00:00"/>
    <d v="2013-11-30T00:00:00"/>
    <s v="CarolDarley@gmail.com"/>
    <x v="75"/>
    <x v="8"/>
    <x v="440"/>
    <n v="24.783999999999999"/>
    <n v="1"/>
    <n v="7.7450000000000001"/>
    <x v="0"/>
    <n v="11"/>
    <x v="6"/>
    <n v="25"/>
    <n v="5"/>
    <n v="31.25"/>
    <n v="24.783999999999999"/>
    <x v="1"/>
    <x v="0"/>
    <x v="0"/>
  </r>
  <r>
    <s v="CA-2012-109197"/>
    <d v="2012-12-31T00:00:00"/>
    <d v="2013-01-04T00:00:00"/>
    <s v="JasO'Carroll@gmail.com"/>
    <x v="76"/>
    <x v="3"/>
    <x v="441"/>
    <n v="487.98399999999998"/>
    <n v="2"/>
    <n v="152.495"/>
    <x v="2"/>
    <n v="12"/>
    <x v="1"/>
    <n v="31"/>
    <n v="4"/>
    <n v="31.25"/>
    <n v="243.99199999999999"/>
    <x v="0"/>
    <x v="0"/>
    <x v="1"/>
  </r>
  <r>
    <s v="CA-2014-167094"/>
    <d v="2014-10-22T00:00:00"/>
    <d v="2014-10-23T00:00:00"/>
    <s v="DamalaKotsonis@gmail.com"/>
    <x v="77"/>
    <x v="8"/>
    <x v="442"/>
    <n v="5.1840000000000002"/>
    <n v="1"/>
    <n v="1.8144"/>
    <x v="3"/>
    <n v="10"/>
    <x v="7"/>
    <n v="22"/>
    <n v="1"/>
    <n v="35"/>
    <n v="5.1840000000000002"/>
    <x v="0"/>
    <x v="0"/>
    <x v="0"/>
  </r>
  <r>
    <s v="CA-2014-167094"/>
    <d v="2014-10-22T00:00:00"/>
    <d v="2014-10-23T00:00:00"/>
    <s v="DamalaKotsonis@gmail.com"/>
    <x v="77"/>
    <x v="9"/>
    <x v="443"/>
    <n v="478.48"/>
    <n v="2"/>
    <n v="47.847999999999999"/>
    <x v="3"/>
    <n v="10"/>
    <x v="7"/>
    <n v="22"/>
    <n v="1"/>
    <n v="10"/>
    <n v="239.24"/>
    <x v="0"/>
    <x v="0"/>
    <x v="1"/>
  </r>
  <r>
    <s v="CA-2014-167094"/>
    <d v="2014-10-22T00:00:00"/>
    <d v="2014-10-23T00:00:00"/>
    <s v="DamalaKotsonis@gmail.com"/>
    <x v="77"/>
    <x v="7"/>
    <x v="444"/>
    <n v="28.4"/>
    <n v="2"/>
    <n v="6.7450000000000001"/>
    <x v="3"/>
    <n v="10"/>
    <x v="7"/>
    <n v="22"/>
    <n v="1"/>
    <n v="23.75"/>
    <n v="14.2"/>
    <x v="0"/>
    <x v="0"/>
    <x v="0"/>
  </r>
  <r>
    <s v="CA-2012-157959"/>
    <d v="2012-02-03T00:00:00"/>
    <d v="2012-02-04T00:00:00"/>
    <s v="RickWilson@gmail.com"/>
    <x v="0"/>
    <x v="1"/>
    <x v="445"/>
    <n v="136.91999999999999"/>
    <n v="4"/>
    <n v="41.076000000000001"/>
    <x v="2"/>
    <n v="2"/>
    <x v="11"/>
    <n v="3"/>
    <n v="1"/>
    <n v="30"/>
    <n v="34.229999999999997"/>
    <x v="0"/>
    <x v="0"/>
    <x v="0"/>
  </r>
  <r>
    <s v="CA-2013-105963"/>
    <d v="2013-11-16T00:00:00"/>
    <d v="2013-11-23T00:00:00"/>
    <s v="StewartCarmichael@gmail.com"/>
    <x v="0"/>
    <x v="7"/>
    <x v="139"/>
    <n v="99.39"/>
    <n v="3"/>
    <n v="40.749899999999997"/>
    <x v="0"/>
    <n v="11"/>
    <x v="6"/>
    <n v="16"/>
    <n v="7"/>
    <n v="41"/>
    <n v="33.130000000000003"/>
    <x v="0"/>
    <x v="0"/>
    <x v="0"/>
  </r>
  <r>
    <s v="CA-2014-126865"/>
    <d v="2014-12-06T00:00:00"/>
    <d v="2014-12-08T00:00:00"/>
    <s v="NaresjPatel@gmail.com"/>
    <x v="16"/>
    <x v="8"/>
    <x v="366"/>
    <n v="92.94"/>
    <n v="3"/>
    <n v="41.823"/>
    <x v="3"/>
    <n v="12"/>
    <x v="1"/>
    <n v="6"/>
    <n v="2"/>
    <n v="45"/>
    <n v="30.98"/>
    <x v="0"/>
    <x v="0"/>
    <x v="0"/>
  </r>
  <r>
    <s v="CA-2014-102834"/>
    <d v="2014-03-10T00:00:00"/>
    <d v="2014-03-14T00:00:00"/>
    <s v="LindsayWilliams@gmail.com"/>
    <x v="3"/>
    <x v="7"/>
    <x v="83"/>
    <n v="199.98"/>
    <n v="2"/>
    <n v="69.992999999999995"/>
    <x v="3"/>
    <n v="3"/>
    <x v="9"/>
    <n v="10"/>
    <n v="4"/>
    <n v="35"/>
    <n v="99.99"/>
    <x v="0"/>
    <x v="0"/>
    <x v="0"/>
  </r>
  <r>
    <s v="US-2013-139710"/>
    <d v="2013-06-10T00:00:00"/>
    <d v="2013-06-16T00:00:00"/>
    <s v="GregMatthias@gmail.com"/>
    <x v="0"/>
    <x v="6"/>
    <x v="446"/>
    <n v="177.48"/>
    <n v="3"/>
    <n v="19.9665"/>
    <x v="0"/>
    <n v="6"/>
    <x v="0"/>
    <n v="10"/>
    <n v="6"/>
    <n v="11.25"/>
    <n v="59.16"/>
    <x v="0"/>
    <x v="0"/>
    <x v="0"/>
  </r>
  <r>
    <s v="CA-2014-121538"/>
    <d v="2014-11-29T00:00:00"/>
    <d v="2014-12-02T00:00:00"/>
    <s v="RickHansen@gmail.com"/>
    <x v="13"/>
    <x v="8"/>
    <x v="447"/>
    <n v="88.768000000000001"/>
    <n v="2"/>
    <n v="31.0688"/>
    <x v="3"/>
    <n v="11"/>
    <x v="6"/>
    <n v="29"/>
    <n v="3"/>
    <n v="35"/>
    <n v="44.384"/>
    <x v="1"/>
    <x v="0"/>
    <x v="0"/>
  </r>
  <r>
    <s v="US-2014-101539"/>
    <d v="2014-03-17T00:00:00"/>
    <d v="2014-03-19T00:00:00"/>
    <s v="ValerieMitchum@gmail.com"/>
    <x v="1"/>
    <x v="8"/>
    <x v="448"/>
    <n v="6.48"/>
    <n v="1"/>
    <n v="3.1103999999999998"/>
    <x v="3"/>
    <n v="3"/>
    <x v="9"/>
    <n v="17"/>
    <n v="2"/>
    <n v="48"/>
    <n v="6.48"/>
    <x v="0"/>
    <x v="0"/>
    <x v="0"/>
  </r>
  <r>
    <s v="US-2014-101539"/>
    <d v="2014-03-17T00:00:00"/>
    <d v="2014-03-19T00:00:00"/>
    <s v="ValerieMitchum@gmail.com"/>
    <x v="1"/>
    <x v="5"/>
    <x v="449"/>
    <n v="46.51"/>
    <n v="1"/>
    <n v="1.8604000000000001"/>
    <x v="3"/>
    <n v="3"/>
    <x v="9"/>
    <n v="17"/>
    <n v="2"/>
    <n v="4"/>
    <n v="46.51"/>
    <x v="0"/>
    <x v="0"/>
    <x v="0"/>
  </r>
  <r>
    <s v="CA-2013-152121"/>
    <d v="2013-11-28T00:00:00"/>
    <d v="2013-11-30T00:00:00"/>
    <s v="CraigCarreira@gmail.com"/>
    <x v="9"/>
    <x v="6"/>
    <x v="450"/>
    <n v="271.99200000000002"/>
    <n v="1"/>
    <n v="23.799299999999999"/>
    <x v="0"/>
    <n v="11"/>
    <x v="6"/>
    <n v="28"/>
    <n v="2"/>
    <n v="8.75"/>
    <n v="271.99200000000002"/>
    <x v="0"/>
    <x v="0"/>
    <x v="1"/>
  </r>
  <r>
    <s v="CA-2014-101245"/>
    <d v="2014-11-28T00:00:00"/>
    <d v="2014-12-04T00:00:00"/>
    <s v="LindsayWilliams@gmail.com"/>
    <x v="3"/>
    <x v="8"/>
    <x v="451"/>
    <n v="244.55"/>
    <n v="5"/>
    <n v="114.9385"/>
    <x v="3"/>
    <n v="11"/>
    <x v="6"/>
    <n v="28"/>
    <n v="6"/>
    <n v="47"/>
    <n v="48.91"/>
    <x v="0"/>
    <x v="0"/>
    <x v="1"/>
  </r>
  <r>
    <s v="CA-2014-101245"/>
    <d v="2014-11-28T00:00:00"/>
    <d v="2014-12-04T00:00:00"/>
    <s v="LindsayWilliams@gmail.com"/>
    <x v="3"/>
    <x v="7"/>
    <x v="452"/>
    <n v="166.16"/>
    <n v="8"/>
    <n v="59.817599999999999"/>
    <x v="3"/>
    <n v="11"/>
    <x v="6"/>
    <n v="28"/>
    <n v="6"/>
    <n v="36"/>
    <n v="20.77"/>
    <x v="0"/>
    <x v="0"/>
    <x v="0"/>
  </r>
  <r>
    <s v="CA-2012-141768"/>
    <d v="2012-05-25T00:00:00"/>
    <d v="2012-05-27T00:00:00"/>
    <s v="NoraPelletier@gmail.com"/>
    <x v="3"/>
    <x v="1"/>
    <x v="453"/>
    <n v="14.73"/>
    <n v="3"/>
    <n v="4.8609"/>
    <x v="2"/>
    <n v="5"/>
    <x v="2"/>
    <n v="25"/>
    <n v="2"/>
    <n v="33"/>
    <n v="4.91"/>
    <x v="0"/>
    <x v="0"/>
    <x v="0"/>
  </r>
  <r>
    <s v="CA-2013-112109"/>
    <d v="2013-07-09T00:00:00"/>
    <d v="2013-07-13T00:00:00"/>
    <s v="JoeElijah@gmail.com"/>
    <x v="78"/>
    <x v="3"/>
    <x v="454"/>
    <n v="19.968"/>
    <n v="2"/>
    <n v="-13.311999999999999"/>
    <x v="0"/>
    <n v="7"/>
    <x v="5"/>
    <n v="9"/>
    <n v="4"/>
    <n v="-66.67"/>
    <n v="9.984"/>
    <x v="0"/>
    <x v="1"/>
    <x v="0"/>
  </r>
  <r>
    <s v="CA-2013-112109"/>
    <d v="2013-07-09T00:00:00"/>
    <d v="2013-07-13T00:00:00"/>
    <s v="JoeElijah@gmail.com"/>
    <x v="78"/>
    <x v="5"/>
    <x v="455"/>
    <n v="33.488"/>
    <n v="7"/>
    <n v="-1.2558"/>
    <x v="0"/>
    <n v="7"/>
    <x v="5"/>
    <n v="9"/>
    <n v="4"/>
    <n v="-3.75"/>
    <n v="4.7839999999999998"/>
    <x v="0"/>
    <x v="1"/>
    <x v="0"/>
  </r>
  <r>
    <s v="CA-2013-112109"/>
    <d v="2013-07-09T00:00:00"/>
    <d v="2013-07-13T00:00:00"/>
    <s v="JoeElijah@gmail.com"/>
    <x v="78"/>
    <x v="3"/>
    <x v="10"/>
    <n v="8.7360000000000007"/>
    <n v="4"/>
    <n v="-6.1151999999999997"/>
    <x v="0"/>
    <n v="7"/>
    <x v="5"/>
    <n v="9"/>
    <n v="4"/>
    <n v="-70"/>
    <n v="2.1840000000000002"/>
    <x v="0"/>
    <x v="1"/>
    <x v="0"/>
  </r>
  <r>
    <s v="CA-2012-109939"/>
    <d v="2012-05-08T00:00:00"/>
    <d v="2012-05-12T00:00:00"/>
    <s v="AllenArmold@gmail.com"/>
    <x v="35"/>
    <x v="2"/>
    <x v="456"/>
    <n v="5.2480000000000002"/>
    <n v="2"/>
    <n v="0.59040000000000004"/>
    <x v="2"/>
    <n v="5"/>
    <x v="2"/>
    <n v="8"/>
    <n v="4"/>
    <n v="11.25"/>
    <n v="2.6240000000000001"/>
    <x v="0"/>
    <x v="0"/>
    <x v="0"/>
  </r>
  <r>
    <s v="CA-2013-112669"/>
    <d v="2013-04-15T00:00:00"/>
    <d v="2013-04-15T00:00:00"/>
    <s v="KeanTakahito@gmail.com"/>
    <x v="62"/>
    <x v="5"/>
    <x v="457"/>
    <n v="42.975999999999999"/>
    <n v="4"/>
    <n v="4.2976000000000001"/>
    <x v="0"/>
    <n v="4"/>
    <x v="10"/>
    <n v="15"/>
    <n v="0"/>
    <n v="10"/>
    <n v="10.744"/>
    <x v="0"/>
    <x v="0"/>
    <x v="0"/>
  </r>
  <r>
    <s v="CA-2011-164721"/>
    <d v="2011-11-25T00:00:00"/>
    <d v="2011-11-27T00:00:00"/>
    <s v="LaurelWorkman@gmail.com"/>
    <x v="17"/>
    <x v="4"/>
    <x v="209"/>
    <n v="320.88"/>
    <n v="6"/>
    <n v="93.055199999999999"/>
    <x v="1"/>
    <n v="11"/>
    <x v="6"/>
    <n v="25"/>
    <n v="2"/>
    <n v="29"/>
    <n v="53.48"/>
    <x v="0"/>
    <x v="0"/>
    <x v="1"/>
  </r>
  <r>
    <s v="CA-2011-164721"/>
    <d v="2011-11-25T00:00:00"/>
    <d v="2011-11-27T00:00:00"/>
    <s v="LaurelWorkman@gmail.com"/>
    <x v="17"/>
    <x v="1"/>
    <x v="50"/>
    <n v="23.88"/>
    <n v="3"/>
    <n v="10.507199999999999"/>
    <x v="1"/>
    <n v="11"/>
    <x v="6"/>
    <n v="25"/>
    <n v="2"/>
    <n v="44"/>
    <n v="7.96"/>
    <x v="0"/>
    <x v="0"/>
    <x v="0"/>
  </r>
  <r>
    <s v="CA-2011-164721"/>
    <d v="2011-11-25T00:00:00"/>
    <d v="2011-11-27T00:00:00"/>
    <s v="LaurelWorkman@gmail.com"/>
    <x v="17"/>
    <x v="8"/>
    <x v="458"/>
    <n v="26.76"/>
    <n v="4"/>
    <n v="12.3096"/>
    <x v="1"/>
    <n v="11"/>
    <x v="6"/>
    <n v="25"/>
    <n v="2"/>
    <n v="46"/>
    <n v="6.69"/>
    <x v="0"/>
    <x v="0"/>
    <x v="0"/>
  </r>
  <r>
    <s v="CA-2014-133648"/>
    <d v="2014-06-26T00:00:00"/>
    <d v="2014-07-03T00:00:00"/>
    <s v="MaxLudwig@gmail.com"/>
    <x v="77"/>
    <x v="0"/>
    <x v="123"/>
    <n v="71.040000000000006"/>
    <n v="6"/>
    <n v="26.64"/>
    <x v="3"/>
    <n v="6"/>
    <x v="0"/>
    <n v="26"/>
    <n v="7"/>
    <n v="37.5"/>
    <n v="11.84"/>
    <x v="0"/>
    <x v="0"/>
    <x v="0"/>
  </r>
  <r>
    <s v="CA-2014-133648"/>
    <d v="2014-06-26T00:00:00"/>
    <d v="2014-07-03T00:00:00"/>
    <s v="MaxLudwig@gmail.com"/>
    <x v="77"/>
    <x v="2"/>
    <x v="459"/>
    <n v="5.3440000000000003"/>
    <n v="2"/>
    <n v="0.73480000000000001"/>
    <x v="3"/>
    <n v="6"/>
    <x v="0"/>
    <n v="26"/>
    <n v="7"/>
    <n v="13.75"/>
    <n v="2.6720000000000002"/>
    <x v="0"/>
    <x v="0"/>
    <x v="0"/>
  </r>
  <r>
    <s v="CA-2014-133648"/>
    <d v="2014-06-26T00:00:00"/>
    <d v="2014-07-03T00:00:00"/>
    <s v="MaxLudwig@gmail.com"/>
    <x v="77"/>
    <x v="10"/>
    <x v="460"/>
    <n v="11.304"/>
    <n v="3"/>
    <n v="-2.1194999999999999"/>
    <x v="3"/>
    <n v="6"/>
    <x v="0"/>
    <n v="26"/>
    <n v="7"/>
    <n v="-18.75"/>
    <n v="3.7679999999999998"/>
    <x v="0"/>
    <x v="1"/>
    <x v="0"/>
  </r>
  <r>
    <s v="CA-2014-166128"/>
    <d v="2014-04-12T00:00:00"/>
    <d v="2014-04-19T00:00:00"/>
    <s v="LukeWeiss@gmail.com"/>
    <x v="59"/>
    <x v="7"/>
    <x v="347"/>
    <n v="199.95"/>
    <n v="5"/>
    <n v="21.994499999999999"/>
    <x v="3"/>
    <n v="4"/>
    <x v="10"/>
    <n v="12"/>
    <n v="7"/>
    <n v="11"/>
    <n v="39.989999999999988"/>
    <x v="0"/>
    <x v="0"/>
    <x v="0"/>
  </r>
  <r>
    <s v="CA-2014-166128"/>
    <d v="2014-04-12T00:00:00"/>
    <d v="2014-04-19T00:00:00"/>
    <s v="LukeWeiss@gmail.com"/>
    <x v="59"/>
    <x v="2"/>
    <x v="461"/>
    <n v="41.86"/>
    <n v="7"/>
    <n v="14.2324"/>
    <x v="3"/>
    <n v="4"/>
    <x v="10"/>
    <n v="12"/>
    <n v="7"/>
    <n v="34"/>
    <n v="5.98"/>
    <x v="0"/>
    <x v="0"/>
    <x v="0"/>
  </r>
  <r>
    <s v="CA-2012-113110"/>
    <d v="2012-03-19T00:00:00"/>
    <d v="2012-03-23T00:00:00"/>
    <s v="BerenikeKampe@gmail.com"/>
    <x v="79"/>
    <x v="3"/>
    <x v="462"/>
    <n v="17.568000000000001"/>
    <n v="2"/>
    <n v="6.3684000000000003"/>
    <x v="2"/>
    <n v="3"/>
    <x v="9"/>
    <n v="19"/>
    <n v="4"/>
    <n v="36.25"/>
    <n v="8.7840000000000007"/>
    <x v="0"/>
    <x v="0"/>
    <x v="0"/>
  </r>
  <r>
    <s v="CA-2012-113110"/>
    <d v="2012-03-19T00:00:00"/>
    <d v="2012-03-23T00:00:00"/>
    <s v="BerenikeKampe@gmail.com"/>
    <x v="79"/>
    <x v="0"/>
    <x v="0"/>
    <n v="14.62"/>
    <n v="2"/>
    <n v="6.8714000000000004"/>
    <x v="2"/>
    <n v="3"/>
    <x v="9"/>
    <n v="19"/>
    <n v="4"/>
    <n v="47"/>
    <n v="7.31"/>
    <x v="0"/>
    <x v="0"/>
    <x v="0"/>
  </r>
  <r>
    <s v="CA-2012-113110"/>
    <d v="2012-03-19T00:00:00"/>
    <d v="2012-03-23T00:00:00"/>
    <s v="BerenikeKampe@gmail.com"/>
    <x v="79"/>
    <x v="11"/>
    <x v="463"/>
    <n v="33.36"/>
    <n v="4"/>
    <n v="8.6736000000000004"/>
    <x v="2"/>
    <n v="3"/>
    <x v="9"/>
    <n v="19"/>
    <n v="4"/>
    <n v="26"/>
    <n v="8.34"/>
    <x v="0"/>
    <x v="0"/>
    <x v="0"/>
  </r>
  <r>
    <s v="CA-2012-113110"/>
    <d v="2012-03-19T00:00:00"/>
    <d v="2012-03-23T00:00:00"/>
    <s v="BerenikeKampe@gmail.com"/>
    <x v="79"/>
    <x v="8"/>
    <x v="464"/>
    <n v="40.14"/>
    <n v="6"/>
    <n v="19.668600000000001"/>
    <x v="2"/>
    <n v="3"/>
    <x v="9"/>
    <n v="19"/>
    <n v="4"/>
    <n v="49"/>
    <n v="6.69"/>
    <x v="0"/>
    <x v="0"/>
    <x v="0"/>
  </r>
  <r>
    <s v="US-2014-111241"/>
    <d v="2014-08-21T00:00:00"/>
    <d v="2014-08-23T00:00:00"/>
    <s v="GeneMcClure@gmail.com"/>
    <x v="57"/>
    <x v="3"/>
    <x v="465"/>
    <n v="239.12"/>
    <n v="5"/>
    <n v="77.713999999999999"/>
    <x v="3"/>
    <n v="8"/>
    <x v="3"/>
    <n v="21"/>
    <n v="2"/>
    <n v="32.5"/>
    <n v="47.823999999999998"/>
    <x v="0"/>
    <x v="0"/>
    <x v="1"/>
  </r>
  <r>
    <s v="CA-2012-114237"/>
    <d v="2012-03-13T00:00:00"/>
    <d v="2012-03-15T00:00:00"/>
    <s v="MarcCrier@gmail.com"/>
    <x v="1"/>
    <x v="14"/>
    <x v="466"/>
    <n v="141.96"/>
    <n v="2"/>
    <n v="39.748800000000003"/>
    <x v="2"/>
    <n v="3"/>
    <x v="9"/>
    <n v="13"/>
    <n v="2"/>
    <n v="28"/>
    <n v="70.98"/>
    <x v="0"/>
    <x v="0"/>
    <x v="0"/>
  </r>
  <r>
    <s v="CA-2013-113516"/>
    <d v="2013-09-09T00:00:00"/>
    <d v="2013-09-11T00:00:00"/>
    <s v="ValerieMitchum@gmail.com"/>
    <x v="41"/>
    <x v="3"/>
    <x v="94"/>
    <n v="33.024000000000001"/>
    <n v="2"/>
    <n v="11.558400000000001"/>
    <x v="0"/>
    <n v="9"/>
    <x v="8"/>
    <n v="9"/>
    <n v="2"/>
    <n v="35"/>
    <n v="16.512"/>
    <x v="0"/>
    <x v="0"/>
    <x v="0"/>
  </r>
  <r>
    <s v="CA-2013-113516"/>
    <d v="2013-09-09T00:00:00"/>
    <d v="2013-09-11T00:00:00"/>
    <s v="ValerieMitchum@gmail.com"/>
    <x v="41"/>
    <x v="3"/>
    <x v="173"/>
    <n v="67.135999999999996"/>
    <n v="4"/>
    <n v="23.497599999999998"/>
    <x v="0"/>
    <n v="9"/>
    <x v="8"/>
    <n v="9"/>
    <n v="2"/>
    <n v="35"/>
    <n v="16.783999999999999"/>
    <x v="0"/>
    <x v="0"/>
    <x v="0"/>
  </r>
  <r>
    <s v="CA-2012-119214"/>
    <d v="2012-01-23T00:00:00"/>
    <d v="2012-01-27T00:00:00"/>
    <s v="CarlWeiss@gmail.com"/>
    <x v="80"/>
    <x v="8"/>
    <x v="99"/>
    <n v="29.04"/>
    <n v="3"/>
    <n v="13.9392"/>
    <x v="2"/>
    <n v="1"/>
    <x v="4"/>
    <n v="23"/>
    <n v="4"/>
    <n v="48"/>
    <n v="9.68"/>
    <x v="0"/>
    <x v="0"/>
    <x v="0"/>
  </r>
  <r>
    <s v="CA-2012-119214"/>
    <d v="2012-01-23T00:00:00"/>
    <d v="2012-01-27T00:00:00"/>
    <s v="CarlWeiss@gmail.com"/>
    <x v="80"/>
    <x v="0"/>
    <x v="409"/>
    <n v="14.62"/>
    <n v="2"/>
    <n v="6.8714000000000004"/>
    <x v="2"/>
    <n v="1"/>
    <x v="4"/>
    <n v="23"/>
    <n v="4"/>
    <n v="47"/>
    <n v="7.31"/>
    <x v="0"/>
    <x v="0"/>
    <x v="0"/>
  </r>
  <r>
    <s v="CA-2012-122287"/>
    <d v="2012-06-18T00:00:00"/>
    <d v="2012-06-23T00:00:00"/>
    <s v="SkyeNorling@gmail.com"/>
    <x v="81"/>
    <x v="8"/>
    <x v="467"/>
    <n v="11.952"/>
    <n v="3"/>
    <n v="4.3326000000000002"/>
    <x v="2"/>
    <n v="6"/>
    <x v="0"/>
    <n v="18"/>
    <n v="5"/>
    <n v="36.25"/>
    <n v="3.984"/>
    <x v="0"/>
    <x v="0"/>
    <x v="0"/>
  </r>
  <r>
    <s v="CA-2012-122287"/>
    <d v="2012-06-18T00:00:00"/>
    <d v="2012-06-23T00:00:00"/>
    <s v="SkyeNorling@gmail.com"/>
    <x v="81"/>
    <x v="3"/>
    <x v="285"/>
    <n v="4.5359999999999996"/>
    <n v="7"/>
    <n v="-3.3264"/>
    <x v="2"/>
    <n v="6"/>
    <x v="0"/>
    <n v="18"/>
    <n v="5"/>
    <n v="-73.33"/>
    <n v="0.64799999999999991"/>
    <x v="0"/>
    <x v="1"/>
    <x v="0"/>
  </r>
  <r>
    <s v="CA-2012-122287"/>
    <d v="2012-06-18T00:00:00"/>
    <d v="2012-06-23T00:00:00"/>
    <s v="SkyeNorling@gmail.com"/>
    <x v="81"/>
    <x v="3"/>
    <x v="254"/>
    <n v="9.1560000000000006"/>
    <n v="2"/>
    <n v="-6.1040000000000001"/>
    <x v="2"/>
    <n v="6"/>
    <x v="0"/>
    <n v="18"/>
    <n v="5"/>
    <n v="-66.67"/>
    <n v="4.5780000000000003"/>
    <x v="0"/>
    <x v="1"/>
    <x v="0"/>
  </r>
  <r>
    <s v="CA-2012-122287"/>
    <d v="2012-06-18T00:00:00"/>
    <d v="2012-06-23T00:00:00"/>
    <s v="SkyeNorling@gmail.com"/>
    <x v="81"/>
    <x v="1"/>
    <x v="468"/>
    <n v="75.36"/>
    <n v="5"/>
    <n v="20.724"/>
    <x v="2"/>
    <n v="6"/>
    <x v="0"/>
    <n v="18"/>
    <n v="5"/>
    <n v="27.5"/>
    <n v="15.071999999999999"/>
    <x v="0"/>
    <x v="0"/>
    <x v="0"/>
  </r>
  <r>
    <s v="CA-2012-104493"/>
    <d v="2012-10-02T00:00:00"/>
    <d v="2012-10-08T00:00:00"/>
    <s v="EdBraxton@gmail.com"/>
    <x v="16"/>
    <x v="3"/>
    <x v="469"/>
    <n v="57.503999999999998"/>
    <n v="6"/>
    <n v="20.1264"/>
    <x v="2"/>
    <n v="10"/>
    <x v="7"/>
    <n v="2"/>
    <n v="6"/>
    <n v="35"/>
    <n v="9.5839999999999996"/>
    <x v="0"/>
    <x v="0"/>
    <x v="0"/>
  </r>
  <r>
    <s v="CA-2011-106439"/>
    <d v="2011-10-31T00:00:00"/>
    <d v="2011-11-04T00:00:00"/>
    <s v="GregGuthrie@gmail.com"/>
    <x v="0"/>
    <x v="10"/>
    <x v="50"/>
    <n v="11.34"/>
    <n v="3"/>
    <n v="5.2164000000000001"/>
    <x v="1"/>
    <n v="10"/>
    <x v="7"/>
    <n v="31"/>
    <n v="4"/>
    <n v="46"/>
    <n v="3.78"/>
    <x v="0"/>
    <x v="0"/>
    <x v="0"/>
  </r>
  <r>
    <s v="CA-2011-106439"/>
    <d v="2011-10-31T00:00:00"/>
    <d v="2011-11-04T00:00:00"/>
    <s v="GregGuthrie@gmail.com"/>
    <x v="0"/>
    <x v="5"/>
    <x v="470"/>
    <n v="80.3"/>
    <n v="5"/>
    <n v="20.878"/>
    <x v="1"/>
    <n v="10"/>
    <x v="7"/>
    <n v="31"/>
    <n v="4"/>
    <n v="26"/>
    <n v="16.059999999999999"/>
    <x v="0"/>
    <x v="0"/>
    <x v="0"/>
  </r>
  <r>
    <s v="CA-2011-106439"/>
    <d v="2011-10-31T00:00:00"/>
    <d v="2011-11-04T00:00:00"/>
    <s v="GregGuthrie@gmail.com"/>
    <x v="0"/>
    <x v="3"/>
    <x v="471"/>
    <n v="15.968"/>
    <n v="2"/>
    <n v="5.3891999999999998"/>
    <x v="1"/>
    <n v="10"/>
    <x v="7"/>
    <n v="31"/>
    <n v="4"/>
    <n v="33.75"/>
    <n v="7.984"/>
    <x v="0"/>
    <x v="0"/>
    <x v="0"/>
  </r>
  <r>
    <s v="CA-2011-106439"/>
    <d v="2011-10-31T00:00:00"/>
    <d v="2011-11-04T00:00:00"/>
    <s v="GregGuthrie@gmail.com"/>
    <x v="0"/>
    <x v="8"/>
    <x v="472"/>
    <n v="64.739999999999995"/>
    <n v="13"/>
    <n v="30.427800000000001"/>
    <x v="1"/>
    <n v="10"/>
    <x v="7"/>
    <n v="31"/>
    <n v="4"/>
    <n v="47"/>
    <n v="4.9800000000000004"/>
    <x v="0"/>
    <x v="0"/>
    <x v="0"/>
  </r>
  <r>
    <s v="CA-2011-106439"/>
    <d v="2011-10-31T00:00:00"/>
    <d v="2011-11-04T00:00:00"/>
    <s v="GregGuthrie@gmail.com"/>
    <x v="0"/>
    <x v="3"/>
    <x v="473"/>
    <n v="19.295999999999999"/>
    <n v="3"/>
    <n v="6.03"/>
    <x v="1"/>
    <n v="10"/>
    <x v="7"/>
    <n v="31"/>
    <n v="4"/>
    <n v="31.25"/>
    <n v="6.4319999999999986"/>
    <x v="0"/>
    <x v="0"/>
    <x v="0"/>
  </r>
  <r>
    <s v="CA-2011-106439"/>
    <d v="2011-10-31T00:00:00"/>
    <d v="2011-11-04T00:00:00"/>
    <s v="GregGuthrie@gmail.com"/>
    <x v="0"/>
    <x v="5"/>
    <x v="170"/>
    <n v="405.64"/>
    <n v="4"/>
    <n v="12.1692"/>
    <x v="1"/>
    <n v="10"/>
    <x v="7"/>
    <n v="31"/>
    <n v="4"/>
    <n v="3"/>
    <n v="101.41"/>
    <x v="0"/>
    <x v="0"/>
    <x v="1"/>
  </r>
  <r>
    <s v="CA-2011-106439"/>
    <d v="2011-10-31T00:00:00"/>
    <d v="2011-11-04T00:00:00"/>
    <s v="GregGuthrie@gmail.com"/>
    <x v="0"/>
    <x v="9"/>
    <x v="474"/>
    <n v="146.352"/>
    <n v="3"/>
    <n v="-9.1470000000000002"/>
    <x v="1"/>
    <n v="10"/>
    <x v="7"/>
    <n v="31"/>
    <n v="4"/>
    <n v="-6.25"/>
    <n v="48.783999999999999"/>
    <x v="0"/>
    <x v="1"/>
    <x v="0"/>
  </r>
  <r>
    <s v="CA-2011-106439"/>
    <d v="2011-10-31T00:00:00"/>
    <d v="2011-11-04T00:00:00"/>
    <s v="GregGuthrie@gmail.com"/>
    <x v="0"/>
    <x v="7"/>
    <x v="475"/>
    <n v="251.91"/>
    <n v="9"/>
    <n v="47.862900000000003"/>
    <x v="1"/>
    <n v="10"/>
    <x v="7"/>
    <n v="31"/>
    <n v="4"/>
    <n v="19"/>
    <n v="27.99"/>
    <x v="0"/>
    <x v="0"/>
    <x v="1"/>
  </r>
  <r>
    <s v="CA-2011-106439"/>
    <d v="2011-10-31T00:00:00"/>
    <d v="2011-11-04T00:00:00"/>
    <s v="GregGuthrie@gmail.com"/>
    <x v="0"/>
    <x v="2"/>
    <x v="476"/>
    <n v="12.39"/>
    <n v="3"/>
    <n v="3.7170000000000001"/>
    <x v="1"/>
    <n v="10"/>
    <x v="7"/>
    <n v="31"/>
    <n v="4"/>
    <n v="30"/>
    <n v="4.13"/>
    <x v="0"/>
    <x v="0"/>
    <x v="0"/>
  </r>
  <r>
    <s v="CA-2012-133452"/>
    <d v="2012-04-13T00:00:00"/>
    <d v="2012-04-19T00:00:00"/>
    <s v="ZuschussCarroll@gmail.com"/>
    <x v="64"/>
    <x v="7"/>
    <x v="477"/>
    <n v="199.96"/>
    <n v="4"/>
    <n v="69.986000000000004"/>
    <x v="2"/>
    <n v="4"/>
    <x v="10"/>
    <n v="13"/>
    <n v="6"/>
    <n v="35"/>
    <n v="49.99"/>
    <x v="0"/>
    <x v="0"/>
    <x v="0"/>
  </r>
  <r>
    <s v="US-2014-110996"/>
    <d v="2014-11-21T00:00:00"/>
    <d v="2014-11-26T00:00:00"/>
    <s v="KellyAndreada@gmail.com"/>
    <x v="82"/>
    <x v="9"/>
    <x v="102"/>
    <n v="283.92"/>
    <n v="5"/>
    <n v="-46.137"/>
    <x v="3"/>
    <n v="11"/>
    <x v="6"/>
    <n v="21"/>
    <n v="5"/>
    <n v="-16.25"/>
    <n v="56.784000000000013"/>
    <x v="0"/>
    <x v="1"/>
    <x v="1"/>
  </r>
  <r>
    <s v="CA-2013-129693"/>
    <d v="2013-11-27T00:00:00"/>
    <d v="2013-12-03T00:00:00"/>
    <s v="TamaraChand@gmail.com"/>
    <x v="1"/>
    <x v="3"/>
    <x v="478"/>
    <n v="7.3120000000000003"/>
    <n v="2"/>
    <n v="2.5592000000000001"/>
    <x v="0"/>
    <n v="11"/>
    <x v="6"/>
    <n v="27"/>
    <n v="6"/>
    <n v="35"/>
    <n v="3.6560000000000001"/>
    <x v="1"/>
    <x v="0"/>
    <x v="0"/>
  </r>
  <r>
    <s v="CA-2014-122504"/>
    <d v="2014-11-08T00:00:00"/>
    <d v="2014-11-13T00:00:00"/>
    <s v="DeborahBrumfield@gmail.com"/>
    <x v="17"/>
    <x v="7"/>
    <x v="479"/>
    <n v="59.97"/>
    <n v="3"/>
    <n v="13.793100000000001"/>
    <x v="3"/>
    <n v="11"/>
    <x v="6"/>
    <n v="8"/>
    <n v="5"/>
    <n v="23"/>
    <n v="19.989999999999998"/>
    <x v="0"/>
    <x v="0"/>
    <x v="0"/>
  </r>
  <r>
    <s v="CA-2011-131051"/>
    <d v="2011-12-01T00:00:00"/>
    <d v="2011-12-05T00:00:00"/>
    <s v="TobyRitter@gmail.com"/>
    <x v="3"/>
    <x v="1"/>
    <x v="480"/>
    <n v="58.2"/>
    <n v="3"/>
    <n v="28.518000000000001"/>
    <x v="1"/>
    <n v="12"/>
    <x v="1"/>
    <n v="1"/>
    <n v="4"/>
    <n v="49"/>
    <n v="19.399999999999999"/>
    <x v="0"/>
    <x v="0"/>
    <x v="0"/>
  </r>
  <r>
    <s v="CA-2012-120103"/>
    <d v="2012-12-24T00:00:00"/>
    <d v="2012-12-29T00:00:00"/>
    <s v="MaribethSchnelling@gmail.com"/>
    <x v="7"/>
    <x v="8"/>
    <x v="481"/>
    <n v="106.232"/>
    <n v="7"/>
    <n v="37.181199999999997"/>
    <x v="2"/>
    <n v="12"/>
    <x v="1"/>
    <n v="24"/>
    <n v="5"/>
    <n v="35"/>
    <n v="15.176"/>
    <x v="0"/>
    <x v="0"/>
    <x v="0"/>
  </r>
  <r>
    <s v="CA-2012-120103"/>
    <d v="2012-12-24T00:00:00"/>
    <d v="2012-12-29T00:00:00"/>
    <s v="MaribethSchnelling@gmail.com"/>
    <x v="7"/>
    <x v="6"/>
    <x v="482"/>
    <n v="111.98399999999999"/>
    <n v="2"/>
    <n v="11.198399999999999"/>
    <x v="2"/>
    <n v="12"/>
    <x v="1"/>
    <n v="24"/>
    <n v="5"/>
    <n v="10"/>
    <n v="55.991999999999997"/>
    <x v="0"/>
    <x v="0"/>
    <x v="0"/>
  </r>
  <r>
    <s v="CA-2012-120103"/>
    <d v="2012-12-24T00:00:00"/>
    <d v="2012-12-29T00:00:00"/>
    <s v="MaribethSchnelling@gmail.com"/>
    <x v="7"/>
    <x v="1"/>
    <x v="355"/>
    <n v="7.7119999999999997"/>
    <n v="2"/>
    <n v="1.7352000000000001"/>
    <x v="2"/>
    <n v="12"/>
    <x v="1"/>
    <n v="24"/>
    <n v="5"/>
    <n v="22.5"/>
    <n v="3.8559999999999999"/>
    <x v="0"/>
    <x v="0"/>
    <x v="0"/>
  </r>
  <r>
    <s v="CA-2014-104647"/>
    <d v="2014-02-24T00:00:00"/>
    <d v="2014-03-02T00:00:00"/>
    <s v="ClytieKelty@gmail.com"/>
    <x v="0"/>
    <x v="8"/>
    <x v="483"/>
    <n v="37.44"/>
    <n v="6"/>
    <n v="16.847999999999999"/>
    <x v="3"/>
    <n v="2"/>
    <x v="11"/>
    <n v="24"/>
    <n v="6"/>
    <n v="45"/>
    <n v="6.2399999999999993"/>
    <x v="0"/>
    <x v="0"/>
    <x v="0"/>
  </r>
  <r>
    <s v="CA-2012-139290"/>
    <d v="2012-10-26T00:00:00"/>
    <d v="2012-10-30T00:00:00"/>
    <s v="MaribethYedwab@gmail.com"/>
    <x v="83"/>
    <x v="0"/>
    <x v="484"/>
    <n v="5.76"/>
    <n v="2"/>
    <n v="2.6496"/>
    <x v="2"/>
    <n v="10"/>
    <x v="7"/>
    <n v="26"/>
    <n v="4"/>
    <n v="46"/>
    <n v="2.88"/>
    <x v="0"/>
    <x v="0"/>
    <x v="0"/>
  </r>
  <r>
    <s v="CA-2012-149678"/>
    <d v="2012-04-13T00:00:00"/>
    <d v="2012-04-15T00:00:00"/>
    <s v="AnthonyWitt@gmail.com"/>
    <x v="46"/>
    <x v="11"/>
    <x v="157"/>
    <n v="12.88"/>
    <n v="1"/>
    <n v="0.38640000000000002"/>
    <x v="2"/>
    <n v="4"/>
    <x v="10"/>
    <n v="13"/>
    <n v="2"/>
    <n v="3"/>
    <n v="12.88"/>
    <x v="0"/>
    <x v="0"/>
    <x v="0"/>
  </r>
  <r>
    <s v="CA-2014-124401"/>
    <d v="2014-09-08T00:00:00"/>
    <d v="2014-09-13T00:00:00"/>
    <s v="RubenDartt@gmail.com"/>
    <x v="5"/>
    <x v="5"/>
    <x v="485"/>
    <n v="37.68"/>
    <n v="3"/>
    <n v="2.355"/>
    <x v="3"/>
    <n v="9"/>
    <x v="8"/>
    <n v="8"/>
    <n v="5"/>
    <n v="6.25"/>
    <n v="12.56"/>
    <x v="0"/>
    <x v="0"/>
    <x v="0"/>
  </r>
  <r>
    <s v="CA-2014-124401"/>
    <d v="2014-09-08T00:00:00"/>
    <d v="2014-09-13T00:00:00"/>
    <s v="RubenDartt@gmail.com"/>
    <x v="5"/>
    <x v="7"/>
    <x v="486"/>
    <n v="279.94400000000002"/>
    <n v="7"/>
    <n v="80.483900000000006"/>
    <x v="3"/>
    <n v="9"/>
    <x v="8"/>
    <n v="8"/>
    <n v="5"/>
    <n v="28.75"/>
    <n v="39.991999999999997"/>
    <x v="0"/>
    <x v="0"/>
    <x v="1"/>
  </r>
  <r>
    <s v="US-2011-140116"/>
    <d v="2011-03-10T00:00:00"/>
    <d v="2011-03-17T00:00:00"/>
    <s v="KeanThornton@gmail.com"/>
    <x v="13"/>
    <x v="2"/>
    <x v="487"/>
    <n v="83.168000000000006"/>
    <n v="4"/>
    <n v="9.3564000000000007"/>
    <x v="1"/>
    <n v="3"/>
    <x v="9"/>
    <n v="10"/>
    <n v="7"/>
    <n v="11.25"/>
    <n v="20.792000000000002"/>
    <x v="0"/>
    <x v="0"/>
    <x v="0"/>
  </r>
  <r>
    <s v="CA-2011-123295"/>
    <d v="2011-07-18T00:00:00"/>
    <d v="2011-07-18T00:00:00"/>
    <s v="AdrianHane@gmail.com"/>
    <x v="24"/>
    <x v="9"/>
    <x v="488"/>
    <n v="259.13600000000002"/>
    <n v="4"/>
    <n v="-25.913599999999999"/>
    <x v="1"/>
    <n v="7"/>
    <x v="5"/>
    <n v="18"/>
    <n v="0"/>
    <n v="-10"/>
    <n v="64.784000000000006"/>
    <x v="0"/>
    <x v="1"/>
    <x v="1"/>
  </r>
  <r>
    <s v="CA-2012-164882"/>
    <d v="2012-10-31T00:00:00"/>
    <d v="2012-10-31T00:00:00"/>
    <s v="SandraGlassco@gmail.com"/>
    <x v="12"/>
    <x v="8"/>
    <x v="103"/>
    <n v="19.98"/>
    <n v="1"/>
    <n v="9.3905999999999992"/>
    <x v="2"/>
    <n v="10"/>
    <x v="7"/>
    <n v="31"/>
    <n v="0"/>
    <n v="47"/>
    <n v="19.98"/>
    <x v="0"/>
    <x v="0"/>
    <x v="0"/>
  </r>
  <r>
    <s v="CA-2012-164882"/>
    <d v="2012-10-31T00:00:00"/>
    <d v="2012-10-31T00:00:00"/>
    <s v="SandraGlassco@gmail.com"/>
    <x v="12"/>
    <x v="3"/>
    <x v="489"/>
    <n v="398.35199999999998"/>
    <n v="3"/>
    <n v="124.485"/>
    <x v="2"/>
    <n v="10"/>
    <x v="7"/>
    <n v="31"/>
    <n v="0"/>
    <n v="31.25"/>
    <n v="132.78399999999999"/>
    <x v="0"/>
    <x v="0"/>
    <x v="1"/>
  </r>
  <r>
    <s v="CA-2012-164882"/>
    <d v="2012-10-31T00:00:00"/>
    <d v="2012-10-31T00:00:00"/>
    <s v="SandraGlassco@gmail.com"/>
    <x v="12"/>
    <x v="2"/>
    <x v="490"/>
    <n v="5.04"/>
    <n v="3"/>
    <n v="1.26"/>
    <x v="2"/>
    <n v="10"/>
    <x v="7"/>
    <n v="31"/>
    <n v="0"/>
    <n v="25"/>
    <n v="1.68"/>
    <x v="0"/>
    <x v="0"/>
    <x v="0"/>
  </r>
  <r>
    <s v="CA-2012-164882"/>
    <d v="2012-10-31T00:00:00"/>
    <d v="2012-10-31T00:00:00"/>
    <s v="SandraGlassco@gmail.com"/>
    <x v="12"/>
    <x v="10"/>
    <x v="369"/>
    <n v="17.45"/>
    <n v="5"/>
    <n v="8.0269999999999992"/>
    <x v="2"/>
    <n v="10"/>
    <x v="7"/>
    <n v="31"/>
    <n v="0"/>
    <n v="46"/>
    <n v="3.49"/>
    <x v="0"/>
    <x v="0"/>
    <x v="0"/>
  </r>
  <r>
    <s v="CA-2012-164882"/>
    <d v="2012-10-31T00:00:00"/>
    <d v="2012-10-31T00:00:00"/>
    <s v="SandraGlassco@gmail.com"/>
    <x v="12"/>
    <x v="9"/>
    <x v="491"/>
    <n v="323.13600000000002"/>
    <n v="4"/>
    <n v="20.196000000000002"/>
    <x v="2"/>
    <n v="10"/>
    <x v="7"/>
    <n v="31"/>
    <n v="0"/>
    <n v="6.25"/>
    <n v="80.784000000000006"/>
    <x v="0"/>
    <x v="0"/>
    <x v="1"/>
  </r>
  <r>
    <s v="CA-2012-164882"/>
    <d v="2012-10-31T00:00:00"/>
    <d v="2012-10-31T00:00:00"/>
    <s v="SandraGlassco@gmail.com"/>
    <x v="12"/>
    <x v="11"/>
    <x v="492"/>
    <n v="29.7"/>
    <n v="3"/>
    <n v="8.0190000000000001"/>
    <x v="2"/>
    <n v="10"/>
    <x v="7"/>
    <n v="31"/>
    <n v="0"/>
    <n v="27"/>
    <n v="9.9"/>
    <x v="0"/>
    <x v="0"/>
    <x v="0"/>
  </r>
  <r>
    <s v="CA-2012-164882"/>
    <d v="2012-10-31T00:00:00"/>
    <d v="2012-10-31T00:00:00"/>
    <s v="SandraGlassco@gmail.com"/>
    <x v="12"/>
    <x v="5"/>
    <x v="493"/>
    <n v="46.84"/>
    <n v="2"/>
    <n v="12.646800000000001"/>
    <x v="2"/>
    <n v="10"/>
    <x v="7"/>
    <n v="31"/>
    <n v="0"/>
    <n v="27"/>
    <n v="23.42"/>
    <x v="0"/>
    <x v="0"/>
    <x v="0"/>
  </r>
  <r>
    <s v="CA-2012-164882"/>
    <d v="2012-10-31T00:00:00"/>
    <d v="2012-10-31T00:00:00"/>
    <s v="SandraGlassco@gmail.com"/>
    <x v="12"/>
    <x v="14"/>
    <x v="494"/>
    <n v="425.83300000000003"/>
    <n v="1"/>
    <n v="20.039200000000001"/>
    <x v="2"/>
    <n v="10"/>
    <x v="7"/>
    <n v="31"/>
    <n v="0"/>
    <n v="4.71"/>
    <n v="425.83300000000003"/>
    <x v="0"/>
    <x v="0"/>
    <x v="1"/>
  </r>
  <r>
    <s v="CA-2013-130267"/>
    <d v="2013-09-20T00:00:00"/>
    <d v="2013-09-24T00:00:00"/>
    <s v="ScotWooten@gmail.com"/>
    <x v="84"/>
    <x v="8"/>
    <x v="495"/>
    <n v="159.88"/>
    <n v="7"/>
    <n v="73.544799999999995"/>
    <x v="0"/>
    <n v="9"/>
    <x v="8"/>
    <n v="20"/>
    <n v="4"/>
    <n v="46"/>
    <n v="22.84"/>
    <x v="0"/>
    <x v="0"/>
    <x v="0"/>
  </r>
  <r>
    <s v="CA-2014-155460"/>
    <d v="2014-04-14T00:00:00"/>
    <d v="2014-04-16T00:00:00"/>
    <s v="RobWilliams@gmail.com"/>
    <x v="1"/>
    <x v="8"/>
    <x v="62"/>
    <n v="5.28"/>
    <n v="1"/>
    <n v="2.3759999999999999"/>
    <x v="3"/>
    <n v="4"/>
    <x v="10"/>
    <n v="14"/>
    <n v="2"/>
    <n v="45"/>
    <n v="5.28"/>
    <x v="0"/>
    <x v="0"/>
    <x v="0"/>
  </r>
  <r>
    <s v="CA-2014-158246"/>
    <d v="2014-11-10T00:00:00"/>
    <d v="2014-11-12T00:00:00"/>
    <s v="JenniferBraxton@gmail.com"/>
    <x v="85"/>
    <x v="9"/>
    <x v="412"/>
    <n v="215.976"/>
    <n v="3"/>
    <n v="-2.6997"/>
    <x v="3"/>
    <n v="11"/>
    <x v="6"/>
    <n v="10"/>
    <n v="2"/>
    <n v="-1.25"/>
    <n v="71.992000000000004"/>
    <x v="0"/>
    <x v="1"/>
    <x v="1"/>
  </r>
  <r>
    <s v="CA-2011-141607"/>
    <d v="2011-12-12T00:00:00"/>
    <d v="2011-12-17T00:00:00"/>
    <s v="WilliamBrown@gmail.com"/>
    <x v="29"/>
    <x v="1"/>
    <x v="496"/>
    <n v="43.31"/>
    <n v="1"/>
    <n v="4.3310000000000004"/>
    <x v="1"/>
    <n v="12"/>
    <x v="1"/>
    <n v="12"/>
    <n v="5"/>
    <n v="10"/>
    <n v="43.31"/>
    <x v="0"/>
    <x v="0"/>
    <x v="0"/>
  </r>
  <r>
    <s v="CA-2013-111115"/>
    <d v="2013-07-26T00:00:00"/>
    <d v="2013-07-28T00:00:00"/>
    <s v="LarryBlacks@gmail.com"/>
    <x v="0"/>
    <x v="10"/>
    <x v="82"/>
    <n v="21.48"/>
    <n v="6"/>
    <n v="10.74"/>
    <x v="0"/>
    <n v="7"/>
    <x v="5"/>
    <n v="26"/>
    <n v="2"/>
    <n v="50"/>
    <n v="3.58"/>
    <x v="1"/>
    <x v="0"/>
    <x v="0"/>
  </r>
  <r>
    <s v="CA-2013-101938"/>
    <d v="2013-01-07T00:00:00"/>
    <d v="2013-01-12T00:00:00"/>
    <s v="DiannaWilson@gmail.com"/>
    <x v="52"/>
    <x v="2"/>
    <x v="497"/>
    <n v="34.58"/>
    <n v="1"/>
    <n v="10.0282"/>
    <x v="0"/>
    <n v="1"/>
    <x v="4"/>
    <n v="7"/>
    <n v="5"/>
    <n v="29"/>
    <n v="34.58"/>
    <x v="0"/>
    <x v="0"/>
    <x v="0"/>
  </r>
  <r>
    <s v="CA-2014-166296"/>
    <d v="2014-03-14T00:00:00"/>
    <d v="2014-03-20T00:00:00"/>
    <s v="KarenFerguson@gmail.com"/>
    <x v="86"/>
    <x v="8"/>
    <x v="393"/>
    <n v="314.55"/>
    <n v="3"/>
    <n v="150.98400000000001"/>
    <x v="3"/>
    <n v="3"/>
    <x v="9"/>
    <n v="14"/>
    <n v="6"/>
    <n v="48"/>
    <n v="104.85"/>
    <x v="0"/>
    <x v="0"/>
    <x v="1"/>
  </r>
  <r>
    <s v="CA-2011-152296"/>
    <d v="2011-08-01T00:00:00"/>
    <d v="2011-08-03T00:00:00"/>
    <s v="IvanListon@gmail.com"/>
    <x v="3"/>
    <x v="3"/>
    <x v="498"/>
    <n v="19.751999999999999"/>
    <n v="3"/>
    <n v="6.9131999999999998"/>
    <x v="1"/>
    <n v="8"/>
    <x v="3"/>
    <n v="1"/>
    <n v="2"/>
    <n v="35"/>
    <n v="6.5839999999999996"/>
    <x v="0"/>
    <x v="0"/>
    <x v="0"/>
  </r>
  <r>
    <s v="CA-2013-125738"/>
    <d v="2013-10-16T00:00:00"/>
    <d v="2013-10-22T00:00:00"/>
    <s v="PatrickBzostek@gmail.com"/>
    <x v="87"/>
    <x v="8"/>
    <x v="499"/>
    <n v="45.68"/>
    <n v="2"/>
    <n v="21.012799999999999"/>
    <x v="0"/>
    <n v="10"/>
    <x v="7"/>
    <n v="16"/>
    <n v="6"/>
    <n v="46"/>
    <n v="22.84"/>
    <x v="0"/>
    <x v="0"/>
    <x v="0"/>
  </r>
  <r>
    <s v="CA-2013-125738"/>
    <d v="2013-10-16T00:00:00"/>
    <d v="2013-10-22T00:00:00"/>
    <s v="PatrickBzostek@gmail.com"/>
    <x v="87"/>
    <x v="8"/>
    <x v="395"/>
    <n v="60.12"/>
    <n v="9"/>
    <n v="28.857600000000001"/>
    <x v="0"/>
    <n v="10"/>
    <x v="7"/>
    <n v="16"/>
    <n v="6"/>
    <n v="48"/>
    <n v="6.68"/>
    <x v="0"/>
    <x v="0"/>
    <x v="0"/>
  </r>
  <r>
    <s v="CA-2013-125738"/>
    <d v="2013-10-16T00:00:00"/>
    <d v="2013-10-22T00:00:00"/>
    <s v="PatrickBzostek@gmail.com"/>
    <x v="87"/>
    <x v="3"/>
    <x v="500"/>
    <n v="41.72"/>
    <n v="5"/>
    <n v="13.0375"/>
    <x v="0"/>
    <n v="10"/>
    <x v="7"/>
    <n v="16"/>
    <n v="6"/>
    <n v="31.25"/>
    <n v="8.3439999999999994"/>
    <x v="0"/>
    <x v="0"/>
    <x v="0"/>
  </r>
  <r>
    <s v="CA-2013-125738"/>
    <d v="2013-10-16T00:00:00"/>
    <d v="2013-10-22T00:00:00"/>
    <s v="PatrickBzostek@gmail.com"/>
    <x v="87"/>
    <x v="8"/>
    <x v="119"/>
    <n v="71.599999999999994"/>
    <n v="8"/>
    <n v="32.936"/>
    <x v="0"/>
    <n v="10"/>
    <x v="7"/>
    <n v="16"/>
    <n v="6"/>
    <n v="46"/>
    <n v="8.9499999999999993"/>
    <x v="0"/>
    <x v="0"/>
    <x v="0"/>
  </r>
  <r>
    <s v="CA-2014-124576"/>
    <d v="2014-08-02T00:00:00"/>
    <d v="2014-08-05T00:00:00"/>
    <s v="HeatherKirkland@gmail.com"/>
    <x v="45"/>
    <x v="3"/>
    <x v="501"/>
    <n v="54.896000000000001"/>
    <n v="2"/>
    <n v="18.5274"/>
    <x v="3"/>
    <n v="8"/>
    <x v="3"/>
    <n v="2"/>
    <n v="3"/>
    <n v="33.75"/>
    <n v="27.448"/>
    <x v="0"/>
    <x v="0"/>
    <x v="0"/>
  </r>
  <r>
    <s v="CA-2013-118913"/>
    <d v="2013-06-26T00:00:00"/>
    <d v="2013-06-30T00:00:00"/>
    <s v="AlanShonely@gmail.com"/>
    <x v="0"/>
    <x v="4"/>
    <x v="502"/>
    <n v="60.81"/>
    <n v="3"/>
    <n v="17.026800000000001"/>
    <x v="0"/>
    <n v="6"/>
    <x v="0"/>
    <n v="26"/>
    <n v="4"/>
    <n v="28"/>
    <n v="20.27"/>
    <x v="0"/>
    <x v="0"/>
    <x v="0"/>
  </r>
  <r>
    <s v="CA-2013-128412"/>
    <d v="2013-12-11T00:00:00"/>
    <d v="2013-12-18T00:00:00"/>
    <s v="ArthurPrichep@gmail.com"/>
    <x v="1"/>
    <x v="3"/>
    <x v="503"/>
    <n v="153.55199999999999"/>
    <n v="3"/>
    <n v="51.823799999999999"/>
    <x v="0"/>
    <n v="12"/>
    <x v="1"/>
    <n v="11"/>
    <n v="7"/>
    <n v="33.75"/>
    <n v="51.183999999999997"/>
    <x v="0"/>
    <x v="0"/>
    <x v="0"/>
  </r>
  <r>
    <s v="CA-2013-128412"/>
    <d v="2013-12-11T00:00:00"/>
    <d v="2013-12-18T00:00:00"/>
    <s v="ArthurPrichep@gmail.com"/>
    <x v="1"/>
    <x v="4"/>
    <x v="504"/>
    <n v="65.34"/>
    <n v="3"/>
    <n v="22.869"/>
    <x v="0"/>
    <n v="12"/>
    <x v="1"/>
    <n v="11"/>
    <n v="7"/>
    <n v="35"/>
    <n v="21.78"/>
    <x v="0"/>
    <x v="0"/>
    <x v="0"/>
  </r>
  <r>
    <s v="CA-2013-128412"/>
    <d v="2013-12-11T00:00:00"/>
    <d v="2013-12-18T00:00:00"/>
    <s v="ArthurPrichep@gmail.com"/>
    <x v="1"/>
    <x v="8"/>
    <x v="505"/>
    <n v="123.92"/>
    <n v="4"/>
    <n v="55.764000000000003"/>
    <x v="0"/>
    <n v="12"/>
    <x v="1"/>
    <n v="11"/>
    <n v="7"/>
    <n v="45"/>
    <n v="30.98"/>
    <x v="0"/>
    <x v="0"/>
    <x v="0"/>
  </r>
  <r>
    <s v="CA-2013-128412"/>
    <d v="2013-12-11T00:00:00"/>
    <d v="2013-12-18T00:00:00"/>
    <s v="ArthurPrichep@gmail.com"/>
    <x v="1"/>
    <x v="4"/>
    <x v="506"/>
    <n v="35.1"/>
    <n v="3"/>
    <n v="12.285"/>
    <x v="0"/>
    <n v="12"/>
    <x v="1"/>
    <n v="11"/>
    <n v="7"/>
    <n v="35"/>
    <n v="11.7"/>
    <x v="0"/>
    <x v="0"/>
    <x v="0"/>
  </r>
  <r>
    <s v="CA-2013-128412"/>
    <d v="2013-12-11T00:00:00"/>
    <d v="2013-12-18T00:00:00"/>
    <s v="ArthurPrichep@gmail.com"/>
    <x v="1"/>
    <x v="7"/>
    <x v="414"/>
    <n v="44.75"/>
    <n v="5"/>
    <n v="8.5024999999999995"/>
    <x v="0"/>
    <n v="12"/>
    <x v="1"/>
    <n v="11"/>
    <n v="7"/>
    <n v="19"/>
    <n v="8.9499999999999993"/>
    <x v="0"/>
    <x v="0"/>
    <x v="0"/>
  </r>
  <r>
    <s v="CA-2012-138002"/>
    <d v="2012-09-06T00:00:00"/>
    <d v="2012-09-12T00:00:00"/>
    <s v="BethThompson@gmail.com"/>
    <x v="1"/>
    <x v="3"/>
    <x v="507"/>
    <n v="6.0960000000000001"/>
    <n v="2"/>
    <n v="2.1335999999999999"/>
    <x v="2"/>
    <n v="9"/>
    <x v="8"/>
    <n v="6"/>
    <n v="6"/>
    <n v="35"/>
    <n v="3.048"/>
    <x v="0"/>
    <x v="0"/>
    <x v="0"/>
  </r>
  <r>
    <s v="CA-2012-138002"/>
    <d v="2012-09-06T00:00:00"/>
    <d v="2012-09-12T00:00:00"/>
    <s v="BethThompson@gmail.com"/>
    <x v="1"/>
    <x v="1"/>
    <x v="508"/>
    <n v="191.82"/>
    <n v="3"/>
    <n v="74.809799999999996"/>
    <x v="2"/>
    <n v="9"/>
    <x v="8"/>
    <n v="6"/>
    <n v="6"/>
    <n v="39"/>
    <n v="63.94"/>
    <x v="0"/>
    <x v="0"/>
    <x v="0"/>
  </r>
  <r>
    <s v="CA-2014-129378"/>
    <d v="2014-10-02T00:00:00"/>
    <d v="2014-10-03T00:00:00"/>
    <s v="NeolaSchneider@gmail.com"/>
    <x v="10"/>
    <x v="3"/>
    <x v="241"/>
    <n v="1.44"/>
    <n v="1"/>
    <n v="0.504"/>
    <x v="3"/>
    <n v="10"/>
    <x v="7"/>
    <n v="2"/>
    <n v="1"/>
    <n v="35"/>
    <n v="1.44"/>
    <x v="0"/>
    <x v="0"/>
    <x v="0"/>
  </r>
  <r>
    <s v="CA-2014-129378"/>
    <d v="2014-10-02T00:00:00"/>
    <d v="2014-10-03T00:00:00"/>
    <s v="NeolaSchneider@gmail.com"/>
    <x v="10"/>
    <x v="3"/>
    <x v="84"/>
    <n v="61.776000000000003"/>
    <n v="13"/>
    <n v="20.849399999999999"/>
    <x v="3"/>
    <n v="10"/>
    <x v="7"/>
    <n v="2"/>
    <n v="1"/>
    <n v="33.75"/>
    <n v="4.7520000000000007"/>
    <x v="0"/>
    <x v="0"/>
    <x v="0"/>
  </r>
  <r>
    <s v="CA-2014-129378"/>
    <d v="2014-10-02T00:00:00"/>
    <d v="2014-10-03T00:00:00"/>
    <s v="NeolaSchneider@gmail.com"/>
    <x v="10"/>
    <x v="4"/>
    <x v="509"/>
    <n v="241.96"/>
    <n v="2"/>
    <n v="60.49"/>
    <x v="3"/>
    <n v="10"/>
    <x v="7"/>
    <n v="2"/>
    <n v="1"/>
    <n v="25"/>
    <n v="120.98"/>
    <x v="0"/>
    <x v="0"/>
    <x v="1"/>
  </r>
  <r>
    <s v="CA-2014-129378"/>
    <d v="2014-10-02T00:00:00"/>
    <d v="2014-10-03T00:00:00"/>
    <s v="NeolaSchneider@gmail.com"/>
    <x v="10"/>
    <x v="9"/>
    <x v="510"/>
    <n v="108.608"/>
    <n v="4"/>
    <n v="9.5031999999999996"/>
    <x v="3"/>
    <n v="10"/>
    <x v="7"/>
    <n v="2"/>
    <n v="1"/>
    <n v="8.75"/>
    <n v="27.152000000000001"/>
    <x v="0"/>
    <x v="0"/>
    <x v="0"/>
  </r>
  <r>
    <s v="CA-2014-130841"/>
    <d v="2014-07-29T00:00:00"/>
    <d v="2014-08-02T00:00:00"/>
    <s v="MattHagelstein@gmail.com"/>
    <x v="3"/>
    <x v="3"/>
    <x v="511"/>
    <n v="9.984"/>
    <n v="4"/>
    <n v="3.6192000000000002"/>
    <x v="3"/>
    <n v="7"/>
    <x v="5"/>
    <n v="29"/>
    <n v="4"/>
    <n v="36.25"/>
    <n v="2.496"/>
    <x v="0"/>
    <x v="0"/>
    <x v="0"/>
  </r>
  <r>
    <s v="CA-2014-130841"/>
    <d v="2014-07-29T00:00:00"/>
    <d v="2014-08-02T00:00:00"/>
    <s v="MattHagelstein@gmail.com"/>
    <x v="3"/>
    <x v="5"/>
    <x v="512"/>
    <n v="14.98"/>
    <n v="1"/>
    <n v="4.1943999999999999"/>
    <x v="3"/>
    <n v="7"/>
    <x v="5"/>
    <n v="29"/>
    <n v="4"/>
    <n v="28"/>
    <n v="14.98"/>
    <x v="0"/>
    <x v="0"/>
    <x v="0"/>
  </r>
  <r>
    <s v="CA-2013-106383"/>
    <d v="2013-03-20T00:00:00"/>
    <d v="2013-03-22T00:00:00"/>
    <s v="BobbyTrafton@gmail.com"/>
    <x v="88"/>
    <x v="14"/>
    <x v="513"/>
    <n v="72.293999999999997"/>
    <n v="1"/>
    <n v="-98.8018"/>
    <x v="0"/>
    <n v="3"/>
    <x v="9"/>
    <n v="20"/>
    <n v="2"/>
    <n v="-136.66999999999999"/>
    <n v="72.293999999999997"/>
    <x v="1"/>
    <x v="1"/>
    <x v="0"/>
  </r>
  <r>
    <s v="CA-2011-128055"/>
    <d v="2011-03-31T00:00:00"/>
    <d v="2011-04-05T00:00:00"/>
    <s v="AlexAvila@gmail.com"/>
    <x v="3"/>
    <x v="4"/>
    <x v="514"/>
    <n v="52.98"/>
    <n v="2"/>
    <n v="14.8344"/>
    <x v="1"/>
    <n v="3"/>
    <x v="9"/>
    <n v="31"/>
    <n v="5"/>
    <n v="28"/>
    <n v="26.49"/>
    <x v="0"/>
    <x v="0"/>
    <x v="0"/>
  </r>
  <r>
    <s v="CA-2012-123232"/>
    <d v="2012-12-14T00:00:00"/>
    <d v="2012-12-16T00:00:00"/>
    <s v="DougJacobs@gmail.com"/>
    <x v="5"/>
    <x v="6"/>
    <x v="515"/>
    <n v="319.96800000000002"/>
    <n v="4"/>
    <n v="35.996400000000001"/>
    <x v="2"/>
    <n v="12"/>
    <x v="1"/>
    <n v="14"/>
    <n v="2"/>
    <n v="11.25"/>
    <n v="79.992000000000004"/>
    <x v="1"/>
    <x v="0"/>
    <x v="1"/>
  </r>
  <r>
    <s v="CA-2013-122322"/>
    <d v="2013-07-16T00:00:00"/>
    <d v="2013-07-22T00:00:00"/>
    <s v="RickHuthwaite@gmail.com"/>
    <x v="89"/>
    <x v="11"/>
    <x v="516"/>
    <n v="44.4"/>
    <n v="5"/>
    <n v="12.432"/>
    <x v="0"/>
    <n v="7"/>
    <x v="5"/>
    <n v="16"/>
    <n v="6"/>
    <n v="28"/>
    <n v="8.879999999999999"/>
    <x v="0"/>
    <x v="0"/>
    <x v="0"/>
  </r>
  <r>
    <s v="CA-2013-146633"/>
    <d v="2013-11-16T00:00:00"/>
    <d v="2013-11-18T00:00:00"/>
    <s v="TobyGnade@gmail.com"/>
    <x v="0"/>
    <x v="3"/>
    <x v="517"/>
    <n v="38.136000000000003"/>
    <n v="7"/>
    <n v="13.3476"/>
    <x v="0"/>
    <n v="11"/>
    <x v="6"/>
    <n v="16"/>
    <n v="2"/>
    <n v="35"/>
    <n v="5.4480000000000004"/>
    <x v="0"/>
    <x v="0"/>
    <x v="0"/>
  </r>
  <r>
    <s v="CA-2014-103380"/>
    <d v="2014-11-22T00:00:00"/>
    <d v="2014-11-26T00:00:00"/>
    <s v="BarryFranz@gmail.com"/>
    <x v="59"/>
    <x v="5"/>
    <x v="396"/>
    <n v="56.56"/>
    <n v="2"/>
    <n v="15.2712"/>
    <x v="3"/>
    <n v="11"/>
    <x v="6"/>
    <n v="22"/>
    <n v="4"/>
    <n v="27"/>
    <n v="28.28"/>
    <x v="0"/>
    <x v="0"/>
    <x v="0"/>
  </r>
  <r>
    <s v="CA-2014-103380"/>
    <d v="2014-11-22T00:00:00"/>
    <d v="2014-11-26T00:00:00"/>
    <s v="BarryFranz@gmail.com"/>
    <x v="59"/>
    <x v="2"/>
    <x v="518"/>
    <n v="5.56"/>
    <n v="2"/>
    <n v="1.4456"/>
    <x v="3"/>
    <n v="11"/>
    <x v="6"/>
    <n v="22"/>
    <n v="4"/>
    <n v="26"/>
    <n v="2.78"/>
    <x v="0"/>
    <x v="0"/>
    <x v="0"/>
  </r>
  <r>
    <s v="CA-2014-103380"/>
    <d v="2014-11-22T00:00:00"/>
    <d v="2014-11-26T00:00:00"/>
    <s v="BarryFranz@gmail.com"/>
    <x v="59"/>
    <x v="10"/>
    <x v="519"/>
    <n v="9.02"/>
    <n v="2"/>
    <n v="3.5177999999999998"/>
    <x v="3"/>
    <n v="11"/>
    <x v="6"/>
    <n v="22"/>
    <n v="4"/>
    <n v="39"/>
    <n v="4.51"/>
    <x v="0"/>
    <x v="0"/>
    <x v="0"/>
  </r>
  <r>
    <s v="CA-2014-103380"/>
    <d v="2014-11-22T00:00:00"/>
    <d v="2014-11-26T00:00:00"/>
    <s v="BarryFranz@gmail.com"/>
    <x v="59"/>
    <x v="4"/>
    <x v="520"/>
    <n v="8.6199999999999992"/>
    <n v="1"/>
    <n v="2.2412000000000001"/>
    <x v="3"/>
    <n v="11"/>
    <x v="6"/>
    <n v="22"/>
    <n v="4"/>
    <n v="26"/>
    <n v="8.6199999999999992"/>
    <x v="0"/>
    <x v="0"/>
    <x v="0"/>
  </r>
  <r>
    <s v="CA-2012-116092"/>
    <d v="2012-02-15T00:00:00"/>
    <d v="2012-02-18T00:00:00"/>
    <s v="JustinMacKendrick@gmail.com"/>
    <x v="0"/>
    <x v="8"/>
    <x v="521"/>
    <n v="13.36"/>
    <n v="2"/>
    <n v="6.4127999999999998"/>
    <x v="2"/>
    <n v="2"/>
    <x v="11"/>
    <n v="15"/>
    <n v="3"/>
    <n v="48"/>
    <n v="6.68"/>
    <x v="0"/>
    <x v="0"/>
    <x v="0"/>
  </r>
  <r>
    <s v="CA-2012-116092"/>
    <d v="2012-02-15T00:00:00"/>
    <d v="2012-02-18T00:00:00"/>
    <s v="JustinMacKendrick@gmail.com"/>
    <x v="0"/>
    <x v="3"/>
    <x v="500"/>
    <n v="41.72"/>
    <n v="5"/>
    <n v="13.0375"/>
    <x v="2"/>
    <n v="2"/>
    <x v="11"/>
    <n v="15"/>
    <n v="3"/>
    <n v="31.25"/>
    <n v="8.3439999999999994"/>
    <x v="0"/>
    <x v="0"/>
    <x v="0"/>
  </r>
  <r>
    <s v="CA-2012-116092"/>
    <d v="2012-02-15T00:00:00"/>
    <d v="2012-02-18T00:00:00"/>
    <s v="JustinMacKendrick@gmail.com"/>
    <x v="0"/>
    <x v="3"/>
    <x v="522"/>
    <n v="11.52"/>
    <n v="5"/>
    <n v="4.1760000000000002"/>
    <x v="2"/>
    <n v="2"/>
    <x v="11"/>
    <n v="15"/>
    <n v="3"/>
    <n v="36.25"/>
    <n v="2.3039999999999998"/>
    <x v="0"/>
    <x v="0"/>
    <x v="0"/>
  </r>
  <r>
    <s v="CA-2012-116092"/>
    <d v="2012-02-15T00:00:00"/>
    <d v="2012-02-18T00:00:00"/>
    <s v="JustinMacKendrick@gmail.com"/>
    <x v="0"/>
    <x v="8"/>
    <x v="523"/>
    <n v="19.440000000000001"/>
    <n v="3"/>
    <n v="9.3312000000000008"/>
    <x v="2"/>
    <n v="2"/>
    <x v="11"/>
    <n v="15"/>
    <n v="3"/>
    <n v="48"/>
    <n v="6.48"/>
    <x v="0"/>
    <x v="0"/>
    <x v="0"/>
  </r>
  <r>
    <s v="CA-2013-117849"/>
    <d v="2013-04-16T00:00:00"/>
    <d v="2013-04-18T00:00:00"/>
    <s v="JulieKriz@gmail.com"/>
    <x v="16"/>
    <x v="8"/>
    <x v="41"/>
    <n v="143.69999999999999"/>
    <n v="3"/>
    <n v="68.975999999999999"/>
    <x v="0"/>
    <n v="4"/>
    <x v="10"/>
    <n v="16"/>
    <n v="2"/>
    <n v="48"/>
    <n v="47.9"/>
    <x v="1"/>
    <x v="0"/>
    <x v="0"/>
  </r>
  <r>
    <s v="CA-2012-169201"/>
    <d v="2012-09-28T00:00:00"/>
    <d v="2012-10-01T00:00:00"/>
    <s v="HenryGoldwyn@gmail.com"/>
    <x v="3"/>
    <x v="4"/>
    <x v="524"/>
    <n v="43.26"/>
    <n v="3"/>
    <n v="14.2758"/>
    <x v="2"/>
    <n v="9"/>
    <x v="8"/>
    <n v="28"/>
    <n v="3"/>
    <n v="33"/>
    <n v="14.42"/>
    <x v="0"/>
    <x v="0"/>
    <x v="0"/>
  </r>
  <r>
    <s v="CA-2012-169201"/>
    <d v="2012-09-28T00:00:00"/>
    <d v="2012-10-01T00:00:00"/>
    <s v="HenryGoldwyn@gmail.com"/>
    <x v="3"/>
    <x v="4"/>
    <x v="504"/>
    <n v="43.56"/>
    <n v="2"/>
    <n v="15.246"/>
    <x v="2"/>
    <n v="9"/>
    <x v="8"/>
    <n v="28"/>
    <n v="3"/>
    <n v="35"/>
    <n v="21.78"/>
    <x v="0"/>
    <x v="0"/>
    <x v="0"/>
  </r>
  <r>
    <s v="CA-2014-105214"/>
    <d v="2014-06-17T00:00:00"/>
    <d v="2014-06-20T00:00:00"/>
    <s v="TroyStaebel@gmail.com"/>
    <x v="3"/>
    <x v="8"/>
    <x v="525"/>
    <n v="18.54"/>
    <n v="2"/>
    <n v="8.7138000000000009"/>
    <x v="3"/>
    <n v="6"/>
    <x v="0"/>
    <n v="17"/>
    <n v="3"/>
    <n v="47"/>
    <n v="9.27"/>
    <x v="0"/>
    <x v="0"/>
    <x v="0"/>
  </r>
  <r>
    <s v="CA-2012-117611"/>
    <d v="2012-11-08T00:00:00"/>
    <d v="2012-11-10T00:00:00"/>
    <s v="MariaZettner@gmail.com"/>
    <x v="16"/>
    <x v="10"/>
    <x v="526"/>
    <n v="5"/>
    <n v="1"/>
    <n v="2.4"/>
    <x v="2"/>
    <n v="11"/>
    <x v="6"/>
    <n v="8"/>
    <n v="2"/>
    <n v="48"/>
    <n v="5"/>
    <x v="0"/>
    <x v="0"/>
    <x v="0"/>
  </r>
  <r>
    <s v="CA-2012-117611"/>
    <d v="2012-11-08T00:00:00"/>
    <d v="2012-11-10T00:00:00"/>
    <s v="MariaZettner@gmail.com"/>
    <x v="16"/>
    <x v="7"/>
    <x v="527"/>
    <n v="371.97"/>
    <n v="3"/>
    <n v="66.954599999999999"/>
    <x v="2"/>
    <n v="11"/>
    <x v="6"/>
    <n v="8"/>
    <n v="2"/>
    <n v="18"/>
    <n v="123.99"/>
    <x v="0"/>
    <x v="0"/>
    <x v="1"/>
  </r>
  <r>
    <s v="CA-2014-137470"/>
    <d v="2014-09-18T00:00:00"/>
    <d v="2014-09-18T00:00:00"/>
    <s v="TomPrescott@gmail.com"/>
    <x v="1"/>
    <x v="8"/>
    <x v="528"/>
    <n v="12.96"/>
    <n v="2"/>
    <n v="6.3503999999999996"/>
    <x v="3"/>
    <n v="9"/>
    <x v="8"/>
    <n v="18"/>
    <n v="0"/>
    <n v="49"/>
    <n v="6.48"/>
    <x v="1"/>
    <x v="0"/>
    <x v="0"/>
  </r>
  <r>
    <s v="CA-2012-102036"/>
    <d v="2012-09-21T00:00:00"/>
    <d v="2012-09-27T00:00:00"/>
    <s v="ChadSievert@gmail.com"/>
    <x v="1"/>
    <x v="5"/>
    <x v="529"/>
    <n v="199.74"/>
    <n v="6"/>
    <n v="47.937600000000003"/>
    <x v="2"/>
    <n v="9"/>
    <x v="8"/>
    <n v="21"/>
    <n v="6"/>
    <n v="24"/>
    <n v="33.29"/>
    <x v="0"/>
    <x v="0"/>
    <x v="0"/>
  </r>
  <r>
    <s v="CA-2012-142944"/>
    <d v="2012-03-06T00:00:00"/>
    <d v="2012-03-11T00:00:00"/>
    <s v="JohnLucas@gmail.com"/>
    <x v="3"/>
    <x v="1"/>
    <x v="530"/>
    <n v="435.26"/>
    <n v="7"/>
    <n v="95.757199999999997"/>
    <x v="2"/>
    <n v="3"/>
    <x v="9"/>
    <n v="6"/>
    <n v="5"/>
    <n v="22"/>
    <n v="62.18"/>
    <x v="0"/>
    <x v="0"/>
    <x v="1"/>
  </r>
  <r>
    <s v="CA-2011-157882"/>
    <d v="2011-10-03T00:00:00"/>
    <d v="2011-10-08T00:00:00"/>
    <s v="AllenRosenblatt@gmail.com"/>
    <x v="0"/>
    <x v="13"/>
    <x v="531"/>
    <n v="143.43199999999999"/>
    <n v="1"/>
    <n v="3.5857999999999999"/>
    <x v="1"/>
    <n v="10"/>
    <x v="7"/>
    <n v="3"/>
    <n v="5"/>
    <n v="2.5"/>
    <n v="143.43199999999999"/>
    <x v="0"/>
    <x v="0"/>
    <x v="0"/>
  </r>
  <r>
    <s v="CA-2011-157882"/>
    <d v="2011-10-03T00:00:00"/>
    <d v="2011-10-08T00:00:00"/>
    <s v="AllenRosenblatt@gmail.com"/>
    <x v="0"/>
    <x v="9"/>
    <x v="532"/>
    <n v="122.352"/>
    <n v="3"/>
    <n v="13.7646"/>
    <x v="1"/>
    <n v="10"/>
    <x v="7"/>
    <n v="3"/>
    <n v="5"/>
    <n v="11.25"/>
    <n v="40.783999999999999"/>
    <x v="0"/>
    <x v="0"/>
    <x v="0"/>
  </r>
  <r>
    <s v="CA-2014-142622"/>
    <d v="2014-10-31T00:00:00"/>
    <d v="2014-11-03T00:00:00"/>
    <s v="JimKarlsson@gmail.com"/>
    <x v="1"/>
    <x v="9"/>
    <x v="474"/>
    <n v="97.567999999999998"/>
    <n v="2"/>
    <n v="-6.0979999999999999"/>
    <x v="3"/>
    <n v="10"/>
    <x v="7"/>
    <n v="31"/>
    <n v="3"/>
    <n v="-6.25"/>
    <n v="48.783999999999999"/>
    <x v="0"/>
    <x v="1"/>
    <x v="0"/>
  </r>
  <r>
    <s v="CA-2014-142622"/>
    <d v="2014-10-31T00:00:00"/>
    <d v="2014-11-03T00:00:00"/>
    <s v="JimKarlsson@gmail.com"/>
    <x v="1"/>
    <x v="14"/>
    <x v="298"/>
    <n v="199.98"/>
    <n v="2"/>
    <n v="37.996200000000002"/>
    <x v="3"/>
    <n v="10"/>
    <x v="7"/>
    <n v="31"/>
    <n v="3"/>
    <n v="19"/>
    <n v="99.99"/>
    <x v="0"/>
    <x v="0"/>
    <x v="0"/>
  </r>
  <r>
    <s v="CA-2014-143343"/>
    <d v="2014-06-11T00:00:00"/>
    <d v="2014-06-14T00:00:00"/>
    <s v="BenWallace@gmail.com"/>
    <x v="0"/>
    <x v="2"/>
    <x v="533"/>
    <n v="16.399999999999999"/>
    <n v="5"/>
    <n v="4.7560000000000002"/>
    <x v="3"/>
    <n v="6"/>
    <x v="0"/>
    <n v="11"/>
    <n v="3"/>
    <n v="29"/>
    <n v="3.28"/>
    <x v="0"/>
    <x v="0"/>
    <x v="0"/>
  </r>
  <r>
    <s v="US-2014-120418"/>
    <d v="2014-06-12T00:00:00"/>
    <d v="2014-06-13T00:00:00"/>
    <s v="BeckyCastell@gmail.com"/>
    <x v="81"/>
    <x v="9"/>
    <x v="534"/>
    <n v="280.79199999999997"/>
    <n v="1"/>
    <n v="35.098999999999997"/>
    <x v="3"/>
    <n v="6"/>
    <x v="0"/>
    <n v="12"/>
    <n v="1"/>
    <n v="12.5"/>
    <n v="280.79199999999997"/>
    <x v="0"/>
    <x v="0"/>
    <x v="1"/>
  </r>
  <r>
    <s v="US-2014-120418"/>
    <d v="2014-06-12T00:00:00"/>
    <d v="2014-06-13T00:00:00"/>
    <s v="BeckyCastell@gmail.com"/>
    <x v="81"/>
    <x v="5"/>
    <x v="19"/>
    <n v="68.447999999999993"/>
    <n v="4"/>
    <n v="7.7004000000000001"/>
    <x v="3"/>
    <n v="6"/>
    <x v="0"/>
    <n v="12"/>
    <n v="1"/>
    <n v="11.25"/>
    <n v="17.111999999999998"/>
    <x v="0"/>
    <x v="0"/>
    <x v="0"/>
  </r>
  <r>
    <s v="US-2014-120418"/>
    <d v="2014-06-12T00:00:00"/>
    <d v="2014-06-13T00:00:00"/>
    <s v="BeckyCastell@gmail.com"/>
    <x v="81"/>
    <x v="2"/>
    <x v="245"/>
    <n v="88.04"/>
    <n v="5"/>
    <n v="6.6029999999999998"/>
    <x v="3"/>
    <n v="6"/>
    <x v="0"/>
    <n v="12"/>
    <n v="1"/>
    <n v="7.5"/>
    <n v="17.608000000000001"/>
    <x v="0"/>
    <x v="0"/>
    <x v="0"/>
  </r>
  <r>
    <s v="US-2014-120418"/>
    <d v="2014-06-12T00:00:00"/>
    <d v="2014-06-13T00:00:00"/>
    <s v="BeckyCastell@gmail.com"/>
    <x v="81"/>
    <x v="2"/>
    <x v="535"/>
    <n v="15.872"/>
    <n v="1"/>
    <n v="1.984"/>
    <x v="3"/>
    <n v="6"/>
    <x v="0"/>
    <n v="12"/>
    <n v="1"/>
    <n v="12.5"/>
    <n v="15.872"/>
    <x v="0"/>
    <x v="0"/>
    <x v="0"/>
  </r>
  <r>
    <s v="US-2014-120418"/>
    <d v="2014-06-12T00:00:00"/>
    <d v="2014-06-13T00:00:00"/>
    <s v="BeckyCastell@gmail.com"/>
    <x v="81"/>
    <x v="5"/>
    <x v="196"/>
    <n v="215.59200000000001"/>
    <n v="3"/>
    <n v="-48.508200000000002"/>
    <x v="3"/>
    <n v="6"/>
    <x v="0"/>
    <n v="12"/>
    <n v="1"/>
    <n v="-22.5"/>
    <n v="71.864000000000004"/>
    <x v="0"/>
    <x v="1"/>
    <x v="0"/>
  </r>
  <r>
    <s v="CA-2014-165491"/>
    <d v="2014-03-21T00:00:00"/>
    <d v="2014-03-25T00:00:00"/>
    <s v="HelenWasserman@gmail.com"/>
    <x v="1"/>
    <x v="7"/>
    <x v="536"/>
    <n v="265.93"/>
    <n v="7"/>
    <n v="63.8232"/>
    <x v="3"/>
    <n v="3"/>
    <x v="9"/>
    <n v="21"/>
    <n v="4"/>
    <n v="24"/>
    <n v="37.99"/>
    <x v="0"/>
    <x v="0"/>
    <x v="1"/>
  </r>
  <r>
    <s v="CA-2014-138422"/>
    <d v="2014-09-24T00:00:00"/>
    <d v="2014-09-27T00:00:00"/>
    <s v="KristinaNunn@gmail.com"/>
    <x v="90"/>
    <x v="12"/>
    <x v="537"/>
    <n v="14.352"/>
    <n v="3"/>
    <n v="5.2026000000000003"/>
    <x v="3"/>
    <n v="9"/>
    <x v="8"/>
    <n v="24"/>
    <n v="3"/>
    <n v="36.25"/>
    <n v="4.7839999999999998"/>
    <x v="0"/>
    <x v="0"/>
    <x v="0"/>
  </r>
  <r>
    <s v="CA-2013-155187"/>
    <d v="2013-09-25T00:00:00"/>
    <d v="2013-09-27T00:00:00"/>
    <s v="LauraArmstrong@gmail.com"/>
    <x v="0"/>
    <x v="5"/>
    <x v="538"/>
    <n v="41.96"/>
    <n v="2"/>
    <n v="2.9371999999999998"/>
    <x v="0"/>
    <n v="9"/>
    <x v="8"/>
    <n v="25"/>
    <n v="2"/>
    <n v="7"/>
    <n v="20.98"/>
    <x v="0"/>
    <x v="0"/>
    <x v="0"/>
  </r>
  <r>
    <s v="CA-2013-155187"/>
    <d v="2013-09-25T00:00:00"/>
    <d v="2013-09-27T00:00:00"/>
    <s v="LauraArmstrong@gmail.com"/>
    <x v="0"/>
    <x v="8"/>
    <x v="539"/>
    <n v="41.7"/>
    <n v="5"/>
    <n v="20.85"/>
    <x v="0"/>
    <n v="9"/>
    <x v="8"/>
    <n v="25"/>
    <n v="2"/>
    <n v="50"/>
    <n v="8.34"/>
    <x v="0"/>
    <x v="0"/>
    <x v="0"/>
  </r>
  <r>
    <s v="CA-2014-109701"/>
    <d v="2014-12-03T00:00:00"/>
    <d v="2014-12-04T00:00:00"/>
    <s v="AliceMcCarthy@gmail.com"/>
    <x v="0"/>
    <x v="3"/>
    <x v="50"/>
    <n v="9.0239999999999991"/>
    <n v="6"/>
    <n v="3.1583999999999999"/>
    <x v="3"/>
    <n v="12"/>
    <x v="1"/>
    <n v="3"/>
    <n v="1"/>
    <n v="35"/>
    <n v="1.504"/>
    <x v="0"/>
    <x v="0"/>
    <x v="0"/>
  </r>
  <r>
    <s v="CA-2014-109701"/>
    <d v="2014-12-03T00:00:00"/>
    <d v="2014-12-04T00:00:00"/>
    <s v="AliceMcCarthy@gmail.com"/>
    <x v="0"/>
    <x v="3"/>
    <x v="540"/>
    <n v="69.456000000000003"/>
    <n v="2"/>
    <n v="22.5732"/>
    <x v="3"/>
    <n v="12"/>
    <x v="1"/>
    <n v="3"/>
    <n v="1"/>
    <n v="32.5"/>
    <n v="34.728000000000002"/>
    <x v="0"/>
    <x v="0"/>
    <x v="0"/>
  </r>
  <r>
    <s v="CA-2014-109701"/>
    <d v="2014-12-03T00:00:00"/>
    <d v="2014-12-04T00:00:00"/>
    <s v="AliceMcCarthy@gmail.com"/>
    <x v="0"/>
    <x v="8"/>
    <x v="98"/>
    <n v="10.86"/>
    <n v="2"/>
    <n v="5.3213999999999997"/>
    <x v="3"/>
    <n v="12"/>
    <x v="1"/>
    <n v="3"/>
    <n v="1"/>
    <n v="49"/>
    <n v="5.43"/>
    <x v="0"/>
    <x v="0"/>
    <x v="0"/>
  </r>
  <r>
    <s v="CA-2014-109701"/>
    <d v="2014-12-03T00:00:00"/>
    <d v="2014-12-04T00:00:00"/>
    <s v="AliceMcCarthy@gmail.com"/>
    <x v="0"/>
    <x v="4"/>
    <x v="514"/>
    <n v="79.47"/>
    <n v="3"/>
    <n v="22.2516"/>
    <x v="3"/>
    <n v="12"/>
    <x v="1"/>
    <n v="3"/>
    <n v="1"/>
    <n v="28"/>
    <n v="26.49"/>
    <x v="0"/>
    <x v="0"/>
    <x v="0"/>
  </r>
  <r>
    <s v="CA-2014-109701"/>
    <d v="2014-12-03T00:00:00"/>
    <d v="2014-12-04T00:00:00"/>
    <s v="AliceMcCarthy@gmail.com"/>
    <x v="0"/>
    <x v="2"/>
    <x v="359"/>
    <n v="10.08"/>
    <n v="6"/>
    <n v="5.04"/>
    <x v="3"/>
    <n v="12"/>
    <x v="1"/>
    <n v="3"/>
    <n v="1"/>
    <n v="50"/>
    <n v="1.68"/>
    <x v="0"/>
    <x v="0"/>
    <x v="0"/>
  </r>
  <r>
    <s v="CA-2012-111514"/>
    <d v="2012-08-31T00:00:00"/>
    <d v="2012-09-02T00:00:00"/>
    <s v="ScottCohen@gmail.com"/>
    <x v="3"/>
    <x v="3"/>
    <x v="501"/>
    <n v="137.24"/>
    <n v="5"/>
    <n v="46.3185"/>
    <x v="2"/>
    <n v="8"/>
    <x v="3"/>
    <n v="31"/>
    <n v="2"/>
    <n v="33.75"/>
    <n v="27.448"/>
    <x v="0"/>
    <x v="0"/>
    <x v="0"/>
  </r>
  <r>
    <s v="CA-2012-111514"/>
    <d v="2012-08-31T00:00:00"/>
    <d v="2012-09-02T00:00:00"/>
    <s v="ScottCohen@gmail.com"/>
    <x v="3"/>
    <x v="7"/>
    <x v="541"/>
    <n v="36.51"/>
    <n v="1"/>
    <n v="15.699299999999999"/>
    <x v="2"/>
    <n v="8"/>
    <x v="3"/>
    <n v="31"/>
    <n v="2"/>
    <n v="43"/>
    <n v="36.51"/>
    <x v="0"/>
    <x v="0"/>
    <x v="0"/>
  </r>
  <r>
    <s v="CA-2012-111514"/>
    <d v="2012-08-31T00:00:00"/>
    <d v="2012-09-02T00:00:00"/>
    <s v="ScottCohen@gmail.com"/>
    <x v="3"/>
    <x v="15"/>
    <x v="542"/>
    <n v="239.976"/>
    <n v="3"/>
    <n v="80.991900000000001"/>
    <x v="2"/>
    <n v="8"/>
    <x v="3"/>
    <n v="31"/>
    <n v="2"/>
    <n v="33.75"/>
    <n v="79.992000000000004"/>
    <x v="0"/>
    <x v="0"/>
    <x v="1"/>
  </r>
  <r>
    <s v="CA-2011-102295"/>
    <d v="2011-11-24T00:00:00"/>
    <d v="2011-11-26T00:00:00"/>
    <s v="EricaHackney@gmail.com"/>
    <x v="91"/>
    <x v="9"/>
    <x v="543"/>
    <n v="120.712"/>
    <n v="1"/>
    <n v="-18.1068"/>
    <x v="1"/>
    <n v="11"/>
    <x v="6"/>
    <n v="24"/>
    <n v="2"/>
    <n v="-15"/>
    <n v="120.712"/>
    <x v="0"/>
    <x v="1"/>
    <x v="0"/>
  </r>
  <r>
    <s v="CA-2012-148628"/>
    <d v="2012-12-06T00:00:00"/>
    <d v="2012-12-11T00:00:00"/>
    <s v="KatherineMurray@gmail.com"/>
    <x v="92"/>
    <x v="8"/>
    <x v="544"/>
    <n v="32.75"/>
    <n v="5"/>
    <n v="15.065"/>
    <x v="2"/>
    <n v="12"/>
    <x v="1"/>
    <n v="6"/>
    <n v="5"/>
    <n v="46"/>
    <n v="6.55"/>
    <x v="0"/>
    <x v="0"/>
    <x v="0"/>
  </r>
  <r>
    <s v="US-2014-117534"/>
    <d v="2014-03-26T00:00:00"/>
    <d v="2014-03-27T00:00:00"/>
    <s v="ChristinaVanderZanden@gmail.com"/>
    <x v="57"/>
    <x v="4"/>
    <x v="545"/>
    <n v="176.04"/>
    <n v="4"/>
    <n v="45.770400000000002"/>
    <x v="3"/>
    <n v="3"/>
    <x v="9"/>
    <n v="26"/>
    <n v="1"/>
    <n v="26"/>
    <n v="44.01"/>
    <x v="0"/>
    <x v="0"/>
    <x v="0"/>
  </r>
  <r>
    <s v="US-2014-117534"/>
    <d v="2014-03-26T00:00:00"/>
    <d v="2014-03-27T00:00:00"/>
    <s v="ChristinaVanderZanden@gmail.com"/>
    <x v="57"/>
    <x v="2"/>
    <x v="50"/>
    <n v="16.02"/>
    <n v="9"/>
    <n v="4.4855999999999998"/>
    <x v="3"/>
    <n v="3"/>
    <x v="9"/>
    <n v="26"/>
    <n v="1"/>
    <n v="28"/>
    <n v="1.78"/>
    <x v="0"/>
    <x v="0"/>
    <x v="0"/>
  </r>
  <r>
    <s v="US-2014-117534"/>
    <d v="2014-03-26T00:00:00"/>
    <d v="2014-03-27T00:00:00"/>
    <s v="ChristinaVanderZanden@gmail.com"/>
    <x v="57"/>
    <x v="3"/>
    <x v="546"/>
    <n v="185.92"/>
    <n v="4"/>
    <n v="62.747999999999998"/>
    <x v="3"/>
    <n v="3"/>
    <x v="9"/>
    <n v="26"/>
    <n v="1"/>
    <n v="33.75"/>
    <n v="46.48"/>
    <x v="0"/>
    <x v="0"/>
    <x v="0"/>
  </r>
  <r>
    <s v="US-2014-117534"/>
    <d v="2014-03-26T00:00:00"/>
    <d v="2014-03-27T00:00:00"/>
    <s v="ChristinaVanderZanden@gmail.com"/>
    <x v="57"/>
    <x v="6"/>
    <x v="547"/>
    <n v="211.16800000000001"/>
    <n v="4"/>
    <n v="15.8376"/>
    <x v="3"/>
    <n v="3"/>
    <x v="9"/>
    <n v="26"/>
    <n v="1"/>
    <n v="7.5"/>
    <n v="52.792000000000002"/>
    <x v="0"/>
    <x v="0"/>
    <x v="0"/>
  </r>
  <r>
    <s v="US-2014-117534"/>
    <d v="2014-03-26T00:00:00"/>
    <d v="2014-03-27T00:00:00"/>
    <s v="ChristinaVanderZanden@gmail.com"/>
    <x v="57"/>
    <x v="16"/>
    <x v="548"/>
    <n v="479.98399999999998"/>
    <n v="2"/>
    <n v="59.997999999999998"/>
    <x v="3"/>
    <n v="3"/>
    <x v="9"/>
    <n v="26"/>
    <n v="1"/>
    <n v="12.5"/>
    <n v="239.99199999999999"/>
    <x v="0"/>
    <x v="0"/>
    <x v="1"/>
  </r>
  <r>
    <s v="CA-2012-145065"/>
    <d v="2012-12-12T00:00:00"/>
    <d v="2012-12-15T00:00:00"/>
    <s v="DennisKane@gmail.com"/>
    <x v="16"/>
    <x v="10"/>
    <x v="50"/>
    <n v="7.86"/>
    <n v="2"/>
    <n v="3.6156000000000001"/>
    <x v="2"/>
    <n v="12"/>
    <x v="1"/>
    <n v="12"/>
    <n v="3"/>
    <n v="46"/>
    <n v="3.93"/>
    <x v="0"/>
    <x v="0"/>
    <x v="0"/>
  </r>
  <r>
    <s v="CA-2012-145065"/>
    <d v="2012-12-12T00:00:00"/>
    <d v="2012-12-15T00:00:00"/>
    <s v="DennisKane@gmail.com"/>
    <x v="16"/>
    <x v="3"/>
    <x v="549"/>
    <n v="24.448"/>
    <n v="2"/>
    <n v="8.8623999999999992"/>
    <x v="2"/>
    <n v="12"/>
    <x v="1"/>
    <n v="12"/>
    <n v="3"/>
    <n v="36.25"/>
    <n v="12.224"/>
    <x v="0"/>
    <x v="0"/>
    <x v="0"/>
  </r>
  <r>
    <s v="CA-2014-169264"/>
    <d v="2014-08-15T00:00:00"/>
    <d v="2014-08-17T00:00:00"/>
    <s v="NoraPreis@gmail.com"/>
    <x v="3"/>
    <x v="0"/>
    <x v="550"/>
    <n v="5.76"/>
    <n v="2"/>
    <n v="2.8224"/>
    <x v="3"/>
    <n v="8"/>
    <x v="3"/>
    <n v="15"/>
    <n v="2"/>
    <n v="49"/>
    <n v="2.88"/>
    <x v="0"/>
    <x v="0"/>
    <x v="0"/>
  </r>
  <r>
    <s v="CA-2014-169264"/>
    <d v="2014-08-15T00:00:00"/>
    <d v="2014-08-17T00:00:00"/>
    <s v="NoraPreis@gmail.com"/>
    <x v="3"/>
    <x v="2"/>
    <x v="551"/>
    <n v="16.68"/>
    <n v="6"/>
    <n v="4.3368000000000002"/>
    <x v="3"/>
    <n v="8"/>
    <x v="3"/>
    <n v="15"/>
    <n v="2"/>
    <n v="26"/>
    <n v="2.78"/>
    <x v="0"/>
    <x v="0"/>
    <x v="0"/>
  </r>
  <r>
    <s v="CA-2014-108574"/>
    <d v="2014-10-08T00:00:00"/>
    <d v="2014-10-12T00:00:00"/>
    <s v="MikeGockenbach@gmail.com"/>
    <x v="0"/>
    <x v="6"/>
    <x v="138"/>
    <n v="128.744"/>
    <n v="7"/>
    <n v="-28.967400000000001"/>
    <x v="3"/>
    <n v="10"/>
    <x v="7"/>
    <n v="8"/>
    <n v="4"/>
    <n v="-22.5"/>
    <n v="18.391999999999999"/>
    <x v="0"/>
    <x v="1"/>
    <x v="0"/>
  </r>
  <r>
    <s v="CA-2014-108574"/>
    <d v="2014-10-08T00:00:00"/>
    <d v="2014-10-12T00:00:00"/>
    <s v="MikeGockenbach@gmail.com"/>
    <x v="0"/>
    <x v="6"/>
    <x v="552"/>
    <n v="79.92"/>
    <n v="10"/>
    <n v="26.972999999999999"/>
    <x v="3"/>
    <n v="10"/>
    <x v="7"/>
    <n v="8"/>
    <n v="4"/>
    <n v="33.75"/>
    <n v="7.992"/>
    <x v="0"/>
    <x v="0"/>
    <x v="0"/>
  </r>
  <r>
    <s v="CA-2014-144589"/>
    <d v="2014-01-21T00:00:00"/>
    <d v="2014-01-26T00:00:00"/>
    <s v="TamaraManning@gmail.com"/>
    <x v="3"/>
    <x v="2"/>
    <x v="50"/>
    <n v="24.2"/>
    <n v="5"/>
    <n v="7.9859999999999998"/>
    <x v="3"/>
    <n v="1"/>
    <x v="4"/>
    <n v="21"/>
    <n v="5"/>
    <n v="33"/>
    <n v="4.84"/>
    <x v="0"/>
    <x v="0"/>
    <x v="0"/>
  </r>
  <r>
    <s v="CA-2014-144589"/>
    <d v="2014-01-21T00:00:00"/>
    <d v="2014-01-26T00:00:00"/>
    <s v="TamaraManning@gmail.com"/>
    <x v="3"/>
    <x v="6"/>
    <x v="553"/>
    <n v="359.976"/>
    <n v="3"/>
    <n v="130.4913"/>
    <x v="3"/>
    <n v="1"/>
    <x v="4"/>
    <n v="21"/>
    <n v="5"/>
    <n v="36.25"/>
    <n v="119.992"/>
    <x v="0"/>
    <x v="0"/>
    <x v="1"/>
  </r>
  <r>
    <s v="CA-2014-155985"/>
    <d v="2014-03-24T00:00:00"/>
    <d v="2014-03-26T00:00:00"/>
    <s v="BillEplett@gmail.com"/>
    <x v="3"/>
    <x v="1"/>
    <x v="554"/>
    <n v="211.84"/>
    <n v="8"/>
    <n v="76.2624"/>
    <x v="3"/>
    <n v="3"/>
    <x v="9"/>
    <n v="24"/>
    <n v="2"/>
    <n v="36"/>
    <n v="26.48"/>
    <x v="1"/>
    <x v="0"/>
    <x v="0"/>
  </r>
  <r>
    <s v="CA-2012-142041"/>
    <d v="2012-06-07T00:00:00"/>
    <d v="2012-06-09T00:00:00"/>
    <s v="EleniMcCrary@gmail.com"/>
    <x v="0"/>
    <x v="3"/>
    <x v="50"/>
    <n v="7.52"/>
    <n v="5"/>
    <n v="2.6320000000000001"/>
    <x v="2"/>
    <n v="6"/>
    <x v="0"/>
    <n v="7"/>
    <n v="2"/>
    <n v="35"/>
    <n v="1.504"/>
    <x v="0"/>
    <x v="0"/>
    <x v="0"/>
  </r>
  <r>
    <s v="CA-2011-151295"/>
    <d v="2011-11-12T00:00:00"/>
    <d v="2011-11-16T00:00:00"/>
    <s v="JosephAirdo@gmail.com"/>
    <x v="0"/>
    <x v="8"/>
    <x v="198"/>
    <n v="11.96"/>
    <n v="2"/>
    <n v="5.8604000000000003"/>
    <x v="1"/>
    <n v="11"/>
    <x v="6"/>
    <n v="12"/>
    <n v="4"/>
    <n v="49"/>
    <n v="5.98"/>
    <x v="0"/>
    <x v="0"/>
    <x v="0"/>
  </r>
  <r>
    <s v="CA-2014-168655"/>
    <d v="2014-10-13T00:00:00"/>
    <d v="2014-10-19T00:00:00"/>
    <s v="MichelleLonsdale@gmail.com"/>
    <x v="93"/>
    <x v="3"/>
    <x v="454"/>
    <n v="79.872"/>
    <n v="3"/>
    <n v="29.952000000000002"/>
    <x v="3"/>
    <n v="10"/>
    <x v="7"/>
    <n v="13"/>
    <n v="6"/>
    <n v="37.5"/>
    <n v="26.623999999999999"/>
    <x v="0"/>
    <x v="0"/>
    <x v="0"/>
  </r>
  <r>
    <s v="CA-2014-159597"/>
    <d v="2014-11-10T00:00:00"/>
    <d v="2014-11-15T00:00:00"/>
    <s v="MattCollister@gmail.com"/>
    <x v="94"/>
    <x v="5"/>
    <x v="330"/>
    <n v="63.56"/>
    <n v="2"/>
    <n v="3.1779999999999999"/>
    <x v="3"/>
    <n v="11"/>
    <x v="6"/>
    <n v="10"/>
    <n v="5"/>
    <n v="5"/>
    <n v="31.78"/>
    <x v="0"/>
    <x v="0"/>
    <x v="0"/>
  </r>
  <r>
    <s v="CA-2014-159597"/>
    <d v="2014-11-10T00:00:00"/>
    <d v="2014-11-15T00:00:00"/>
    <s v="MattCollister@gmail.com"/>
    <x v="94"/>
    <x v="7"/>
    <x v="555"/>
    <n v="99.99"/>
    <n v="1"/>
    <n v="43.995600000000003"/>
    <x v="3"/>
    <n v="11"/>
    <x v="6"/>
    <n v="10"/>
    <n v="5"/>
    <n v="44"/>
    <n v="99.99"/>
    <x v="0"/>
    <x v="0"/>
    <x v="0"/>
  </r>
  <r>
    <s v="CA-2014-100748"/>
    <d v="2014-05-14T00:00:00"/>
    <d v="2014-05-21T00:00:00"/>
    <s v="RossBaird@gmail.com"/>
    <x v="3"/>
    <x v="0"/>
    <x v="0"/>
    <n v="58.48"/>
    <n v="8"/>
    <n v="27.485600000000002"/>
    <x v="3"/>
    <n v="5"/>
    <x v="2"/>
    <n v="14"/>
    <n v="7"/>
    <n v="47"/>
    <n v="7.31"/>
    <x v="0"/>
    <x v="0"/>
    <x v="0"/>
  </r>
  <r>
    <s v="CA-2014-129805"/>
    <d v="2014-12-29T00:00:00"/>
    <d v="2015-01-03T00:00:00"/>
    <s v="HarryMarie@gmail.com"/>
    <x v="1"/>
    <x v="1"/>
    <x v="179"/>
    <n v="7.4"/>
    <n v="2"/>
    <n v="3.0339999999999998"/>
    <x v="3"/>
    <n v="12"/>
    <x v="1"/>
    <n v="29"/>
    <n v="5"/>
    <n v="41"/>
    <n v="3.7"/>
    <x v="0"/>
    <x v="0"/>
    <x v="0"/>
  </r>
  <r>
    <s v="CA-2011-164210"/>
    <d v="2011-11-18T00:00:00"/>
    <d v="2011-11-20T00:00:00"/>
    <s v="PierreWener@gmail.com"/>
    <x v="28"/>
    <x v="13"/>
    <x v="556"/>
    <n v="145.97999999999999"/>
    <n v="2"/>
    <n v="-99.266400000000004"/>
    <x v="1"/>
    <n v="11"/>
    <x v="6"/>
    <n v="18"/>
    <n v="2"/>
    <n v="-68"/>
    <n v="72.989999999999995"/>
    <x v="0"/>
    <x v="1"/>
    <x v="0"/>
  </r>
  <r>
    <s v="CA-2011-164210"/>
    <d v="2011-11-18T00:00:00"/>
    <d v="2011-11-20T00:00:00"/>
    <s v="PierreWener@gmail.com"/>
    <x v="28"/>
    <x v="8"/>
    <x v="557"/>
    <n v="35.808"/>
    <n v="4"/>
    <n v="12.5328"/>
    <x v="1"/>
    <n v="11"/>
    <x v="6"/>
    <n v="18"/>
    <n v="2"/>
    <n v="35"/>
    <n v="8.952"/>
    <x v="0"/>
    <x v="0"/>
    <x v="0"/>
  </r>
  <r>
    <s v="CA-2012-100573"/>
    <d v="2012-09-25T00:00:00"/>
    <d v="2012-10-01T00:00:00"/>
    <s v="AnneMcFarland@gmail.com"/>
    <x v="0"/>
    <x v="12"/>
    <x v="558"/>
    <n v="17.48"/>
    <n v="2"/>
    <n v="8.2156000000000002"/>
    <x v="2"/>
    <n v="9"/>
    <x v="8"/>
    <n v="25"/>
    <n v="6"/>
    <n v="47"/>
    <n v="8.74"/>
    <x v="0"/>
    <x v="0"/>
    <x v="0"/>
  </r>
  <r>
    <s v="CA-2013-140207"/>
    <d v="2013-11-06T00:00:00"/>
    <d v="2013-11-11T00:00:00"/>
    <s v="ChristopherSchild@gmail.com"/>
    <x v="10"/>
    <x v="3"/>
    <x v="559"/>
    <n v="29.12"/>
    <n v="5"/>
    <n v="9.8279999999999994"/>
    <x v="0"/>
    <n v="11"/>
    <x v="6"/>
    <n v="6"/>
    <n v="5"/>
    <n v="33.75"/>
    <n v="5.8239999999999998"/>
    <x v="0"/>
    <x v="0"/>
    <x v="0"/>
  </r>
  <r>
    <s v="CA-2012-142419"/>
    <d v="2012-07-11T00:00:00"/>
    <d v="2012-07-13T00:00:00"/>
    <s v="ShahidCollister@gmail.com"/>
    <x v="1"/>
    <x v="8"/>
    <x v="560"/>
    <n v="29.97"/>
    <n v="3"/>
    <n v="13.486499999999999"/>
    <x v="2"/>
    <n v="7"/>
    <x v="5"/>
    <n v="11"/>
    <n v="2"/>
    <n v="45"/>
    <n v="9.99"/>
    <x v="0"/>
    <x v="0"/>
    <x v="0"/>
  </r>
  <r>
    <s v="CA-2012-142419"/>
    <d v="2012-07-11T00:00:00"/>
    <d v="2012-07-13T00:00:00"/>
    <s v="ShahidCollister@gmail.com"/>
    <x v="1"/>
    <x v="3"/>
    <x v="257"/>
    <n v="98.352000000000004"/>
    <n v="3"/>
    <n v="34.423200000000001"/>
    <x v="2"/>
    <n v="7"/>
    <x v="5"/>
    <n v="11"/>
    <n v="2"/>
    <n v="35"/>
    <n v="32.783999999999999"/>
    <x v="0"/>
    <x v="0"/>
    <x v="0"/>
  </r>
  <r>
    <s v="CA-2013-114972"/>
    <d v="2013-11-04T00:00:00"/>
    <d v="2013-11-07T00:00:00"/>
    <s v="PhillipFlathmann@gmail.com"/>
    <x v="0"/>
    <x v="9"/>
    <x v="561"/>
    <n v="217.584"/>
    <n v="2"/>
    <n v="-29.9178"/>
    <x v="0"/>
    <n v="11"/>
    <x v="6"/>
    <n v="4"/>
    <n v="3"/>
    <n v="-13.75"/>
    <n v="108.792"/>
    <x v="0"/>
    <x v="1"/>
    <x v="1"/>
  </r>
  <r>
    <s v="CA-2013-114972"/>
    <d v="2013-11-04T00:00:00"/>
    <d v="2013-11-07T00:00:00"/>
    <s v="PhillipFlathmann@gmail.com"/>
    <x v="0"/>
    <x v="7"/>
    <x v="562"/>
    <n v="82.95"/>
    <n v="5"/>
    <n v="29.032499999999999"/>
    <x v="0"/>
    <n v="11"/>
    <x v="6"/>
    <n v="4"/>
    <n v="3"/>
    <n v="35"/>
    <n v="16.59"/>
    <x v="0"/>
    <x v="0"/>
    <x v="0"/>
  </r>
  <r>
    <s v="CA-2013-114972"/>
    <d v="2013-11-04T00:00:00"/>
    <d v="2013-11-07T00:00:00"/>
    <s v="PhillipFlathmann@gmail.com"/>
    <x v="0"/>
    <x v="0"/>
    <x v="563"/>
    <n v="87.71"/>
    <n v="7"/>
    <n v="41.223700000000001"/>
    <x v="0"/>
    <n v="11"/>
    <x v="6"/>
    <n v="4"/>
    <n v="3"/>
    <n v="47"/>
    <n v="12.53"/>
    <x v="0"/>
    <x v="0"/>
    <x v="0"/>
  </r>
  <r>
    <s v="CA-2014-126067"/>
    <d v="2014-08-29T00:00:00"/>
    <d v="2014-09-04T00:00:00"/>
    <s v="KristinaNunn@gmail.com"/>
    <x v="1"/>
    <x v="6"/>
    <x v="564"/>
    <n v="35.167999999999999"/>
    <n v="4"/>
    <n v="11.429600000000001"/>
    <x v="3"/>
    <n v="8"/>
    <x v="3"/>
    <n v="29"/>
    <n v="6"/>
    <n v="32.5"/>
    <n v="8.7919999999999998"/>
    <x v="0"/>
    <x v="0"/>
    <x v="0"/>
  </r>
  <r>
    <s v="CA-2014-126067"/>
    <d v="2014-08-29T00:00:00"/>
    <d v="2014-09-04T00:00:00"/>
    <s v="KristinaNunn@gmail.com"/>
    <x v="1"/>
    <x v="3"/>
    <x v="131"/>
    <n v="99.68"/>
    <n v="5"/>
    <n v="32.396000000000001"/>
    <x v="3"/>
    <n v="8"/>
    <x v="3"/>
    <n v="29"/>
    <n v="6"/>
    <n v="32.5"/>
    <n v="19.936"/>
    <x v="0"/>
    <x v="0"/>
    <x v="0"/>
  </r>
  <r>
    <s v="CA-2014-126067"/>
    <d v="2014-08-29T00:00:00"/>
    <d v="2014-09-04T00:00:00"/>
    <s v="KristinaNunn@gmail.com"/>
    <x v="1"/>
    <x v="2"/>
    <x v="518"/>
    <n v="5.56"/>
    <n v="2"/>
    <n v="1.4456"/>
    <x v="3"/>
    <n v="8"/>
    <x v="3"/>
    <n v="29"/>
    <n v="6"/>
    <n v="26"/>
    <n v="2.78"/>
    <x v="0"/>
    <x v="0"/>
    <x v="0"/>
  </r>
  <r>
    <s v="CA-2011-113579"/>
    <d v="2011-12-13T00:00:00"/>
    <d v="2011-12-15T00:00:00"/>
    <s v="KatherineDucich@gmail.com"/>
    <x v="0"/>
    <x v="8"/>
    <x v="565"/>
    <n v="90.24"/>
    <n v="6"/>
    <n v="41.510399999999997"/>
    <x v="1"/>
    <n v="12"/>
    <x v="1"/>
    <n v="13"/>
    <n v="2"/>
    <n v="46"/>
    <n v="15.04"/>
    <x v="0"/>
    <x v="0"/>
    <x v="0"/>
  </r>
  <r>
    <s v="CA-2012-122371"/>
    <d v="2012-09-26T00:00:00"/>
    <d v="2012-10-01T00:00:00"/>
    <s v="BryanSpruell@gmail.com"/>
    <x v="16"/>
    <x v="5"/>
    <x v="19"/>
    <n v="64.17"/>
    <n v="3"/>
    <n v="18.609300000000001"/>
    <x v="2"/>
    <n v="9"/>
    <x v="8"/>
    <n v="26"/>
    <n v="5"/>
    <n v="29"/>
    <n v="21.39"/>
    <x v="0"/>
    <x v="0"/>
    <x v="0"/>
  </r>
  <r>
    <s v="CA-2012-122371"/>
    <d v="2012-09-26T00:00:00"/>
    <d v="2012-10-01T00:00:00"/>
    <s v="BryanSpruell@gmail.com"/>
    <x v="16"/>
    <x v="12"/>
    <x v="566"/>
    <n v="124.46"/>
    <n v="2"/>
    <n v="58.496200000000002"/>
    <x v="2"/>
    <n v="9"/>
    <x v="8"/>
    <n v="26"/>
    <n v="5"/>
    <n v="47"/>
    <n v="62.23"/>
    <x v="0"/>
    <x v="0"/>
    <x v="0"/>
  </r>
  <r>
    <s v="CA-2013-126935"/>
    <d v="2013-05-20T00:00:00"/>
    <d v="2013-05-25T00:00:00"/>
    <s v="BillTyler@gmail.com"/>
    <x v="3"/>
    <x v="3"/>
    <x v="469"/>
    <n v="9.5839999999999996"/>
    <n v="1"/>
    <n v="3.3544"/>
    <x v="0"/>
    <n v="5"/>
    <x v="2"/>
    <n v="20"/>
    <n v="5"/>
    <n v="35"/>
    <n v="9.5839999999999996"/>
    <x v="0"/>
    <x v="0"/>
    <x v="0"/>
  </r>
  <r>
    <s v="CA-2013-149482"/>
    <d v="2013-11-15T00:00:00"/>
    <d v="2013-11-20T00:00:00"/>
    <s v="RalphRitter@gmail.com"/>
    <x v="3"/>
    <x v="0"/>
    <x v="567"/>
    <n v="7.38"/>
    <n v="2"/>
    <n v="3.4685999999999999"/>
    <x v="0"/>
    <n v="11"/>
    <x v="6"/>
    <n v="15"/>
    <n v="5"/>
    <n v="47"/>
    <n v="3.69"/>
    <x v="1"/>
    <x v="0"/>
    <x v="0"/>
  </r>
  <r>
    <s v="CA-2011-143917"/>
    <d v="2011-07-25T00:00:00"/>
    <d v="2011-07-27T00:00:00"/>
    <s v="KenLonsdale@gmail.com"/>
    <x v="3"/>
    <x v="5"/>
    <x v="457"/>
    <n v="53.72"/>
    <n v="4"/>
    <n v="15.041600000000001"/>
    <x v="1"/>
    <n v="7"/>
    <x v="5"/>
    <n v="25"/>
    <n v="2"/>
    <n v="28"/>
    <n v="13.43"/>
    <x v="0"/>
    <x v="0"/>
    <x v="0"/>
  </r>
  <r>
    <s v="CA-2011-143917"/>
    <d v="2011-07-25T00:00:00"/>
    <d v="2011-07-27T00:00:00"/>
    <s v="KenLonsdale@gmail.com"/>
    <x v="3"/>
    <x v="1"/>
    <x v="50"/>
    <n v="77.92"/>
    <n v="8"/>
    <n v="34.284799999999997"/>
    <x v="1"/>
    <n v="7"/>
    <x v="5"/>
    <n v="25"/>
    <n v="2"/>
    <n v="44"/>
    <n v="9.74"/>
    <x v="0"/>
    <x v="0"/>
    <x v="0"/>
  </r>
  <r>
    <s v="CA-2014-163902"/>
    <d v="2014-03-03T00:00:00"/>
    <d v="2014-03-09T00:00:00"/>
    <s v="MaribethYedwab@gmail.com"/>
    <x v="0"/>
    <x v="6"/>
    <x v="568"/>
    <n v="196.77600000000001"/>
    <n v="3"/>
    <n v="14.7582"/>
    <x v="3"/>
    <n v="3"/>
    <x v="9"/>
    <n v="3"/>
    <n v="6"/>
    <n v="7.5"/>
    <n v="65.591999999999999"/>
    <x v="0"/>
    <x v="0"/>
    <x v="0"/>
  </r>
  <r>
    <s v="CA-2014-163902"/>
    <d v="2014-03-03T00:00:00"/>
    <d v="2014-03-09T00:00:00"/>
    <s v="MaribethYedwab@gmail.com"/>
    <x v="0"/>
    <x v="7"/>
    <x v="332"/>
    <n v="479.94"/>
    <n v="6"/>
    <n v="52.793399999999998"/>
    <x v="3"/>
    <n v="3"/>
    <x v="9"/>
    <n v="3"/>
    <n v="6"/>
    <n v="11"/>
    <n v="79.989999999999995"/>
    <x v="0"/>
    <x v="0"/>
    <x v="1"/>
  </r>
  <r>
    <s v="CA-2012-143238"/>
    <d v="2012-09-06T00:00:00"/>
    <d v="2012-09-08T00:00:00"/>
    <s v="LoriOlson@gmail.com"/>
    <x v="95"/>
    <x v="7"/>
    <x v="569"/>
    <n v="46.32"/>
    <n v="4"/>
    <n v="18.064800000000002"/>
    <x v="2"/>
    <n v="9"/>
    <x v="8"/>
    <n v="6"/>
    <n v="2"/>
    <n v="39"/>
    <n v="11.58"/>
    <x v="1"/>
    <x v="0"/>
    <x v="0"/>
  </r>
  <r>
    <s v="CA-2013-144792"/>
    <d v="2013-05-01T00:00:00"/>
    <d v="2013-05-05T00:00:00"/>
    <s v="KenDana@gmail.com"/>
    <x v="9"/>
    <x v="1"/>
    <x v="197"/>
    <n v="111.88800000000001"/>
    <n v="7"/>
    <n v="22.377600000000001"/>
    <x v="0"/>
    <n v="5"/>
    <x v="2"/>
    <n v="1"/>
    <n v="4"/>
    <n v="20"/>
    <n v="15.984"/>
    <x v="0"/>
    <x v="0"/>
    <x v="0"/>
  </r>
  <r>
    <s v="CA-2014-108070"/>
    <d v="2014-04-17T00:00:00"/>
    <d v="2014-04-21T00:00:00"/>
    <s v="JoelEaton@gmail.com"/>
    <x v="10"/>
    <x v="5"/>
    <x v="367"/>
    <n v="205.92"/>
    <n v="4"/>
    <n v="2.0592000000000001"/>
    <x v="3"/>
    <n v="4"/>
    <x v="10"/>
    <n v="17"/>
    <n v="4"/>
    <n v="1"/>
    <n v="51.48"/>
    <x v="0"/>
    <x v="0"/>
    <x v="0"/>
  </r>
  <r>
    <s v="CA-2014-108070"/>
    <d v="2014-04-17T00:00:00"/>
    <d v="2014-04-21T00:00:00"/>
    <s v="JoelEaton@gmail.com"/>
    <x v="10"/>
    <x v="14"/>
    <x v="570"/>
    <n v="102.833"/>
    <n v="1"/>
    <n v="-6.0490000000000004"/>
    <x v="3"/>
    <n v="4"/>
    <x v="10"/>
    <n v="17"/>
    <n v="4"/>
    <n v="-5.88"/>
    <n v="102.833"/>
    <x v="0"/>
    <x v="1"/>
    <x v="0"/>
  </r>
  <r>
    <s v="US-2012-128090"/>
    <d v="2012-08-16T00:00:00"/>
    <d v="2012-08-22T00:00:00"/>
    <s v="JohnMurray@gmail.com"/>
    <x v="7"/>
    <x v="2"/>
    <x v="274"/>
    <n v="2.3039999999999998"/>
    <n v="1"/>
    <n v="0.25919999999999999"/>
    <x v="2"/>
    <n v="8"/>
    <x v="3"/>
    <n v="16"/>
    <n v="6"/>
    <n v="11.25"/>
    <n v="2.3039999999999998"/>
    <x v="0"/>
    <x v="0"/>
    <x v="0"/>
  </r>
  <r>
    <s v="US-2012-128090"/>
    <d v="2012-08-16T00:00:00"/>
    <d v="2012-08-22T00:00:00"/>
    <s v="JohnMurray@gmail.com"/>
    <x v="7"/>
    <x v="8"/>
    <x v="571"/>
    <n v="313.024"/>
    <n v="8"/>
    <n v="105.6456"/>
    <x v="2"/>
    <n v="8"/>
    <x v="3"/>
    <n v="16"/>
    <n v="6"/>
    <n v="33.75"/>
    <n v="39.128"/>
    <x v="0"/>
    <x v="0"/>
    <x v="1"/>
  </r>
  <r>
    <s v="US-2012-128090"/>
    <d v="2012-08-16T00:00:00"/>
    <d v="2012-08-22T00:00:00"/>
    <s v="JohnMurray@gmail.com"/>
    <x v="7"/>
    <x v="0"/>
    <x v="267"/>
    <n v="5.04"/>
    <n v="2"/>
    <n v="1.764"/>
    <x v="2"/>
    <n v="8"/>
    <x v="3"/>
    <n v="16"/>
    <n v="6"/>
    <n v="35"/>
    <n v="2.52"/>
    <x v="0"/>
    <x v="0"/>
    <x v="0"/>
  </r>
  <r>
    <s v="CA-2012-147788"/>
    <d v="2012-05-31T00:00:00"/>
    <d v="2012-06-04T00:00:00"/>
    <s v="TamaraManning@gmail.com"/>
    <x v="40"/>
    <x v="0"/>
    <x v="100"/>
    <n v="15.75"/>
    <n v="5"/>
    <n v="7.56"/>
    <x v="2"/>
    <n v="5"/>
    <x v="2"/>
    <n v="31"/>
    <n v="4"/>
    <n v="48"/>
    <n v="3.15"/>
    <x v="0"/>
    <x v="0"/>
    <x v="0"/>
  </r>
  <r>
    <s v="CA-2012-147788"/>
    <d v="2012-05-31T00:00:00"/>
    <d v="2012-06-04T00:00:00"/>
    <s v="TamaraManning@gmail.com"/>
    <x v="40"/>
    <x v="5"/>
    <x v="246"/>
    <n v="323.10000000000002"/>
    <n v="2"/>
    <n v="61.389000000000003"/>
    <x v="2"/>
    <n v="5"/>
    <x v="2"/>
    <n v="31"/>
    <n v="4"/>
    <n v="19"/>
    <n v="161.55000000000001"/>
    <x v="0"/>
    <x v="0"/>
    <x v="1"/>
  </r>
  <r>
    <s v="CA-2014-123967"/>
    <d v="2014-11-02T00:00:00"/>
    <d v="2014-11-04T00:00:00"/>
    <s v="SarahFoster@gmail.com"/>
    <x v="96"/>
    <x v="3"/>
    <x v="572"/>
    <n v="25.12"/>
    <n v="5"/>
    <n v="7.85"/>
    <x v="3"/>
    <n v="11"/>
    <x v="6"/>
    <n v="2"/>
    <n v="2"/>
    <n v="31.25"/>
    <n v="5.024"/>
    <x v="0"/>
    <x v="0"/>
    <x v="0"/>
  </r>
  <r>
    <s v="CA-2013-137729"/>
    <d v="2013-05-06T00:00:00"/>
    <d v="2013-05-10T00:00:00"/>
    <s v="BarryFranz@gmail.com"/>
    <x v="0"/>
    <x v="5"/>
    <x v="455"/>
    <n v="5.98"/>
    <n v="1"/>
    <n v="1.0165999999999999"/>
    <x v="0"/>
    <n v="5"/>
    <x v="2"/>
    <n v="6"/>
    <n v="4"/>
    <n v="17"/>
    <n v="5.98"/>
    <x v="0"/>
    <x v="0"/>
    <x v="0"/>
  </r>
  <r>
    <s v="CA-2013-137729"/>
    <d v="2013-05-06T00:00:00"/>
    <d v="2013-05-10T00:00:00"/>
    <s v="BarryFranz@gmail.com"/>
    <x v="0"/>
    <x v="6"/>
    <x v="573"/>
    <n v="246.16800000000001"/>
    <n v="3"/>
    <n v="21.5397"/>
    <x v="0"/>
    <n v="5"/>
    <x v="2"/>
    <n v="6"/>
    <n v="4"/>
    <n v="8.75"/>
    <n v="82.055999999999997"/>
    <x v="0"/>
    <x v="0"/>
    <x v="1"/>
  </r>
  <r>
    <s v="CA-2013-154053"/>
    <d v="2013-03-05T00:00:00"/>
    <d v="2013-03-11T00:00:00"/>
    <s v="MichaelGranlund@gmail.com"/>
    <x v="16"/>
    <x v="2"/>
    <x v="574"/>
    <n v="16.989999999999998"/>
    <n v="1"/>
    <n v="4.9271000000000003"/>
    <x v="0"/>
    <n v="3"/>
    <x v="9"/>
    <n v="5"/>
    <n v="6"/>
    <n v="29"/>
    <n v="16.989999999999998"/>
    <x v="0"/>
    <x v="0"/>
    <x v="0"/>
  </r>
  <r>
    <s v="CA-2013-137204"/>
    <d v="2013-04-29T00:00:00"/>
    <d v="2013-05-06T00:00:00"/>
    <s v="BillOverfelt@gmail.com"/>
    <x v="0"/>
    <x v="9"/>
    <x v="575"/>
    <n v="41.567999999999998"/>
    <n v="2"/>
    <n v="2.5979999999999999"/>
    <x v="0"/>
    <n v="4"/>
    <x v="10"/>
    <n v="29"/>
    <n v="7"/>
    <n v="6.25"/>
    <n v="20.783999999999999"/>
    <x v="0"/>
    <x v="0"/>
    <x v="0"/>
  </r>
  <r>
    <s v="CA-2011-147298"/>
    <d v="2011-04-26T00:00:00"/>
    <d v="2011-05-03T00:00:00"/>
    <s v="AleksandraGannaway@gmail.com"/>
    <x v="0"/>
    <x v="9"/>
    <x v="105"/>
    <n v="230.28"/>
    <n v="3"/>
    <n v="23.027999999999999"/>
    <x v="1"/>
    <n v="4"/>
    <x v="10"/>
    <n v="26"/>
    <n v="7"/>
    <n v="10"/>
    <n v="76.760000000000005"/>
    <x v="0"/>
    <x v="0"/>
    <x v="1"/>
  </r>
  <r>
    <s v="CA-2011-147298"/>
    <d v="2011-04-26T00:00:00"/>
    <d v="2011-05-03T00:00:00"/>
    <s v="AleksandraGannaway@gmail.com"/>
    <x v="0"/>
    <x v="3"/>
    <x v="576"/>
    <n v="18.288"/>
    <n v="6"/>
    <n v="5.7149999999999999"/>
    <x v="1"/>
    <n v="4"/>
    <x v="10"/>
    <n v="26"/>
    <n v="7"/>
    <n v="31.25"/>
    <n v="3.048"/>
    <x v="0"/>
    <x v="0"/>
    <x v="0"/>
  </r>
  <r>
    <s v="CA-2014-147942"/>
    <d v="2014-04-02T00:00:00"/>
    <d v="2014-04-06T00:00:00"/>
    <s v="MaribethSchnelling@gmail.com"/>
    <x v="3"/>
    <x v="0"/>
    <x v="577"/>
    <n v="5.78"/>
    <n v="2"/>
    <n v="2.7166000000000001"/>
    <x v="3"/>
    <n v="4"/>
    <x v="10"/>
    <n v="2"/>
    <n v="4"/>
    <n v="47"/>
    <n v="2.89"/>
    <x v="0"/>
    <x v="0"/>
    <x v="0"/>
  </r>
  <r>
    <s v="CA-2014-147942"/>
    <d v="2014-04-02T00:00:00"/>
    <d v="2014-04-06T00:00:00"/>
    <s v="MaribethSchnelling@gmail.com"/>
    <x v="3"/>
    <x v="3"/>
    <x v="213"/>
    <n v="121.68"/>
    <n v="13"/>
    <n v="38.024999999999999"/>
    <x v="3"/>
    <n v="4"/>
    <x v="10"/>
    <n v="2"/>
    <n v="4"/>
    <n v="31.25"/>
    <n v="9.3600000000000012"/>
    <x v="0"/>
    <x v="0"/>
    <x v="0"/>
  </r>
  <r>
    <s v="CA-2014-115931"/>
    <d v="2014-12-23T00:00:00"/>
    <d v="2014-12-27T00:00:00"/>
    <s v="JimMitchum@gmail.com"/>
    <x v="11"/>
    <x v="2"/>
    <x v="578"/>
    <n v="4.17"/>
    <n v="3"/>
    <n v="1.0842000000000001"/>
    <x v="3"/>
    <n v="12"/>
    <x v="1"/>
    <n v="23"/>
    <n v="4"/>
    <n v="26"/>
    <n v="1.39"/>
    <x v="0"/>
    <x v="0"/>
    <x v="0"/>
  </r>
  <r>
    <s v="CA-2014-115931"/>
    <d v="2014-12-23T00:00:00"/>
    <d v="2014-12-27T00:00:00"/>
    <s v="JimMitchum@gmail.com"/>
    <x v="11"/>
    <x v="6"/>
    <x v="357"/>
    <n v="67.040000000000006"/>
    <n v="4"/>
    <n v="6.7039999999999997"/>
    <x v="3"/>
    <n v="12"/>
    <x v="1"/>
    <n v="23"/>
    <n v="4"/>
    <n v="10"/>
    <n v="16.760000000000002"/>
    <x v="0"/>
    <x v="0"/>
    <x v="0"/>
  </r>
  <r>
    <s v="CA-2014-115931"/>
    <d v="2014-12-23T00:00:00"/>
    <d v="2014-12-27T00:00:00"/>
    <s v="JimMitchum@gmail.com"/>
    <x v="11"/>
    <x v="5"/>
    <x v="579"/>
    <n v="37.32"/>
    <n v="3"/>
    <n v="10.4496"/>
    <x v="3"/>
    <n v="12"/>
    <x v="1"/>
    <n v="23"/>
    <n v="4"/>
    <n v="28"/>
    <n v="12.44"/>
    <x v="0"/>
    <x v="0"/>
    <x v="0"/>
  </r>
  <r>
    <s v="CA-2014-115931"/>
    <d v="2014-12-23T00:00:00"/>
    <d v="2014-12-27T00:00:00"/>
    <s v="JimMitchum@gmail.com"/>
    <x v="11"/>
    <x v="0"/>
    <x v="580"/>
    <n v="18.45"/>
    <n v="5"/>
    <n v="8.6715"/>
    <x v="3"/>
    <n v="12"/>
    <x v="1"/>
    <n v="23"/>
    <n v="4"/>
    <n v="47"/>
    <n v="3.69"/>
    <x v="0"/>
    <x v="0"/>
    <x v="0"/>
  </r>
  <r>
    <s v="US-2014-110604"/>
    <d v="2014-05-16T00:00:00"/>
    <d v="2014-05-21T00:00:00"/>
    <s v="JasonFortune-@gmail.com"/>
    <x v="1"/>
    <x v="1"/>
    <x v="581"/>
    <n v="39.96"/>
    <n v="2"/>
    <n v="17.1828"/>
    <x v="3"/>
    <n v="5"/>
    <x v="2"/>
    <n v="16"/>
    <n v="5"/>
    <n v="43"/>
    <n v="19.98"/>
    <x v="0"/>
    <x v="0"/>
    <x v="0"/>
  </r>
  <r>
    <s v="US-2014-110604"/>
    <d v="2014-05-16T00:00:00"/>
    <d v="2014-05-21T00:00:00"/>
    <s v="JasonFortune-@gmail.com"/>
    <x v="1"/>
    <x v="9"/>
    <x v="582"/>
    <n v="42.624000000000002"/>
    <n v="2"/>
    <n v="4.2624000000000004"/>
    <x v="3"/>
    <n v="5"/>
    <x v="2"/>
    <n v="16"/>
    <n v="5"/>
    <n v="10"/>
    <n v="21.312000000000001"/>
    <x v="0"/>
    <x v="0"/>
    <x v="0"/>
  </r>
  <r>
    <s v="US-2014-110604"/>
    <d v="2014-05-16T00:00:00"/>
    <d v="2014-05-21T00:00:00"/>
    <s v="JasonFortune-@gmail.com"/>
    <x v="1"/>
    <x v="9"/>
    <x v="583"/>
    <n v="220.96"/>
    <n v="1"/>
    <n v="24.858000000000001"/>
    <x v="3"/>
    <n v="5"/>
    <x v="2"/>
    <n v="16"/>
    <n v="5"/>
    <n v="11.25"/>
    <n v="220.96"/>
    <x v="0"/>
    <x v="0"/>
    <x v="1"/>
  </r>
  <r>
    <s v="CA-2012-162369"/>
    <d v="2012-08-15T00:00:00"/>
    <d v="2012-08-19T00:00:00"/>
    <s v="TimTaslimi@gmail.com"/>
    <x v="0"/>
    <x v="5"/>
    <x v="246"/>
    <n v="323.10000000000002"/>
    <n v="2"/>
    <n v="61.389000000000003"/>
    <x v="2"/>
    <n v="8"/>
    <x v="3"/>
    <n v="15"/>
    <n v="4"/>
    <n v="19"/>
    <n v="161.55000000000001"/>
    <x v="1"/>
    <x v="0"/>
    <x v="1"/>
  </r>
  <r>
    <s v="US-2013-146794"/>
    <d v="2013-09-27T00:00:00"/>
    <d v="2013-10-02T00:00:00"/>
    <s v="SallyHughsby@gmail.com"/>
    <x v="22"/>
    <x v="14"/>
    <x v="298"/>
    <n v="424.95749999999998"/>
    <n v="5"/>
    <n v="19.998000000000001"/>
    <x v="0"/>
    <n v="9"/>
    <x v="8"/>
    <n v="27"/>
    <n v="5"/>
    <n v="4.71"/>
    <n v="84.991500000000002"/>
    <x v="0"/>
    <x v="0"/>
    <x v="1"/>
  </r>
  <r>
    <s v="CA-2014-112515"/>
    <d v="2014-09-18T00:00:00"/>
    <d v="2014-09-22T00:00:00"/>
    <s v="AlanSchoenberger@gmail.com"/>
    <x v="89"/>
    <x v="3"/>
    <x v="85"/>
    <n v="10.776"/>
    <n v="3"/>
    <n v="3.5022000000000002"/>
    <x v="3"/>
    <n v="9"/>
    <x v="8"/>
    <n v="18"/>
    <n v="4"/>
    <n v="32.5"/>
    <n v="3.5920000000000001"/>
    <x v="0"/>
    <x v="0"/>
    <x v="0"/>
  </r>
  <r>
    <s v="CA-2014-112515"/>
    <d v="2014-09-18T00:00:00"/>
    <d v="2014-09-22T00:00:00"/>
    <s v="AlanSchoenberger@gmail.com"/>
    <x v="89"/>
    <x v="3"/>
    <x v="374"/>
    <n v="11.784000000000001"/>
    <n v="3"/>
    <n v="4.2717000000000001"/>
    <x v="3"/>
    <n v="9"/>
    <x v="8"/>
    <n v="18"/>
    <n v="4"/>
    <n v="36.25"/>
    <n v="3.9279999999999999"/>
    <x v="0"/>
    <x v="0"/>
    <x v="0"/>
  </r>
  <r>
    <s v="CA-2014-112515"/>
    <d v="2014-09-18T00:00:00"/>
    <d v="2014-09-22T00:00:00"/>
    <s v="AlanSchoenberger@gmail.com"/>
    <x v="89"/>
    <x v="8"/>
    <x v="584"/>
    <n v="164.88"/>
    <n v="3"/>
    <n v="80.791200000000003"/>
    <x v="3"/>
    <n v="9"/>
    <x v="8"/>
    <n v="18"/>
    <n v="4"/>
    <n v="49"/>
    <n v="54.96"/>
    <x v="0"/>
    <x v="0"/>
    <x v="0"/>
  </r>
  <r>
    <s v="CA-2014-112515"/>
    <d v="2014-09-18T00:00:00"/>
    <d v="2014-09-22T00:00:00"/>
    <s v="AlanSchoenberger@gmail.com"/>
    <x v="89"/>
    <x v="3"/>
    <x v="585"/>
    <n v="25.584"/>
    <n v="2"/>
    <n v="8.9543999999999997"/>
    <x v="3"/>
    <n v="9"/>
    <x v="8"/>
    <n v="18"/>
    <n v="4"/>
    <n v="35"/>
    <n v="12.792"/>
    <x v="0"/>
    <x v="0"/>
    <x v="0"/>
  </r>
  <r>
    <s v="CA-2014-112515"/>
    <d v="2014-09-18T00:00:00"/>
    <d v="2014-09-22T00:00:00"/>
    <s v="AlanSchoenberger@gmail.com"/>
    <x v="89"/>
    <x v="5"/>
    <x v="586"/>
    <n v="261.74"/>
    <n v="2"/>
    <n v="65.435000000000002"/>
    <x v="3"/>
    <n v="9"/>
    <x v="8"/>
    <n v="18"/>
    <n v="4"/>
    <n v="25"/>
    <n v="130.87"/>
    <x v="0"/>
    <x v="0"/>
    <x v="1"/>
  </r>
  <r>
    <s v="CA-2014-112515"/>
    <d v="2014-09-18T00:00:00"/>
    <d v="2014-09-22T00:00:00"/>
    <s v="AlanSchoenberger@gmail.com"/>
    <x v="89"/>
    <x v="0"/>
    <x v="587"/>
    <n v="14.4"/>
    <n v="5"/>
    <n v="7.056"/>
    <x v="3"/>
    <n v="9"/>
    <x v="8"/>
    <n v="18"/>
    <n v="4"/>
    <n v="49"/>
    <n v="2.88"/>
    <x v="0"/>
    <x v="0"/>
    <x v="0"/>
  </r>
  <r>
    <s v="CA-2013-150343"/>
    <d v="2013-08-17T00:00:00"/>
    <d v="2013-08-21T00:00:00"/>
    <s v="PeteKriz@gmail.com"/>
    <x v="3"/>
    <x v="12"/>
    <x v="40"/>
    <n v="10.86"/>
    <n v="3"/>
    <n v="5.1041999999999996"/>
    <x v="0"/>
    <n v="8"/>
    <x v="3"/>
    <n v="17"/>
    <n v="4"/>
    <n v="47"/>
    <n v="3.62"/>
    <x v="0"/>
    <x v="0"/>
    <x v="0"/>
  </r>
  <r>
    <s v="US-2012-139759"/>
    <d v="2012-08-25T00:00:00"/>
    <d v="2012-08-30T00:00:00"/>
    <s v="NancyLomonaco@gmail.com"/>
    <x v="0"/>
    <x v="9"/>
    <x v="532"/>
    <n v="40.783999999999999"/>
    <n v="1"/>
    <n v="4.5881999999999996"/>
    <x v="2"/>
    <n v="8"/>
    <x v="3"/>
    <n v="25"/>
    <n v="5"/>
    <n v="11.25"/>
    <n v="40.783999999999999"/>
    <x v="0"/>
    <x v="0"/>
    <x v="0"/>
  </r>
  <r>
    <s v="US-2012-139759"/>
    <d v="2012-08-25T00:00:00"/>
    <d v="2012-08-30T00:00:00"/>
    <s v="NancyLomonaco@gmail.com"/>
    <x v="0"/>
    <x v="4"/>
    <x v="514"/>
    <n v="105.96"/>
    <n v="4"/>
    <n v="29.668800000000001"/>
    <x v="2"/>
    <n v="8"/>
    <x v="3"/>
    <n v="25"/>
    <n v="5"/>
    <n v="28"/>
    <n v="26.49"/>
    <x v="0"/>
    <x v="0"/>
    <x v="0"/>
  </r>
  <r>
    <s v="CA-2014-136875"/>
    <d v="2014-12-04T00:00:00"/>
    <d v="2014-12-04T00:00:00"/>
    <s v="TobyCarlisle@gmail.com"/>
    <x v="16"/>
    <x v="8"/>
    <x v="588"/>
    <n v="166.44"/>
    <n v="3"/>
    <n v="79.891199999999998"/>
    <x v="3"/>
    <n v="12"/>
    <x v="1"/>
    <n v="4"/>
    <n v="0"/>
    <n v="48"/>
    <n v="55.48"/>
    <x v="0"/>
    <x v="0"/>
    <x v="0"/>
  </r>
  <r>
    <s v="US-2011-160780"/>
    <d v="2011-06-21T00:00:00"/>
    <d v="2011-06-21T00:00:00"/>
    <s v="StewartVisinsky@gmail.com"/>
    <x v="97"/>
    <x v="3"/>
    <x v="398"/>
    <n v="11.087999999999999"/>
    <n v="7"/>
    <n v="-8.1311999999999998"/>
    <x v="1"/>
    <n v="6"/>
    <x v="0"/>
    <n v="21"/>
    <n v="0"/>
    <n v="-73.33"/>
    <n v="1.5840000000000001"/>
    <x v="0"/>
    <x v="1"/>
    <x v="0"/>
  </r>
  <r>
    <s v="US-2011-160780"/>
    <d v="2011-06-21T00:00:00"/>
    <d v="2011-06-21T00:00:00"/>
    <s v="StewartVisinsky@gmail.com"/>
    <x v="97"/>
    <x v="3"/>
    <x v="234"/>
    <n v="25.164000000000001"/>
    <n v="2"/>
    <n v="-16.776"/>
    <x v="1"/>
    <n v="6"/>
    <x v="0"/>
    <n v="21"/>
    <n v="0"/>
    <n v="-66.67"/>
    <n v="12.582000000000001"/>
    <x v="0"/>
    <x v="1"/>
    <x v="0"/>
  </r>
  <r>
    <s v="CA-2014-137085"/>
    <d v="2014-06-30T00:00:00"/>
    <d v="2014-07-07T00:00:00"/>
    <s v="CarolTriggs@gmail.com"/>
    <x v="0"/>
    <x v="3"/>
    <x v="540"/>
    <n v="312.55200000000002"/>
    <n v="9"/>
    <n v="101.57940000000001"/>
    <x v="3"/>
    <n v="6"/>
    <x v="0"/>
    <n v="30"/>
    <n v="7"/>
    <n v="32.5"/>
    <n v="34.728000000000002"/>
    <x v="0"/>
    <x v="0"/>
    <x v="1"/>
  </r>
  <r>
    <s v="CA-2012-153220"/>
    <d v="2012-11-12T00:00:00"/>
    <d v="2012-11-14T00:00:00"/>
    <s v="YosephCarroll@gmail.com"/>
    <x v="0"/>
    <x v="8"/>
    <x v="589"/>
    <n v="15.7"/>
    <n v="5"/>
    <n v="7.0650000000000004"/>
    <x v="2"/>
    <n v="11"/>
    <x v="6"/>
    <n v="12"/>
    <n v="2"/>
    <n v="45"/>
    <n v="3.14"/>
    <x v="0"/>
    <x v="0"/>
    <x v="0"/>
  </r>
  <r>
    <s v="US-2013-144211"/>
    <d v="2013-08-29T00:00:00"/>
    <d v="2013-09-03T00:00:00"/>
    <s v="ChadSievert@gmail.com"/>
    <x v="98"/>
    <x v="8"/>
    <x v="590"/>
    <n v="15.48"/>
    <n v="3"/>
    <n v="5.6115000000000004"/>
    <x v="0"/>
    <n v="8"/>
    <x v="3"/>
    <n v="29"/>
    <n v="5"/>
    <n v="36.25"/>
    <n v="5.16"/>
    <x v="0"/>
    <x v="0"/>
    <x v="0"/>
  </r>
  <r>
    <s v="US-2013-144211"/>
    <d v="2013-08-29T00:00:00"/>
    <d v="2013-09-03T00:00:00"/>
    <s v="ChadSievert@gmail.com"/>
    <x v="98"/>
    <x v="6"/>
    <x v="591"/>
    <n v="108.57599999999999"/>
    <n v="3"/>
    <n v="8.1432000000000002"/>
    <x v="0"/>
    <n v="8"/>
    <x v="3"/>
    <n v="29"/>
    <n v="5"/>
    <n v="7.5"/>
    <n v="36.192"/>
    <x v="0"/>
    <x v="0"/>
    <x v="0"/>
  </r>
  <r>
    <s v="CA-2013-138079"/>
    <d v="2013-01-22T00:00:00"/>
    <d v="2013-01-28T00:00:00"/>
    <s v="AnthonyJohnson@gmail.com"/>
    <x v="1"/>
    <x v="1"/>
    <x v="592"/>
    <n v="109.9"/>
    <n v="5"/>
    <n v="37.366"/>
    <x v="0"/>
    <n v="1"/>
    <x v="4"/>
    <n v="22"/>
    <n v="6"/>
    <n v="34"/>
    <n v="21.98"/>
    <x v="0"/>
    <x v="0"/>
    <x v="0"/>
  </r>
  <r>
    <s v="CA-2014-155873"/>
    <d v="2014-06-17T00:00:00"/>
    <d v="2014-06-22T00:00:00"/>
    <s v="AlejandroBallentine@gmail.com"/>
    <x v="11"/>
    <x v="11"/>
    <x v="463"/>
    <n v="16.68"/>
    <n v="2"/>
    <n v="4.3368000000000002"/>
    <x v="3"/>
    <n v="6"/>
    <x v="0"/>
    <n v="17"/>
    <n v="5"/>
    <n v="26"/>
    <n v="8.34"/>
    <x v="0"/>
    <x v="0"/>
    <x v="0"/>
  </r>
  <r>
    <s v="CA-2014-155873"/>
    <d v="2014-06-17T00:00:00"/>
    <d v="2014-06-22T00:00:00"/>
    <s v="AlejandroBallentine@gmail.com"/>
    <x v="11"/>
    <x v="8"/>
    <x v="593"/>
    <n v="19.440000000000001"/>
    <n v="3"/>
    <n v="9.3312000000000008"/>
    <x v="3"/>
    <n v="6"/>
    <x v="0"/>
    <n v="17"/>
    <n v="5"/>
    <n v="48"/>
    <n v="6.48"/>
    <x v="0"/>
    <x v="0"/>
    <x v="0"/>
  </r>
  <r>
    <s v="CA-2014-155873"/>
    <d v="2014-06-17T00:00:00"/>
    <d v="2014-06-22T00:00:00"/>
    <s v="AlejandroBallentine@gmail.com"/>
    <x v="11"/>
    <x v="8"/>
    <x v="594"/>
    <n v="192.16"/>
    <n v="4"/>
    <n v="92.236800000000002"/>
    <x v="3"/>
    <n v="6"/>
    <x v="0"/>
    <n v="17"/>
    <n v="5"/>
    <n v="48"/>
    <n v="48.04"/>
    <x v="0"/>
    <x v="0"/>
    <x v="0"/>
  </r>
  <r>
    <s v="CA-2012-121797"/>
    <d v="2012-01-30T00:00:00"/>
    <d v="2012-02-06T00:00:00"/>
    <s v="CharlesCrestani@gmail.com"/>
    <x v="0"/>
    <x v="1"/>
    <x v="595"/>
    <n v="227.36"/>
    <n v="7"/>
    <n v="81.849599999999995"/>
    <x v="2"/>
    <n v="1"/>
    <x v="4"/>
    <n v="30"/>
    <n v="7"/>
    <n v="36"/>
    <n v="32.479999999999997"/>
    <x v="0"/>
    <x v="0"/>
    <x v="1"/>
  </r>
  <r>
    <s v="CA-2012-103723"/>
    <d v="2012-12-01T00:00:00"/>
    <d v="2012-12-06T00:00:00"/>
    <s v="BethThompson@gmail.com"/>
    <x v="1"/>
    <x v="2"/>
    <x v="596"/>
    <n v="13.9"/>
    <n v="5"/>
    <n v="5.56"/>
    <x v="2"/>
    <n v="12"/>
    <x v="1"/>
    <n v="1"/>
    <n v="5"/>
    <n v="40"/>
    <n v="2.78"/>
    <x v="0"/>
    <x v="0"/>
    <x v="0"/>
  </r>
  <r>
    <s v="CA-2014-144827"/>
    <d v="2014-12-22T00:00:00"/>
    <d v="2014-12-28T00:00:00"/>
    <s v="SanjitEngle@gmail.com"/>
    <x v="30"/>
    <x v="5"/>
    <x v="279"/>
    <n v="124.36"/>
    <n v="2"/>
    <n v="33.577199999999998"/>
    <x v="3"/>
    <n v="12"/>
    <x v="1"/>
    <n v="22"/>
    <n v="6"/>
    <n v="27"/>
    <n v="62.18"/>
    <x v="0"/>
    <x v="0"/>
    <x v="0"/>
  </r>
  <r>
    <s v="CA-2011-153479"/>
    <d v="2011-10-04T00:00:00"/>
    <d v="2011-10-08T00:00:00"/>
    <s v="DavidFlashing@gmail.com"/>
    <x v="36"/>
    <x v="0"/>
    <x v="597"/>
    <n v="14.45"/>
    <n v="5"/>
    <n v="6.7915000000000001"/>
    <x v="1"/>
    <n v="10"/>
    <x v="7"/>
    <n v="4"/>
    <n v="4"/>
    <n v="47"/>
    <n v="2.89"/>
    <x v="0"/>
    <x v="0"/>
    <x v="0"/>
  </r>
  <r>
    <s v="CA-2011-153479"/>
    <d v="2011-10-04T00:00:00"/>
    <d v="2011-10-08T00:00:00"/>
    <s v="DavidFlashing@gmail.com"/>
    <x v="36"/>
    <x v="3"/>
    <x v="465"/>
    <n v="95.647999999999996"/>
    <n v="2"/>
    <n v="31.085599999999999"/>
    <x v="1"/>
    <n v="10"/>
    <x v="7"/>
    <n v="4"/>
    <n v="4"/>
    <n v="32.5"/>
    <n v="47.823999999999998"/>
    <x v="0"/>
    <x v="0"/>
    <x v="0"/>
  </r>
  <r>
    <s v="CA-2014-104801"/>
    <d v="2014-02-14T00:00:00"/>
    <d v="2014-02-20T00:00:00"/>
    <s v="FredHarton@gmail.com"/>
    <x v="1"/>
    <x v="2"/>
    <x v="47"/>
    <n v="6.63"/>
    <n v="3"/>
    <n v="1.7901"/>
    <x v="3"/>
    <n v="2"/>
    <x v="11"/>
    <n v="14"/>
    <n v="6"/>
    <n v="27"/>
    <n v="2.21"/>
    <x v="0"/>
    <x v="0"/>
    <x v="0"/>
  </r>
  <r>
    <s v="CA-2014-104801"/>
    <d v="2014-02-14T00:00:00"/>
    <d v="2014-02-20T00:00:00"/>
    <s v="FredHarton@gmail.com"/>
    <x v="1"/>
    <x v="1"/>
    <x v="598"/>
    <n v="107.53"/>
    <n v="1"/>
    <n v="21.506"/>
    <x v="3"/>
    <n v="2"/>
    <x v="11"/>
    <n v="14"/>
    <n v="6"/>
    <n v="20"/>
    <n v="107.53"/>
    <x v="0"/>
    <x v="0"/>
    <x v="0"/>
  </r>
  <r>
    <s v="CA-2012-129770"/>
    <d v="2012-02-21T00:00:00"/>
    <d v="2012-02-23T00:00:00"/>
    <s v="JoeElijah@gmail.com"/>
    <x v="99"/>
    <x v="8"/>
    <x v="50"/>
    <n v="49.12"/>
    <n v="4"/>
    <n v="23.086400000000001"/>
    <x v="2"/>
    <n v="2"/>
    <x v="11"/>
    <n v="21"/>
    <n v="2"/>
    <n v="47"/>
    <n v="12.28"/>
    <x v="0"/>
    <x v="0"/>
    <x v="0"/>
  </r>
  <r>
    <s v="CA-2011-149244"/>
    <d v="2011-11-04T00:00:00"/>
    <d v="2011-11-08T00:00:00"/>
    <s v="MaryBethSkach@gmail.com"/>
    <x v="16"/>
    <x v="1"/>
    <x v="599"/>
    <n v="35.340000000000003"/>
    <n v="2"/>
    <n v="13.4292"/>
    <x v="1"/>
    <n v="11"/>
    <x v="6"/>
    <n v="4"/>
    <n v="4"/>
    <n v="38"/>
    <n v="17.670000000000002"/>
    <x v="0"/>
    <x v="0"/>
    <x v="0"/>
  </r>
  <r>
    <s v="CA-2012-140144"/>
    <d v="2012-06-20T00:00:00"/>
    <d v="2012-06-25T00:00:00"/>
    <s v="StewartCarmichael@gmail.com"/>
    <x v="3"/>
    <x v="1"/>
    <x v="364"/>
    <n v="257.64"/>
    <n v="6"/>
    <n v="100.4796"/>
    <x v="2"/>
    <n v="6"/>
    <x v="0"/>
    <n v="20"/>
    <n v="5"/>
    <n v="39"/>
    <n v="42.94"/>
    <x v="0"/>
    <x v="0"/>
    <x v="1"/>
  </r>
  <r>
    <s v="CA-2012-140144"/>
    <d v="2012-06-20T00:00:00"/>
    <d v="2012-06-25T00:00:00"/>
    <s v="StewartCarmichael@gmail.com"/>
    <x v="3"/>
    <x v="6"/>
    <x v="17"/>
    <n v="125.976"/>
    <n v="3"/>
    <n v="47.241"/>
    <x v="2"/>
    <n v="6"/>
    <x v="0"/>
    <n v="20"/>
    <n v="5"/>
    <n v="37.5"/>
    <n v="41.991999999999997"/>
    <x v="0"/>
    <x v="0"/>
    <x v="0"/>
  </r>
  <r>
    <s v="CA-2011-154669"/>
    <d v="2011-08-08T00:00:00"/>
    <d v="2011-08-11T00:00:00"/>
    <s v="TamaraManning@gmail.com"/>
    <x v="100"/>
    <x v="5"/>
    <x v="600"/>
    <n v="423.28"/>
    <n v="11"/>
    <n v="110.0528"/>
    <x v="1"/>
    <n v="8"/>
    <x v="3"/>
    <n v="8"/>
    <n v="3"/>
    <n v="26"/>
    <n v="38.479999999999997"/>
    <x v="0"/>
    <x v="0"/>
    <x v="1"/>
  </r>
  <r>
    <s v="CA-2011-158029"/>
    <d v="2011-05-26T00:00:00"/>
    <d v="2011-05-30T00:00:00"/>
    <s v="HerbertFlentye@gmail.com"/>
    <x v="0"/>
    <x v="9"/>
    <x v="601"/>
    <n v="225.29599999999999"/>
    <n v="2"/>
    <n v="22.529599999999999"/>
    <x v="1"/>
    <n v="5"/>
    <x v="2"/>
    <n v="26"/>
    <n v="4"/>
    <n v="10"/>
    <n v="112.648"/>
    <x v="0"/>
    <x v="0"/>
    <x v="1"/>
  </r>
  <r>
    <s v="CA-2012-155306"/>
    <d v="2012-04-17T00:00:00"/>
    <d v="2012-04-21T00:00:00"/>
    <s v="GeorgeAshbrook@gmail.com"/>
    <x v="3"/>
    <x v="2"/>
    <x v="596"/>
    <n v="5.56"/>
    <n v="2"/>
    <n v="2.2240000000000002"/>
    <x v="2"/>
    <n v="4"/>
    <x v="10"/>
    <n v="17"/>
    <n v="4"/>
    <n v="40"/>
    <n v="2.78"/>
    <x v="0"/>
    <x v="0"/>
    <x v="0"/>
  </r>
  <r>
    <s v="CA-2012-155306"/>
    <d v="2012-04-17T00:00:00"/>
    <d v="2012-04-21T00:00:00"/>
    <s v="GeorgeAshbrook@gmail.com"/>
    <x v="3"/>
    <x v="7"/>
    <x v="602"/>
    <n v="323.37"/>
    <n v="3"/>
    <n v="129.34800000000001"/>
    <x v="2"/>
    <n v="4"/>
    <x v="10"/>
    <n v="17"/>
    <n v="4"/>
    <n v="40"/>
    <n v="107.79"/>
    <x v="0"/>
    <x v="0"/>
    <x v="1"/>
  </r>
  <r>
    <s v="CA-2012-155306"/>
    <d v="2012-04-17T00:00:00"/>
    <d v="2012-04-21T00:00:00"/>
    <s v="GeorgeAshbrook@gmail.com"/>
    <x v="3"/>
    <x v="8"/>
    <x v="603"/>
    <n v="11.96"/>
    <n v="2"/>
    <n v="5.8604000000000003"/>
    <x v="2"/>
    <n v="4"/>
    <x v="10"/>
    <n v="17"/>
    <n v="4"/>
    <n v="49"/>
    <n v="5.98"/>
    <x v="0"/>
    <x v="0"/>
    <x v="0"/>
  </r>
  <r>
    <s v="CA-2011-129574"/>
    <d v="2011-05-26T00:00:00"/>
    <d v="2011-05-29T00:00:00"/>
    <s v="Deanpercer@gmail.com"/>
    <x v="101"/>
    <x v="8"/>
    <x v="99"/>
    <n v="48.4"/>
    <n v="5"/>
    <n v="23.231999999999999"/>
    <x v="1"/>
    <n v="5"/>
    <x v="2"/>
    <n v="26"/>
    <n v="3"/>
    <n v="48"/>
    <n v="9.68"/>
    <x v="0"/>
    <x v="0"/>
    <x v="0"/>
  </r>
  <r>
    <s v="CA-2014-126536"/>
    <d v="2014-10-13T00:00:00"/>
    <d v="2014-10-15T00:00:00"/>
    <s v="NeilKnudson@gmail.com"/>
    <x v="3"/>
    <x v="7"/>
    <x v="604"/>
    <n v="0.99"/>
    <n v="1"/>
    <n v="0.43559999999999999"/>
    <x v="3"/>
    <n v="10"/>
    <x v="7"/>
    <n v="13"/>
    <n v="2"/>
    <n v="44"/>
    <n v="0.99"/>
    <x v="0"/>
    <x v="0"/>
    <x v="0"/>
  </r>
  <r>
    <s v="CA-2014-126536"/>
    <d v="2014-10-13T00:00:00"/>
    <d v="2014-10-15T00:00:00"/>
    <s v="NeilKnudson@gmail.com"/>
    <x v="3"/>
    <x v="3"/>
    <x v="605"/>
    <n v="101.84"/>
    <n v="5"/>
    <n v="36.917000000000002"/>
    <x v="3"/>
    <n v="10"/>
    <x v="7"/>
    <n v="13"/>
    <n v="2"/>
    <n v="36.25"/>
    <n v="20.367999999999999"/>
    <x v="0"/>
    <x v="0"/>
    <x v="0"/>
  </r>
  <r>
    <s v="CA-2013-144729"/>
    <d v="2013-10-22T00:00:00"/>
    <d v="2013-10-26T00:00:00"/>
    <s v="JoelEaton@gmail.com"/>
    <x v="16"/>
    <x v="5"/>
    <x v="367"/>
    <n v="154.44"/>
    <n v="3"/>
    <n v="1.5444"/>
    <x v="0"/>
    <n v="10"/>
    <x v="7"/>
    <n v="22"/>
    <n v="4"/>
    <n v="1"/>
    <n v="51.48"/>
    <x v="0"/>
    <x v="0"/>
    <x v="0"/>
  </r>
  <r>
    <s v="CA-2012-127019"/>
    <d v="2012-12-21T00:00:00"/>
    <d v="2012-12-25T00:00:00"/>
    <s v="ElpidaRittenbach@gmail.com"/>
    <x v="19"/>
    <x v="4"/>
    <x v="308"/>
    <n v="60.984000000000002"/>
    <n v="7"/>
    <n v="4.5738000000000003"/>
    <x v="2"/>
    <n v="12"/>
    <x v="1"/>
    <n v="21"/>
    <n v="4"/>
    <n v="7.5"/>
    <n v="8.7119999999999997"/>
    <x v="1"/>
    <x v="0"/>
    <x v="0"/>
  </r>
  <r>
    <s v="CA-2012-138534"/>
    <d v="2012-07-17T00:00:00"/>
    <d v="2012-07-19T00:00:00"/>
    <s v="JessicaMyrick@gmail.com"/>
    <x v="102"/>
    <x v="14"/>
    <x v="420"/>
    <n v="195.46600000000001"/>
    <n v="2"/>
    <n v="-13.797599999999999"/>
    <x v="2"/>
    <n v="7"/>
    <x v="5"/>
    <n v="17"/>
    <n v="2"/>
    <n v="-7.06"/>
    <n v="97.733000000000004"/>
    <x v="0"/>
    <x v="1"/>
    <x v="0"/>
  </r>
  <r>
    <s v="CA-2012-149972"/>
    <d v="2012-09-21T00:00:00"/>
    <d v="2012-09-23T00:00:00"/>
    <s v="CynthiaDelaney@gmail.com"/>
    <x v="0"/>
    <x v="10"/>
    <x v="606"/>
    <n v="7.9"/>
    <n v="2"/>
    <n v="2.528"/>
    <x v="2"/>
    <n v="9"/>
    <x v="8"/>
    <n v="21"/>
    <n v="2"/>
    <n v="32"/>
    <n v="3.95"/>
    <x v="0"/>
    <x v="0"/>
    <x v="0"/>
  </r>
  <r>
    <s v="CA-2011-154599"/>
    <d v="2011-04-12T00:00:00"/>
    <d v="2011-04-17T00:00:00"/>
    <s v="KeanNguyen@gmail.com"/>
    <x v="103"/>
    <x v="6"/>
    <x v="269"/>
    <n v="438.36799999999999"/>
    <n v="4"/>
    <n v="38.357199999999999"/>
    <x v="1"/>
    <n v="4"/>
    <x v="10"/>
    <n v="12"/>
    <n v="5"/>
    <n v="8.75"/>
    <n v="109.592"/>
    <x v="0"/>
    <x v="0"/>
    <x v="1"/>
  </r>
  <r>
    <s v="CA-2011-154599"/>
    <d v="2011-04-12T00:00:00"/>
    <d v="2011-04-17T00:00:00"/>
    <s v="KeanNguyen@gmail.com"/>
    <x v="103"/>
    <x v="3"/>
    <x v="161"/>
    <n v="18.088000000000001"/>
    <n v="7"/>
    <n v="6.5568999999999997"/>
    <x v="1"/>
    <n v="4"/>
    <x v="10"/>
    <n v="12"/>
    <n v="5"/>
    <n v="36.25"/>
    <n v="2.5840000000000001"/>
    <x v="0"/>
    <x v="0"/>
    <x v="0"/>
  </r>
  <r>
    <s v="CA-2011-154599"/>
    <d v="2011-04-12T00:00:00"/>
    <d v="2011-04-17T00:00:00"/>
    <s v="KeanNguyen@gmail.com"/>
    <x v="103"/>
    <x v="14"/>
    <x v="570"/>
    <n v="308.49900000000002"/>
    <n v="3"/>
    <n v="-18.146999999999998"/>
    <x v="1"/>
    <n v="4"/>
    <x v="10"/>
    <n v="12"/>
    <n v="5"/>
    <n v="-5.88"/>
    <n v="102.833"/>
    <x v="0"/>
    <x v="1"/>
    <x v="1"/>
  </r>
  <r>
    <s v="US-2012-110163"/>
    <d v="2012-11-01T00:00:00"/>
    <d v="2012-11-04T00:00:00"/>
    <s v="GuyArmstrong@gmail.com"/>
    <x v="35"/>
    <x v="2"/>
    <x v="607"/>
    <n v="7.88"/>
    <n v="1"/>
    <n v="1.7729999999999999"/>
    <x v="2"/>
    <n v="11"/>
    <x v="6"/>
    <n v="1"/>
    <n v="3"/>
    <n v="22.5"/>
    <n v="7.88"/>
    <x v="0"/>
    <x v="0"/>
    <x v="0"/>
  </r>
  <r>
    <s v="CA-2014-143329"/>
    <d v="2014-11-04T00:00:00"/>
    <d v="2014-11-09T00:00:00"/>
    <s v="DeniseLeinenbach@gmail.com"/>
    <x v="99"/>
    <x v="1"/>
    <x v="608"/>
    <n v="41.37"/>
    <n v="3"/>
    <n v="17.375399999999999"/>
    <x v="3"/>
    <n v="11"/>
    <x v="6"/>
    <n v="4"/>
    <n v="5"/>
    <n v="42"/>
    <n v="13.79"/>
    <x v="1"/>
    <x v="0"/>
    <x v="0"/>
  </r>
  <r>
    <s v="CA-2012-159380"/>
    <d v="2012-05-12T00:00:00"/>
    <d v="2012-05-16T00:00:00"/>
    <s v="CindyStewart@gmail.com"/>
    <x v="3"/>
    <x v="8"/>
    <x v="417"/>
    <n v="12.84"/>
    <n v="3"/>
    <n v="5.7779999999999996"/>
    <x v="2"/>
    <n v="5"/>
    <x v="2"/>
    <n v="12"/>
    <n v="4"/>
    <n v="45"/>
    <n v="4.28"/>
    <x v="0"/>
    <x v="0"/>
    <x v="0"/>
  </r>
  <r>
    <s v="CA-2012-159380"/>
    <d v="2012-05-12T00:00:00"/>
    <d v="2012-05-16T00:00:00"/>
    <s v="CindyStewart@gmail.com"/>
    <x v="3"/>
    <x v="8"/>
    <x v="609"/>
    <n v="25.68"/>
    <n v="6"/>
    <n v="11.555999999999999"/>
    <x v="2"/>
    <n v="5"/>
    <x v="2"/>
    <n v="12"/>
    <n v="4"/>
    <n v="45"/>
    <n v="4.28"/>
    <x v="0"/>
    <x v="0"/>
    <x v="0"/>
  </r>
  <r>
    <s v="CA-2012-148635"/>
    <d v="2012-07-25T00:00:00"/>
    <d v="2012-07-27T00:00:00"/>
    <s v="MichelleHuthwaite@gmail.com"/>
    <x v="1"/>
    <x v="10"/>
    <x v="460"/>
    <n v="9.42"/>
    <n v="2"/>
    <n v="0.47099999999999997"/>
    <x v="2"/>
    <n v="7"/>
    <x v="5"/>
    <n v="25"/>
    <n v="2"/>
    <n v="5"/>
    <n v="4.71"/>
    <x v="0"/>
    <x v="0"/>
    <x v="0"/>
  </r>
  <r>
    <s v="CA-2012-148635"/>
    <d v="2012-07-25T00:00:00"/>
    <d v="2012-07-27T00:00:00"/>
    <s v="MichelleHuthwaite@gmail.com"/>
    <x v="1"/>
    <x v="8"/>
    <x v="610"/>
    <n v="12.96"/>
    <n v="2"/>
    <n v="6.2207999999999997"/>
    <x v="2"/>
    <n v="7"/>
    <x v="5"/>
    <n v="25"/>
    <n v="2"/>
    <n v="48"/>
    <n v="6.48"/>
    <x v="0"/>
    <x v="0"/>
    <x v="0"/>
  </r>
  <r>
    <s v="CA-2013-160500"/>
    <d v="2013-05-06T00:00:00"/>
    <d v="2013-05-09T00:00:00"/>
    <s v="DarrinMartin@gmail.com"/>
    <x v="53"/>
    <x v="3"/>
    <x v="611"/>
    <n v="6.72"/>
    <n v="5"/>
    <n v="2.3519999999999999"/>
    <x v="0"/>
    <n v="5"/>
    <x v="2"/>
    <n v="6"/>
    <n v="3"/>
    <n v="35"/>
    <n v="1.3440000000000001"/>
    <x v="0"/>
    <x v="0"/>
    <x v="0"/>
  </r>
  <r>
    <s v="CA-2013-160500"/>
    <d v="2013-05-06T00:00:00"/>
    <d v="2013-05-09T00:00:00"/>
    <s v="DarrinMartin@gmail.com"/>
    <x v="53"/>
    <x v="13"/>
    <x v="612"/>
    <n v="298.77600000000001"/>
    <n v="3"/>
    <n v="7.4694000000000003"/>
    <x v="0"/>
    <n v="5"/>
    <x v="2"/>
    <n v="6"/>
    <n v="3"/>
    <n v="2.5"/>
    <n v="99.591999999999999"/>
    <x v="0"/>
    <x v="0"/>
    <x v="1"/>
  </r>
  <r>
    <s v="CA-2014-100202"/>
    <d v="2014-01-01T00:00:00"/>
    <d v="2014-01-06T00:00:00"/>
    <s v="BrianDeCherney@gmail.com"/>
    <x v="104"/>
    <x v="6"/>
    <x v="61"/>
    <n v="302.37599999999998"/>
    <n v="3"/>
    <n v="22.6782"/>
    <x v="3"/>
    <n v="1"/>
    <x v="4"/>
    <n v="1"/>
    <n v="5"/>
    <n v="7.5"/>
    <n v="100.792"/>
    <x v="0"/>
    <x v="0"/>
    <x v="1"/>
  </r>
  <r>
    <s v="CA-2011-148915"/>
    <d v="2011-11-01T00:00:00"/>
    <d v="2011-11-05T00:00:00"/>
    <s v="NatalieDeCherney@gmail.com"/>
    <x v="5"/>
    <x v="5"/>
    <x v="613"/>
    <n v="443.92"/>
    <n v="5"/>
    <n v="-94.332999999999998"/>
    <x v="1"/>
    <n v="11"/>
    <x v="6"/>
    <n v="1"/>
    <n v="4"/>
    <n v="-21.25"/>
    <n v="88.784000000000006"/>
    <x v="0"/>
    <x v="1"/>
    <x v="1"/>
  </r>
  <r>
    <s v="CA-2011-148915"/>
    <d v="2011-11-01T00:00:00"/>
    <d v="2011-11-05T00:00:00"/>
    <s v="NatalieDeCherney@gmail.com"/>
    <x v="5"/>
    <x v="6"/>
    <x v="614"/>
    <n v="155.976"/>
    <n v="3"/>
    <n v="54.5916"/>
    <x v="1"/>
    <n v="11"/>
    <x v="6"/>
    <n v="1"/>
    <n v="4"/>
    <n v="35"/>
    <n v="51.991999999999997"/>
    <x v="0"/>
    <x v="0"/>
    <x v="0"/>
  </r>
  <r>
    <s v="CA-2014-110842"/>
    <d v="2014-11-12T00:00:00"/>
    <d v="2014-11-17T00:00:00"/>
    <s v="GuyArmstrong@gmail.com"/>
    <x v="0"/>
    <x v="4"/>
    <x v="308"/>
    <n v="10.89"/>
    <n v="1"/>
    <n v="2.8313999999999999"/>
    <x v="3"/>
    <n v="11"/>
    <x v="6"/>
    <n v="12"/>
    <n v="5"/>
    <n v="26"/>
    <n v="10.89"/>
    <x v="0"/>
    <x v="0"/>
    <x v="0"/>
  </r>
  <r>
    <s v="CA-2014-110842"/>
    <d v="2014-11-12T00:00:00"/>
    <d v="2014-11-17T00:00:00"/>
    <s v="GuyArmstrong@gmail.com"/>
    <x v="0"/>
    <x v="8"/>
    <x v="615"/>
    <n v="19.440000000000001"/>
    <n v="3"/>
    <n v="9.3312000000000008"/>
    <x v="3"/>
    <n v="11"/>
    <x v="6"/>
    <n v="12"/>
    <n v="5"/>
    <n v="48"/>
    <n v="6.48"/>
    <x v="0"/>
    <x v="0"/>
    <x v="0"/>
  </r>
  <r>
    <s v="CA-2014-110842"/>
    <d v="2014-11-12T00:00:00"/>
    <d v="2014-11-17T00:00:00"/>
    <s v="GuyArmstrong@gmail.com"/>
    <x v="0"/>
    <x v="3"/>
    <x v="616"/>
    <n v="121.6"/>
    <n v="5"/>
    <n v="39.520000000000003"/>
    <x v="3"/>
    <n v="11"/>
    <x v="6"/>
    <n v="12"/>
    <n v="5"/>
    <n v="32.5"/>
    <n v="24.32"/>
    <x v="0"/>
    <x v="0"/>
    <x v="0"/>
  </r>
  <r>
    <s v="US-2014-103828"/>
    <d v="2014-08-14T00:00:00"/>
    <d v="2014-08-14T00:00:00"/>
    <s v="JayKimmel@gmail.com"/>
    <x v="3"/>
    <x v="5"/>
    <x v="142"/>
    <n v="31.44"/>
    <n v="3"/>
    <n v="8.4887999999999995"/>
    <x v="3"/>
    <n v="8"/>
    <x v="3"/>
    <n v="14"/>
    <n v="0"/>
    <n v="27"/>
    <n v="10.48"/>
    <x v="0"/>
    <x v="0"/>
    <x v="0"/>
  </r>
  <r>
    <s v="US-2014-103828"/>
    <d v="2014-08-14T00:00:00"/>
    <d v="2014-08-14T00:00:00"/>
    <s v="JayKimmel@gmail.com"/>
    <x v="3"/>
    <x v="4"/>
    <x v="50"/>
    <n v="83.79"/>
    <n v="7"/>
    <n v="22.6233"/>
    <x v="3"/>
    <n v="8"/>
    <x v="3"/>
    <n v="14"/>
    <n v="0"/>
    <n v="27"/>
    <n v="11.97"/>
    <x v="0"/>
    <x v="0"/>
    <x v="0"/>
  </r>
  <r>
    <s v="US-2014-103828"/>
    <d v="2014-08-14T00:00:00"/>
    <d v="2014-08-14T00:00:00"/>
    <s v="JayKimmel@gmail.com"/>
    <x v="3"/>
    <x v="2"/>
    <x v="617"/>
    <n v="59.52"/>
    <n v="3"/>
    <n v="15.475199999999999"/>
    <x v="3"/>
    <n v="8"/>
    <x v="3"/>
    <n v="14"/>
    <n v="0"/>
    <n v="26"/>
    <n v="19.84"/>
    <x v="0"/>
    <x v="0"/>
    <x v="0"/>
  </r>
  <r>
    <s v="US-2014-103828"/>
    <d v="2014-08-14T00:00:00"/>
    <d v="2014-08-14T00:00:00"/>
    <s v="JayKimmel@gmail.com"/>
    <x v="3"/>
    <x v="11"/>
    <x v="50"/>
    <n v="31.92"/>
    <n v="4"/>
    <n v="9.2568000000000001"/>
    <x v="3"/>
    <n v="8"/>
    <x v="3"/>
    <n v="14"/>
    <n v="0"/>
    <n v="29"/>
    <n v="7.98"/>
    <x v="0"/>
    <x v="0"/>
    <x v="0"/>
  </r>
  <r>
    <s v="CA-2011-148040"/>
    <d v="2011-03-22T00:00:00"/>
    <d v="2011-03-26T00:00:00"/>
    <s v="BethFritzler@gmail.com"/>
    <x v="24"/>
    <x v="8"/>
    <x v="618"/>
    <n v="74.352000000000004"/>
    <n v="3"/>
    <n v="23.234999999999999"/>
    <x v="1"/>
    <n v="3"/>
    <x v="9"/>
    <n v="22"/>
    <n v="4"/>
    <n v="31.25"/>
    <n v="24.783999999999999"/>
    <x v="0"/>
    <x v="0"/>
    <x v="0"/>
  </r>
  <r>
    <s v="CA-2011-148040"/>
    <d v="2011-03-22T00:00:00"/>
    <d v="2011-03-26T00:00:00"/>
    <s v="BethFritzler@gmail.com"/>
    <x v="24"/>
    <x v="9"/>
    <x v="619"/>
    <n v="314.35199999999998"/>
    <n v="3"/>
    <n v="-35.364600000000003"/>
    <x v="1"/>
    <n v="3"/>
    <x v="9"/>
    <n v="22"/>
    <n v="4"/>
    <n v="-11.25"/>
    <n v="104.78400000000001"/>
    <x v="0"/>
    <x v="1"/>
    <x v="1"/>
  </r>
  <r>
    <s v="CA-2014-135167"/>
    <d v="2014-06-16T00:00:00"/>
    <d v="2014-06-21T00:00:00"/>
    <s v="StuartCalhoun@gmail.com"/>
    <x v="0"/>
    <x v="2"/>
    <x v="620"/>
    <n v="4.26"/>
    <n v="1"/>
    <n v="1.7465999999999999"/>
    <x v="3"/>
    <n v="6"/>
    <x v="0"/>
    <n v="16"/>
    <n v="5"/>
    <n v="41"/>
    <n v="4.26"/>
    <x v="1"/>
    <x v="0"/>
    <x v="0"/>
  </r>
  <r>
    <s v="US-2013-167339"/>
    <d v="2013-01-21T00:00:00"/>
    <d v="2013-01-23T00:00:00"/>
    <s v="TamaraDahlen@gmail.com"/>
    <x v="16"/>
    <x v="9"/>
    <x v="621"/>
    <n v="153.56800000000001"/>
    <n v="2"/>
    <n v="-5.7587999999999999"/>
    <x v="0"/>
    <n v="1"/>
    <x v="4"/>
    <n v="21"/>
    <n v="2"/>
    <n v="-3.75"/>
    <n v="76.784000000000006"/>
    <x v="0"/>
    <x v="1"/>
    <x v="0"/>
  </r>
  <r>
    <s v="CA-2013-130799"/>
    <d v="2013-11-12T00:00:00"/>
    <d v="2013-11-17T00:00:00"/>
    <s v="BerenikeKampe@gmail.com"/>
    <x v="3"/>
    <x v="1"/>
    <x v="622"/>
    <n v="6.96"/>
    <n v="4"/>
    <n v="2.2271999999999998"/>
    <x v="0"/>
    <n v="11"/>
    <x v="6"/>
    <n v="12"/>
    <n v="5"/>
    <n v="32"/>
    <n v="1.74"/>
    <x v="0"/>
    <x v="0"/>
    <x v="0"/>
  </r>
  <r>
    <s v="CA-2013-164483"/>
    <d v="2013-01-30T00:00:00"/>
    <d v="2013-02-03T00:00:00"/>
    <s v="JeremyFarry@gmail.com"/>
    <x v="3"/>
    <x v="3"/>
    <x v="200"/>
    <n v="17.456"/>
    <n v="2"/>
    <n v="5.8914"/>
    <x v="0"/>
    <n v="1"/>
    <x v="4"/>
    <n v="30"/>
    <n v="4"/>
    <n v="33.75"/>
    <n v="8.7279999999999998"/>
    <x v="0"/>
    <x v="0"/>
    <x v="0"/>
  </r>
  <r>
    <s v="US-2013-159856"/>
    <d v="2013-10-19T00:00:00"/>
    <d v="2013-10-23T00:00:00"/>
    <s v="EmilyPhan@gmail.com"/>
    <x v="65"/>
    <x v="9"/>
    <x v="623"/>
    <n v="307.92"/>
    <n v="5"/>
    <n v="-34.640999999999998"/>
    <x v="0"/>
    <n v="10"/>
    <x v="7"/>
    <n v="19"/>
    <n v="4"/>
    <n v="-11.25"/>
    <n v="61.584000000000003"/>
    <x v="0"/>
    <x v="1"/>
    <x v="1"/>
  </r>
  <r>
    <s v="CA-2014-102099"/>
    <d v="2014-12-19T00:00:00"/>
    <d v="2014-12-20T00:00:00"/>
    <s v="EmilyPhan@gmail.com"/>
    <x v="0"/>
    <x v="2"/>
    <x v="134"/>
    <n v="6.63"/>
    <n v="3"/>
    <n v="1.7901"/>
    <x v="3"/>
    <n v="12"/>
    <x v="1"/>
    <n v="19"/>
    <n v="1"/>
    <n v="27"/>
    <n v="2.21"/>
    <x v="0"/>
    <x v="0"/>
    <x v="0"/>
  </r>
  <r>
    <s v="CA-2014-102099"/>
    <d v="2014-12-19T00:00:00"/>
    <d v="2014-12-20T00:00:00"/>
    <s v="EmilyPhan@gmail.com"/>
    <x v="0"/>
    <x v="8"/>
    <x v="302"/>
    <n v="12.96"/>
    <n v="2"/>
    <n v="6.2207999999999997"/>
    <x v="3"/>
    <n v="12"/>
    <x v="1"/>
    <n v="19"/>
    <n v="1"/>
    <n v="48"/>
    <n v="6.48"/>
    <x v="0"/>
    <x v="0"/>
    <x v="0"/>
  </r>
  <r>
    <s v="CA-2014-102099"/>
    <d v="2014-12-19T00:00:00"/>
    <d v="2014-12-20T00:00:00"/>
    <s v="EmilyPhan@gmail.com"/>
    <x v="0"/>
    <x v="8"/>
    <x v="230"/>
    <n v="32.4"/>
    <n v="5"/>
    <n v="15.552"/>
    <x v="3"/>
    <n v="12"/>
    <x v="1"/>
    <n v="19"/>
    <n v="1"/>
    <n v="48"/>
    <n v="6.48"/>
    <x v="0"/>
    <x v="0"/>
    <x v="0"/>
  </r>
  <r>
    <s v="CA-2014-164049"/>
    <d v="2014-11-03T00:00:00"/>
    <d v="2014-11-07T00:00:00"/>
    <s v="KenHeidel@gmail.com"/>
    <x v="1"/>
    <x v="8"/>
    <x v="624"/>
    <n v="23.85"/>
    <n v="5"/>
    <n v="10.7325"/>
    <x v="3"/>
    <n v="11"/>
    <x v="6"/>
    <n v="3"/>
    <n v="4"/>
    <n v="45"/>
    <n v="4.7699999999999996"/>
    <x v="0"/>
    <x v="0"/>
    <x v="0"/>
  </r>
  <r>
    <s v="CA-2011-127586"/>
    <d v="2011-09-26T00:00:00"/>
    <d v="2011-09-30T00:00:00"/>
    <s v="ChristopherSchild@gmail.com"/>
    <x v="1"/>
    <x v="5"/>
    <x v="625"/>
    <n v="310.12"/>
    <n v="2"/>
    <n v="80.631200000000007"/>
    <x v="1"/>
    <n v="9"/>
    <x v="8"/>
    <n v="26"/>
    <n v="4"/>
    <n v="26"/>
    <n v="155.06"/>
    <x v="0"/>
    <x v="0"/>
    <x v="1"/>
  </r>
  <r>
    <s v="CA-2014-166415"/>
    <d v="2014-02-20T00:00:00"/>
    <d v="2014-02-24T00:00:00"/>
    <s v="MaxEngle@gmail.com"/>
    <x v="1"/>
    <x v="10"/>
    <x v="626"/>
    <n v="11.22"/>
    <n v="3"/>
    <n v="0.22439999999999999"/>
    <x v="3"/>
    <n v="2"/>
    <x v="11"/>
    <n v="20"/>
    <n v="4"/>
    <n v="2"/>
    <n v="3.74"/>
    <x v="0"/>
    <x v="0"/>
    <x v="0"/>
  </r>
  <r>
    <s v="CA-2014-164329"/>
    <d v="2014-01-31T00:00:00"/>
    <d v="2014-01-31T00:00:00"/>
    <s v="MichaelMoore@gmail.com"/>
    <x v="3"/>
    <x v="5"/>
    <x v="627"/>
    <n v="129.30000000000001"/>
    <n v="2"/>
    <n v="6.4649999999999999"/>
    <x v="3"/>
    <n v="1"/>
    <x v="4"/>
    <n v="31"/>
    <n v="0"/>
    <n v="5"/>
    <n v="64.650000000000006"/>
    <x v="0"/>
    <x v="0"/>
    <x v="0"/>
  </r>
  <r>
    <s v="CA-2012-168564"/>
    <d v="2012-08-08T00:00:00"/>
    <d v="2012-08-08T00:00:00"/>
    <s v="ThomasThornton@gmail.com"/>
    <x v="3"/>
    <x v="3"/>
    <x v="301"/>
    <n v="6.6079999999999997"/>
    <n v="2"/>
    <n v="2.2302"/>
    <x v="2"/>
    <n v="8"/>
    <x v="3"/>
    <n v="8"/>
    <n v="0"/>
    <n v="33.75"/>
    <n v="3.3039999999999998"/>
    <x v="0"/>
    <x v="0"/>
    <x v="0"/>
  </r>
  <r>
    <s v="CA-2012-168564"/>
    <d v="2012-08-08T00:00:00"/>
    <d v="2012-08-08T00:00:00"/>
    <s v="ThomasThornton@gmail.com"/>
    <x v="3"/>
    <x v="3"/>
    <x v="68"/>
    <n v="7.28"/>
    <n v="2"/>
    <n v="2.73"/>
    <x v="2"/>
    <n v="8"/>
    <x v="3"/>
    <n v="8"/>
    <n v="0"/>
    <n v="37.5"/>
    <n v="3.64"/>
    <x v="0"/>
    <x v="0"/>
    <x v="0"/>
  </r>
  <r>
    <s v="CA-2012-168564"/>
    <d v="2012-08-08T00:00:00"/>
    <d v="2012-08-08T00:00:00"/>
    <s v="ThomasThornton@gmail.com"/>
    <x v="3"/>
    <x v="9"/>
    <x v="628"/>
    <n v="144.78399999999999"/>
    <n v="1"/>
    <n v="10.8588"/>
    <x v="2"/>
    <n v="8"/>
    <x v="3"/>
    <n v="8"/>
    <n v="0"/>
    <n v="7.5"/>
    <n v="144.78399999999999"/>
    <x v="0"/>
    <x v="0"/>
    <x v="0"/>
  </r>
  <r>
    <s v="US-2013-169040"/>
    <d v="2013-12-07T00:00:00"/>
    <d v="2013-12-13T00:00:00"/>
    <s v="GregTran@gmail.com"/>
    <x v="1"/>
    <x v="6"/>
    <x v="629"/>
    <n v="156.792"/>
    <n v="1"/>
    <n v="13.7193"/>
    <x v="0"/>
    <n v="12"/>
    <x v="1"/>
    <n v="7"/>
    <n v="6"/>
    <n v="8.75"/>
    <n v="156.792"/>
    <x v="0"/>
    <x v="0"/>
    <x v="0"/>
  </r>
  <r>
    <s v="US-2013-169040"/>
    <d v="2013-12-07T00:00:00"/>
    <d v="2013-12-13T00:00:00"/>
    <s v="GregTran@gmail.com"/>
    <x v="1"/>
    <x v="6"/>
    <x v="630"/>
    <n v="431.976"/>
    <n v="3"/>
    <n v="26.9985"/>
    <x v="0"/>
    <n v="12"/>
    <x v="1"/>
    <n v="7"/>
    <n v="6"/>
    <n v="6.25"/>
    <n v="143.99199999999999"/>
    <x v="0"/>
    <x v="0"/>
    <x v="1"/>
  </r>
  <r>
    <s v="US-2013-169040"/>
    <d v="2013-12-07T00:00:00"/>
    <d v="2013-12-13T00:00:00"/>
    <s v="GregTran@gmail.com"/>
    <x v="1"/>
    <x v="12"/>
    <x v="631"/>
    <n v="35.89"/>
    <n v="1"/>
    <n v="16.150500000000001"/>
    <x v="0"/>
    <n v="12"/>
    <x v="1"/>
    <n v="7"/>
    <n v="6"/>
    <n v="45"/>
    <n v="35.89"/>
    <x v="0"/>
    <x v="0"/>
    <x v="0"/>
  </r>
  <r>
    <s v="US-2013-169040"/>
    <d v="2013-12-07T00:00:00"/>
    <d v="2013-12-13T00:00:00"/>
    <s v="GregTran@gmail.com"/>
    <x v="1"/>
    <x v="3"/>
    <x v="214"/>
    <n v="47.207999999999998"/>
    <n v="7"/>
    <n v="15.342599999999999"/>
    <x v="0"/>
    <n v="12"/>
    <x v="1"/>
    <n v="7"/>
    <n v="6"/>
    <n v="32.5"/>
    <n v="6.7439999999999998"/>
    <x v="0"/>
    <x v="0"/>
    <x v="0"/>
  </r>
  <r>
    <s v="US-2013-169040"/>
    <d v="2013-12-07T00:00:00"/>
    <d v="2013-12-13T00:00:00"/>
    <s v="GregTran@gmail.com"/>
    <x v="1"/>
    <x v="8"/>
    <x v="33"/>
    <n v="248.08"/>
    <n v="7"/>
    <n v="116.5976"/>
    <x v="0"/>
    <n v="12"/>
    <x v="1"/>
    <n v="7"/>
    <n v="6"/>
    <n v="47"/>
    <n v="35.44"/>
    <x v="0"/>
    <x v="0"/>
    <x v="1"/>
  </r>
  <r>
    <s v="US-2013-169040"/>
    <d v="2013-12-07T00:00:00"/>
    <d v="2013-12-13T00:00:00"/>
    <s v="GregTran@gmail.com"/>
    <x v="1"/>
    <x v="8"/>
    <x v="632"/>
    <n v="189.7"/>
    <n v="5"/>
    <n v="89.159000000000006"/>
    <x v="0"/>
    <n v="12"/>
    <x v="1"/>
    <n v="7"/>
    <n v="6"/>
    <n v="47"/>
    <n v="37.94"/>
    <x v="0"/>
    <x v="0"/>
    <x v="0"/>
  </r>
  <r>
    <s v="US-2013-169040"/>
    <d v="2013-12-07T00:00:00"/>
    <d v="2013-12-13T00:00:00"/>
    <s v="GregTran@gmail.com"/>
    <x v="1"/>
    <x v="3"/>
    <x v="131"/>
    <n v="59.808"/>
    <n v="3"/>
    <n v="19.4376"/>
    <x v="0"/>
    <n v="12"/>
    <x v="1"/>
    <n v="7"/>
    <n v="6"/>
    <n v="32.5"/>
    <n v="19.936"/>
    <x v="0"/>
    <x v="0"/>
    <x v="0"/>
  </r>
  <r>
    <s v="CA-2014-126242"/>
    <d v="2014-11-20T00:00:00"/>
    <d v="2014-11-25T00:00:00"/>
    <s v="MickCrebagga@gmail.com"/>
    <x v="0"/>
    <x v="5"/>
    <x v="633"/>
    <n v="305.01"/>
    <n v="9"/>
    <n v="76.252499999999998"/>
    <x v="3"/>
    <n v="11"/>
    <x v="6"/>
    <n v="20"/>
    <n v="5"/>
    <n v="25"/>
    <n v="33.89"/>
    <x v="0"/>
    <x v="0"/>
    <x v="1"/>
  </r>
  <r>
    <s v="CA-2014-126242"/>
    <d v="2014-11-20T00:00:00"/>
    <d v="2014-11-25T00:00:00"/>
    <s v="MickCrebagga@gmail.com"/>
    <x v="0"/>
    <x v="1"/>
    <x v="634"/>
    <n v="18.7"/>
    <n v="1"/>
    <n v="7.1059999999999999"/>
    <x v="3"/>
    <n v="11"/>
    <x v="6"/>
    <n v="20"/>
    <n v="5"/>
    <n v="38"/>
    <n v="18.7"/>
    <x v="0"/>
    <x v="0"/>
    <x v="0"/>
  </r>
  <r>
    <s v="CA-2013-166443"/>
    <d v="2013-11-05T00:00:00"/>
    <d v="2013-11-06T00:00:00"/>
    <s v="LisaHazard@gmail.com"/>
    <x v="3"/>
    <x v="1"/>
    <x v="635"/>
    <n v="38.29"/>
    <n v="7"/>
    <n v="16.464700000000001"/>
    <x v="0"/>
    <n v="11"/>
    <x v="6"/>
    <n v="5"/>
    <n v="1"/>
    <n v="43"/>
    <n v="5.47"/>
    <x v="0"/>
    <x v="0"/>
    <x v="0"/>
  </r>
  <r>
    <s v="CA-2014-169859"/>
    <d v="2014-12-15T00:00:00"/>
    <d v="2014-12-19T00:00:00"/>
    <s v="MikePelletier@gmail.com"/>
    <x v="16"/>
    <x v="1"/>
    <x v="636"/>
    <n v="26.25"/>
    <n v="3"/>
    <n v="11.025"/>
    <x v="3"/>
    <n v="12"/>
    <x v="1"/>
    <n v="15"/>
    <n v="4"/>
    <n v="42"/>
    <n v="8.75"/>
    <x v="0"/>
    <x v="0"/>
    <x v="0"/>
  </r>
  <r>
    <s v="CA-2014-169859"/>
    <d v="2014-12-15T00:00:00"/>
    <d v="2014-12-19T00:00:00"/>
    <s v="MikePelletier@gmail.com"/>
    <x v="16"/>
    <x v="3"/>
    <x v="637"/>
    <n v="64.959999999999994"/>
    <n v="14"/>
    <n v="22.736000000000001"/>
    <x v="3"/>
    <n v="12"/>
    <x v="1"/>
    <n v="15"/>
    <n v="4"/>
    <n v="35"/>
    <n v="4.6399999999999997"/>
    <x v="0"/>
    <x v="0"/>
    <x v="0"/>
  </r>
  <r>
    <s v="CA-2014-169859"/>
    <d v="2014-12-15T00:00:00"/>
    <d v="2014-12-19T00:00:00"/>
    <s v="MikePelletier@gmail.com"/>
    <x v="16"/>
    <x v="12"/>
    <x v="558"/>
    <n v="43.7"/>
    <n v="5"/>
    <n v="20.539000000000001"/>
    <x v="3"/>
    <n v="12"/>
    <x v="1"/>
    <n v="15"/>
    <n v="4"/>
    <n v="47"/>
    <n v="8.74"/>
    <x v="0"/>
    <x v="0"/>
    <x v="0"/>
  </r>
  <r>
    <s v="CA-2014-134915"/>
    <d v="2014-11-13T00:00:00"/>
    <d v="2014-11-13T00:00:00"/>
    <s v="EugeneMoren@gmail.com"/>
    <x v="62"/>
    <x v="7"/>
    <x v="638"/>
    <n v="41.6"/>
    <n v="4"/>
    <n v="13"/>
    <x v="3"/>
    <n v="11"/>
    <x v="6"/>
    <n v="13"/>
    <n v="0"/>
    <n v="31.25"/>
    <n v="10.4"/>
    <x v="0"/>
    <x v="0"/>
    <x v="0"/>
  </r>
  <r>
    <s v="CA-2014-134915"/>
    <d v="2014-11-13T00:00:00"/>
    <d v="2014-11-13T00:00:00"/>
    <s v="EugeneMoren@gmail.com"/>
    <x v="62"/>
    <x v="8"/>
    <x v="639"/>
    <n v="23.12"/>
    <n v="5"/>
    <n v="8.3810000000000002"/>
    <x v="3"/>
    <n v="11"/>
    <x v="6"/>
    <n v="13"/>
    <n v="0"/>
    <n v="36.25"/>
    <n v="4.6240000000000014"/>
    <x v="0"/>
    <x v="0"/>
    <x v="0"/>
  </r>
  <r>
    <s v="CA-2014-134915"/>
    <d v="2014-11-13T00:00:00"/>
    <d v="2014-11-13T00:00:00"/>
    <s v="EugeneMoren@gmail.com"/>
    <x v="62"/>
    <x v="9"/>
    <x v="640"/>
    <n v="113.88800000000001"/>
    <n v="2"/>
    <n v="9.9651999999999994"/>
    <x v="3"/>
    <n v="11"/>
    <x v="6"/>
    <n v="13"/>
    <n v="0"/>
    <n v="8.75"/>
    <n v="56.944000000000003"/>
    <x v="0"/>
    <x v="0"/>
    <x v="0"/>
  </r>
  <r>
    <s v="CA-2014-134915"/>
    <d v="2014-11-13T00:00:00"/>
    <d v="2014-11-13T00:00:00"/>
    <s v="EugeneMoren@gmail.com"/>
    <x v="62"/>
    <x v="1"/>
    <x v="641"/>
    <n v="113.568"/>
    <n v="2"/>
    <n v="-5.6783999999999999"/>
    <x v="3"/>
    <n v="11"/>
    <x v="6"/>
    <n v="13"/>
    <n v="0"/>
    <n v="-5"/>
    <n v="56.783999999999999"/>
    <x v="0"/>
    <x v="1"/>
    <x v="0"/>
  </r>
  <r>
    <s v="CA-2014-134915"/>
    <d v="2014-11-13T00:00:00"/>
    <d v="2014-11-13T00:00:00"/>
    <s v="EugeneMoren@gmail.com"/>
    <x v="62"/>
    <x v="6"/>
    <x v="642"/>
    <n v="7.92"/>
    <n v="2"/>
    <n v="0.69299999999999995"/>
    <x v="3"/>
    <n v="11"/>
    <x v="6"/>
    <n v="13"/>
    <n v="0"/>
    <n v="8.75"/>
    <n v="3.96"/>
    <x v="0"/>
    <x v="0"/>
    <x v="0"/>
  </r>
  <r>
    <s v="CA-2012-158456"/>
    <d v="2012-12-24T00:00:00"/>
    <d v="2012-12-29T00:00:00"/>
    <s v="KeanTakahito@gmail.com"/>
    <x v="0"/>
    <x v="3"/>
    <x v="256"/>
    <n v="19.936"/>
    <n v="4"/>
    <n v="7.2267999999999999"/>
    <x v="2"/>
    <n v="12"/>
    <x v="1"/>
    <n v="24"/>
    <n v="5"/>
    <n v="36.25"/>
    <n v="4.984"/>
    <x v="0"/>
    <x v="0"/>
    <x v="0"/>
  </r>
  <r>
    <s v="CA-2012-158456"/>
    <d v="2012-12-24T00:00:00"/>
    <d v="2012-12-29T00:00:00"/>
    <s v="KeanTakahito@gmail.com"/>
    <x v="0"/>
    <x v="10"/>
    <x v="77"/>
    <n v="45.92"/>
    <n v="4"/>
    <n v="21.5824"/>
    <x v="2"/>
    <n v="12"/>
    <x v="1"/>
    <n v="24"/>
    <n v="5"/>
    <n v="47"/>
    <n v="11.48"/>
    <x v="0"/>
    <x v="0"/>
    <x v="0"/>
  </r>
  <r>
    <s v="CA-2014-143665"/>
    <d v="2014-04-27T00:00:00"/>
    <d v="2014-05-02T00:00:00"/>
    <s v="PhilisseOvercash@gmail.com"/>
    <x v="1"/>
    <x v="8"/>
    <x v="342"/>
    <n v="20.34"/>
    <n v="3"/>
    <n v="9.3564000000000007"/>
    <x v="3"/>
    <n v="4"/>
    <x v="10"/>
    <n v="27"/>
    <n v="5"/>
    <n v="46"/>
    <n v="6.78"/>
    <x v="0"/>
    <x v="0"/>
    <x v="0"/>
  </r>
  <r>
    <s v="CA-2014-143665"/>
    <d v="2014-04-27T00:00:00"/>
    <d v="2014-05-02T00:00:00"/>
    <s v="PhilisseOvercash@gmail.com"/>
    <x v="1"/>
    <x v="0"/>
    <x v="643"/>
    <n v="39.28"/>
    <n v="8"/>
    <n v="19.247199999999999"/>
    <x v="3"/>
    <n v="4"/>
    <x v="10"/>
    <n v="27"/>
    <n v="5"/>
    <n v="49"/>
    <n v="4.91"/>
    <x v="0"/>
    <x v="0"/>
    <x v="0"/>
  </r>
  <r>
    <s v="CA-2014-137428"/>
    <d v="2014-12-17T00:00:00"/>
    <d v="2014-12-22T00:00:00"/>
    <s v="AndyYotov@gmail.com"/>
    <x v="49"/>
    <x v="9"/>
    <x v="532"/>
    <n v="81.567999999999998"/>
    <n v="2"/>
    <n v="9.1763999999999992"/>
    <x v="3"/>
    <n v="12"/>
    <x v="1"/>
    <n v="17"/>
    <n v="5"/>
    <n v="11.25"/>
    <n v="40.783999999999999"/>
    <x v="0"/>
    <x v="0"/>
    <x v="0"/>
  </r>
  <r>
    <s v="CA-2014-137428"/>
    <d v="2014-12-17T00:00:00"/>
    <d v="2014-12-22T00:00:00"/>
    <s v="AndyYotov@gmail.com"/>
    <x v="49"/>
    <x v="9"/>
    <x v="54"/>
    <n v="97.183999999999997"/>
    <n v="2"/>
    <n v="6.0739999999999998"/>
    <x v="3"/>
    <n v="12"/>
    <x v="1"/>
    <n v="17"/>
    <n v="5"/>
    <n v="6.25"/>
    <n v="48.591999999999999"/>
    <x v="0"/>
    <x v="0"/>
    <x v="0"/>
  </r>
  <r>
    <s v="CA-2014-137428"/>
    <d v="2014-12-17T00:00:00"/>
    <d v="2014-12-22T00:00:00"/>
    <s v="AndyYotov@gmail.com"/>
    <x v="49"/>
    <x v="3"/>
    <x v="339"/>
    <n v="24.32"/>
    <n v="5"/>
    <n v="8.2080000000000002"/>
    <x v="3"/>
    <n v="12"/>
    <x v="1"/>
    <n v="17"/>
    <n v="5"/>
    <n v="33.75"/>
    <n v="4.8639999999999999"/>
    <x v="0"/>
    <x v="0"/>
    <x v="0"/>
  </r>
  <r>
    <s v="CA-2014-137428"/>
    <d v="2014-12-17T00:00:00"/>
    <d v="2014-12-22T00:00:00"/>
    <s v="AndyYotov@gmail.com"/>
    <x v="49"/>
    <x v="1"/>
    <x v="644"/>
    <n v="18.96"/>
    <n v="2"/>
    <n v="7.5839999999999996"/>
    <x v="3"/>
    <n v="12"/>
    <x v="1"/>
    <n v="17"/>
    <n v="5"/>
    <n v="40"/>
    <n v="9.48"/>
    <x v="0"/>
    <x v="0"/>
    <x v="0"/>
  </r>
  <r>
    <s v="CA-2011-131310"/>
    <d v="2011-07-12T00:00:00"/>
    <d v="2011-07-18T00:00:00"/>
    <s v="ClayLudtke@gmail.com"/>
    <x v="1"/>
    <x v="9"/>
    <x v="645"/>
    <n v="123.136"/>
    <n v="4"/>
    <n v="13.8528"/>
    <x v="1"/>
    <n v="7"/>
    <x v="5"/>
    <n v="12"/>
    <n v="6"/>
    <n v="11.25"/>
    <n v="30.783999999999999"/>
    <x v="0"/>
    <x v="0"/>
    <x v="0"/>
  </r>
  <r>
    <s v="CA-2011-131310"/>
    <d v="2011-07-12T00:00:00"/>
    <d v="2011-07-18T00:00:00"/>
    <s v="ClayLudtke@gmail.com"/>
    <x v="1"/>
    <x v="3"/>
    <x v="646"/>
    <n v="11.263999999999999"/>
    <n v="4"/>
    <n v="3.8016000000000001"/>
    <x v="1"/>
    <n v="7"/>
    <x v="5"/>
    <n v="12"/>
    <n v="6"/>
    <n v="33.75"/>
    <n v="2.8159999999999998"/>
    <x v="0"/>
    <x v="0"/>
    <x v="0"/>
  </r>
  <r>
    <s v="US-2011-112872"/>
    <d v="2011-12-06T00:00:00"/>
    <d v="2011-12-11T00:00:00"/>
    <s v="RyanCrowe@gmail.com"/>
    <x v="77"/>
    <x v="5"/>
    <x v="224"/>
    <n v="53.423999999999999"/>
    <n v="3"/>
    <n v="4.6745999999999999"/>
    <x v="1"/>
    <n v="12"/>
    <x v="1"/>
    <n v="6"/>
    <n v="5"/>
    <n v="8.75"/>
    <n v="17.808"/>
    <x v="0"/>
    <x v="0"/>
    <x v="0"/>
  </r>
  <r>
    <s v="US-2011-112872"/>
    <d v="2011-12-06T00:00:00"/>
    <d v="2011-12-11T00:00:00"/>
    <s v="RyanCrowe@gmail.com"/>
    <x v="77"/>
    <x v="13"/>
    <x v="647"/>
    <n v="275.49"/>
    <n v="1"/>
    <n v="-170.8038"/>
    <x v="1"/>
    <n v="12"/>
    <x v="1"/>
    <n v="6"/>
    <n v="5"/>
    <n v="-62"/>
    <n v="275.49"/>
    <x v="0"/>
    <x v="1"/>
    <x v="1"/>
  </r>
  <r>
    <s v="CA-2013-139010"/>
    <d v="2013-02-21T00:00:00"/>
    <d v="2013-02-26T00:00:00"/>
    <s v="MatthewClasen@gmail.com"/>
    <x v="0"/>
    <x v="7"/>
    <x v="648"/>
    <n v="12.99"/>
    <n v="1"/>
    <n v="0.77939999999999998"/>
    <x v="0"/>
    <n v="2"/>
    <x v="11"/>
    <n v="21"/>
    <n v="5"/>
    <n v="6"/>
    <n v="12.99"/>
    <x v="0"/>
    <x v="0"/>
    <x v="0"/>
  </r>
  <r>
    <s v="CA-2013-139010"/>
    <d v="2013-02-21T00:00:00"/>
    <d v="2013-02-26T00:00:00"/>
    <s v="MatthewClasen@gmail.com"/>
    <x v="0"/>
    <x v="3"/>
    <x v="637"/>
    <n v="18.559999999999999"/>
    <n v="4"/>
    <n v="6.4960000000000004"/>
    <x v="0"/>
    <n v="2"/>
    <x v="11"/>
    <n v="21"/>
    <n v="5"/>
    <n v="35"/>
    <n v="4.6399999999999997"/>
    <x v="0"/>
    <x v="0"/>
    <x v="0"/>
  </r>
  <r>
    <s v="CA-2013-139010"/>
    <d v="2013-02-21T00:00:00"/>
    <d v="2013-02-26T00:00:00"/>
    <s v="MatthewClasen@gmail.com"/>
    <x v="0"/>
    <x v="5"/>
    <x v="196"/>
    <n v="449.15"/>
    <n v="5"/>
    <n v="8.9830000000000005"/>
    <x v="0"/>
    <n v="2"/>
    <x v="11"/>
    <n v="21"/>
    <n v="5"/>
    <n v="2"/>
    <n v="89.83"/>
    <x v="0"/>
    <x v="0"/>
    <x v="1"/>
  </r>
  <r>
    <s v="CA-2013-139010"/>
    <d v="2013-02-21T00:00:00"/>
    <d v="2013-02-26T00:00:00"/>
    <s v="MatthewClasen@gmail.com"/>
    <x v="0"/>
    <x v="3"/>
    <x v="649"/>
    <n v="31.248000000000001"/>
    <n v="7"/>
    <n v="10.9368"/>
    <x v="0"/>
    <n v="2"/>
    <x v="11"/>
    <n v="21"/>
    <n v="5"/>
    <n v="35"/>
    <n v="4.4640000000000004"/>
    <x v="0"/>
    <x v="0"/>
    <x v="0"/>
  </r>
  <r>
    <s v="CA-2013-112893"/>
    <d v="2013-09-10T00:00:00"/>
    <d v="2013-09-14T00:00:00"/>
    <s v="AnnieThurman@gmail.com"/>
    <x v="84"/>
    <x v="3"/>
    <x v="650"/>
    <n v="55.36"/>
    <n v="4"/>
    <n v="18.684000000000001"/>
    <x v="0"/>
    <n v="9"/>
    <x v="8"/>
    <n v="10"/>
    <n v="4"/>
    <n v="33.75"/>
    <n v="13.84"/>
    <x v="0"/>
    <x v="0"/>
    <x v="0"/>
  </r>
  <r>
    <s v="US-2011-150532"/>
    <d v="2011-07-14T00:00:00"/>
    <d v="2011-07-21T00:00:00"/>
    <s v="PhilipBrown@gmail.com"/>
    <x v="7"/>
    <x v="5"/>
    <x v="651"/>
    <n v="55.92"/>
    <n v="5"/>
    <n v="6.2910000000000004"/>
    <x v="1"/>
    <n v="7"/>
    <x v="5"/>
    <n v="14"/>
    <n v="7"/>
    <n v="11.25"/>
    <n v="11.183999999999999"/>
    <x v="0"/>
    <x v="0"/>
    <x v="0"/>
  </r>
  <r>
    <s v="CA-2011-130729"/>
    <d v="2011-10-24T00:00:00"/>
    <d v="2011-10-29T00:00:00"/>
    <s v="AllenArmold@gmail.com"/>
    <x v="83"/>
    <x v="3"/>
    <x v="652"/>
    <n v="34.271999999999998"/>
    <n v="3"/>
    <n v="11.138400000000001"/>
    <x v="1"/>
    <n v="10"/>
    <x v="7"/>
    <n v="24"/>
    <n v="5"/>
    <n v="32.5"/>
    <n v="11.423999999999999"/>
    <x v="0"/>
    <x v="0"/>
    <x v="0"/>
  </r>
  <r>
    <s v="CA-2014-134845"/>
    <d v="2014-04-18T00:00:00"/>
    <d v="2014-04-24T00:00:00"/>
    <s v="SharelleRoach@gmail.com"/>
    <x v="28"/>
    <x v="3"/>
    <x v="653"/>
    <n v="12.03"/>
    <n v="5"/>
    <n v="-9.2230000000000008"/>
    <x v="3"/>
    <n v="4"/>
    <x v="10"/>
    <n v="18"/>
    <n v="6"/>
    <n v="-76.67"/>
    <n v="2.4060000000000001"/>
    <x v="0"/>
    <x v="1"/>
    <x v="0"/>
  </r>
  <r>
    <s v="CA-2014-134845"/>
    <d v="2014-04-18T00:00:00"/>
    <d v="2014-04-24T00:00:00"/>
    <s v="SharelleRoach@gmail.com"/>
    <x v="28"/>
    <x v="3"/>
    <x v="654"/>
    <n v="21.594000000000001"/>
    <n v="2"/>
    <n v="-15.835599999999999"/>
    <x v="3"/>
    <n v="4"/>
    <x v="10"/>
    <n v="18"/>
    <n v="6"/>
    <n v="-73.33"/>
    <n v="10.797000000000001"/>
    <x v="0"/>
    <x v="1"/>
    <x v="0"/>
  </r>
  <r>
    <s v="CA-2014-134845"/>
    <d v="2014-04-18T00:00:00"/>
    <d v="2014-04-24T00:00:00"/>
    <s v="SharelleRoach@gmail.com"/>
    <x v="28"/>
    <x v="3"/>
    <x v="186"/>
    <n v="8.9640000000000004"/>
    <n v="6"/>
    <n v="-6.5735999999999999"/>
    <x v="3"/>
    <n v="4"/>
    <x v="10"/>
    <n v="18"/>
    <n v="6"/>
    <n v="-73.33"/>
    <n v="1.494"/>
    <x v="0"/>
    <x v="1"/>
    <x v="0"/>
  </r>
  <r>
    <s v="CA-2014-134845"/>
    <d v="2014-04-18T00:00:00"/>
    <d v="2014-04-24T00:00:00"/>
    <s v="SharelleRoach@gmail.com"/>
    <x v="28"/>
    <x v="8"/>
    <x v="163"/>
    <n v="20.736000000000001"/>
    <n v="4"/>
    <n v="7.2576000000000001"/>
    <x v="3"/>
    <n v="4"/>
    <x v="10"/>
    <n v="18"/>
    <n v="6"/>
    <n v="35"/>
    <n v="5.1840000000000002"/>
    <x v="0"/>
    <x v="0"/>
    <x v="0"/>
  </r>
  <r>
    <s v="CA-2012-123568"/>
    <d v="2012-11-08T00:00:00"/>
    <d v="2012-11-14T00:00:00"/>
    <s v="SanjitChand@gmail.com"/>
    <x v="2"/>
    <x v="10"/>
    <x v="655"/>
    <n v="5.04"/>
    <n v="3"/>
    <n v="0.2016"/>
    <x v="2"/>
    <n v="11"/>
    <x v="6"/>
    <n v="8"/>
    <n v="6"/>
    <n v="4"/>
    <n v="1.68"/>
    <x v="0"/>
    <x v="0"/>
    <x v="0"/>
  </r>
  <r>
    <s v="CA-2012-123568"/>
    <d v="2012-11-08T00:00:00"/>
    <d v="2012-11-14T00:00:00"/>
    <s v="SanjitChand@gmail.com"/>
    <x v="2"/>
    <x v="8"/>
    <x v="505"/>
    <n v="92.94"/>
    <n v="3"/>
    <n v="41.823"/>
    <x v="2"/>
    <n v="11"/>
    <x v="6"/>
    <n v="8"/>
    <n v="6"/>
    <n v="45"/>
    <n v="30.98"/>
    <x v="0"/>
    <x v="0"/>
    <x v="0"/>
  </r>
  <r>
    <s v="CA-2012-123568"/>
    <d v="2012-11-08T00:00:00"/>
    <d v="2012-11-14T00:00:00"/>
    <s v="SanjitChand@gmail.com"/>
    <x v="2"/>
    <x v="1"/>
    <x v="204"/>
    <n v="66.69"/>
    <n v="3"/>
    <n v="22.0077"/>
    <x v="2"/>
    <n v="11"/>
    <x v="6"/>
    <n v="8"/>
    <n v="6"/>
    <n v="33"/>
    <n v="22.23"/>
    <x v="0"/>
    <x v="0"/>
    <x v="0"/>
  </r>
  <r>
    <s v="CA-2012-123568"/>
    <d v="2012-11-08T00:00:00"/>
    <d v="2012-11-14T00:00:00"/>
    <s v="SanjitChand@gmail.com"/>
    <x v="2"/>
    <x v="3"/>
    <x v="343"/>
    <n v="91.68"/>
    <n v="5"/>
    <n v="28.65"/>
    <x v="2"/>
    <n v="11"/>
    <x v="6"/>
    <n v="8"/>
    <n v="6"/>
    <n v="31.25"/>
    <n v="18.335999999999999"/>
    <x v="0"/>
    <x v="0"/>
    <x v="0"/>
  </r>
  <r>
    <s v="CA-2011-106719"/>
    <d v="2011-08-24T00:00:00"/>
    <d v="2011-08-24T00:00:00"/>
    <s v="RobertBarroso@gmail.com"/>
    <x v="105"/>
    <x v="3"/>
    <x v="656"/>
    <n v="8.2880000000000003"/>
    <n v="2"/>
    <n v="2.6936"/>
    <x v="1"/>
    <n v="8"/>
    <x v="3"/>
    <n v="24"/>
    <n v="0"/>
    <n v="32.5"/>
    <n v="4.1440000000000001"/>
    <x v="0"/>
    <x v="0"/>
    <x v="0"/>
  </r>
  <r>
    <s v="US-2013-164189"/>
    <d v="2013-03-25T00:00:00"/>
    <d v="2013-03-29T00:00:00"/>
    <s v="DanReichenbach@gmail.com"/>
    <x v="106"/>
    <x v="6"/>
    <x v="657"/>
    <n v="403.16800000000001"/>
    <n v="4"/>
    <n v="25.198"/>
    <x v="0"/>
    <n v="3"/>
    <x v="9"/>
    <n v="25"/>
    <n v="4"/>
    <n v="6.25"/>
    <n v="100.792"/>
    <x v="0"/>
    <x v="0"/>
    <x v="1"/>
  </r>
  <r>
    <s v="US-2013-114293"/>
    <d v="2013-11-22T00:00:00"/>
    <d v="2013-11-27T00:00:00"/>
    <s v="JustinHirsh@gmail.com"/>
    <x v="106"/>
    <x v="9"/>
    <x v="474"/>
    <n v="195.136"/>
    <n v="4"/>
    <n v="-12.196"/>
    <x v="0"/>
    <n v="11"/>
    <x v="6"/>
    <n v="22"/>
    <n v="5"/>
    <n v="-6.25"/>
    <n v="48.783999999999999"/>
    <x v="0"/>
    <x v="1"/>
    <x v="0"/>
  </r>
  <r>
    <s v="CA-2014-101749"/>
    <d v="2014-10-04T00:00:00"/>
    <d v="2014-10-09T00:00:00"/>
    <s v="AaronSmayling@gmail.com"/>
    <x v="59"/>
    <x v="13"/>
    <x v="658"/>
    <n v="171.28800000000001"/>
    <n v="3"/>
    <n v="-6.4233000000000002"/>
    <x v="3"/>
    <n v="10"/>
    <x v="7"/>
    <n v="4"/>
    <n v="5"/>
    <n v="-3.75"/>
    <n v="57.095999999999997"/>
    <x v="0"/>
    <x v="1"/>
    <x v="0"/>
  </r>
  <r>
    <s v="CA-2014-149559"/>
    <d v="2014-09-12T00:00:00"/>
    <d v="2014-09-13T00:00:00"/>
    <s v="KarenFerguson@gmail.com"/>
    <x v="21"/>
    <x v="8"/>
    <x v="302"/>
    <n v="12.96"/>
    <n v="2"/>
    <n v="6.2207999999999997"/>
    <x v="3"/>
    <n v="9"/>
    <x v="8"/>
    <n v="12"/>
    <n v="1"/>
    <n v="48"/>
    <n v="6.48"/>
    <x v="0"/>
    <x v="0"/>
    <x v="0"/>
  </r>
  <r>
    <s v="CA-2014-149559"/>
    <d v="2014-09-12T00:00:00"/>
    <d v="2014-09-13T00:00:00"/>
    <s v="KarenFerguson@gmail.com"/>
    <x v="21"/>
    <x v="12"/>
    <x v="659"/>
    <n v="22.18"/>
    <n v="2"/>
    <n v="10.8682"/>
    <x v="3"/>
    <n v="9"/>
    <x v="8"/>
    <n v="12"/>
    <n v="1"/>
    <n v="49"/>
    <n v="11.09"/>
    <x v="0"/>
    <x v="0"/>
    <x v="0"/>
  </r>
  <r>
    <s v="CA-2011-137351"/>
    <d v="2011-09-30T00:00:00"/>
    <d v="2011-10-04T00:00:00"/>
    <s v="DougBickford@gmail.com"/>
    <x v="1"/>
    <x v="3"/>
    <x v="3"/>
    <n v="43.176000000000002"/>
    <n v="7"/>
    <n v="13.4925"/>
    <x v="1"/>
    <n v="9"/>
    <x v="8"/>
    <n v="30"/>
    <n v="4"/>
    <n v="31.25"/>
    <n v="6.1680000000000001"/>
    <x v="0"/>
    <x v="0"/>
    <x v="0"/>
  </r>
  <r>
    <s v="US-2014-148054"/>
    <d v="2014-10-07T00:00:00"/>
    <d v="2014-10-12T00:00:00"/>
    <s v="NickZandusky@gmail.com"/>
    <x v="107"/>
    <x v="1"/>
    <x v="660"/>
    <n v="41.96"/>
    <n v="2"/>
    <n v="2.9371999999999998"/>
    <x v="3"/>
    <n v="10"/>
    <x v="7"/>
    <n v="7"/>
    <n v="5"/>
    <n v="7"/>
    <n v="20.98"/>
    <x v="0"/>
    <x v="0"/>
    <x v="0"/>
  </r>
  <r>
    <s v="US-2014-148054"/>
    <d v="2014-10-07T00:00:00"/>
    <d v="2014-10-12T00:00:00"/>
    <s v="NickZandusky@gmail.com"/>
    <x v="107"/>
    <x v="4"/>
    <x v="661"/>
    <n v="227.84"/>
    <n v="4"/>
    <n v="66.073599999999999"/>
    <x v="3"/>
    <n v="10"/>
    <x v="7"/>
    <n v="7"/>
    <n v="5"/>
    <n v="29"/>
    <n v="56.96"/>
    <x v="0"/>
    <x v="0"/>
    <x v="1"/>
  </r>
  <r>
    <s v="US-2014-148054"/>
    <d v="2014-10-07T00:00:00"/>
    <d v="2014-10-12T00:00:00"/>
    <s v="NickZandusky@gmail.com"/>
    <x v="107"/>
    <x v="8"/>
    <x v="481"/>
    <n v="37.94"/>
    <n v="2"/>
    <n v="18.211200000000002"/>
    <x v="3"/>
    <n v="10"/>
    <x v="7"/>
    <n v="7"/>
    <n v="5"/>
    <n v="48"/>
    <n v="18.97"/>
    <x v="0"/>
    <x v="0"/>
    <x v="0"/>
  </r>
  <r>
    <s v="CA-2014-131492"/>
    <d v="2014-10-20T00:00:00"/>
    <d v="2014-10-25T00:00:00"/>
    <s v="HilaryHolden@gmail.com"/>
    <x v="3"/>
    <x v="12"/>
    <x v="662"/>
    <n v="8.9600000000000009"/>
    <n v="2"/>
    <n v="4.3007999999999997"/>
    <x v="3"/>
    <n v="10"/>
    <x v="7"/>
    <n v="20"/>
    <n v="5"/>
    <n v="48"/>
    <n v="4.4800000000000004"/>
    <x v="0"/>
    <x v="0"/>
    <x v="0"/>
  </r>
  <r>
    <s v="CA-2014-131492"/>
    <d v="2014-10-20T00:00:00"/>
    <d v="2014-10-25T00:00:00"/>
    <s v="HilaryHolden@gmail.com"/>
    <x v="3"/>
    <x v="0"/>
    <x v="375"/>
    <n v="31.5"/>
    <n v="10"/>
    <n v="15.12"/>
    <x v="3"/>
    <n v="10"/>
    <x v="7"/>
    <n v="20"/>
    <n v="5"/>
    <n v="48"/>
    <n v="3.15"/>
    <x v="0"/>
    <x v="0"/>
    <x v="0"/>
  </r>
  <r>
    <s v="CA-2014-131492"/>
    <d v="2014-10-20T00:00:00"/>
    <d v="2014-10-25T00:00:00"/>
    <s v="HilaryHolden@gmail.com"/>
    <x v="3"/>
    <x v="1"/>
    <x v="663"/>
    <n v="30.56"/>
    <n v="2"/>
    <n v="10.3904"/>
    <x v="3"/>
    <n v="10"/>
    <x v="7"/>
    <n v="20"/>
    <n v="5"/>
    <n v="34"/>
    <n v="15.28"/>
    <x v="0"/>
    <x v="0"/>
    <x v="0"/>
  </r>
  <r>
    <s v="CA-2014-131492"/>
    <d v="2014-10-20T00:00:00"/>
    <d v="2014-10-25T00:00:00"/>
    <s v="HilaryHolden@gmail.com"/>
    <x v="3"/>
    <x v="13"/>
    <x v="664"/>
    <n v="24.367999999999999"/>
    <n v="2"/>
    <n v="-3.3506"/>
    <x v="3"/>
    <n v="10"/>
    <x v="7"/>
    <n v="20"/>
    <n v="5"/>
    <n v="-13.75"/>
    <n v="12.183999999999999"/>
    <x v="0"/>
    <x v="1"/>
    <x v="0"/>
  </r>
  <r>
    <s v="CA-2014-106859"/>
    <d v="2014-03-14T00:00:00"/>
    <d v="2014-03-19T00:00:00"/>
    <s v="BenjaminFarhat@gmail.com"/>
    <x v="93"/>
    <x v="5"/>
    <x v="665"/>
    <n v="90.8"/>
    <n v="8"/>
    <n v="25.423999999999999"/>
    <x v="3"/>
    <n v="3"/>
    <x v="9"/>
    <n v="14"/>
    <n v="5"/>
    <n v="28"/>
    <n v="11.35"/>
    <x v="0"/>
    <x v="0"/>
    <x v="0"/>
  </r>
  <r>
    <s v="CA-2014-106859"/>
    <d v="2014-03-14T00:00:00"/>
    <d v="2014-03-19T00:00:00"/>
    <s v="BenjaminFarhat@gmail.com"/>
    <x v="93"/>
    <x v="6"/>
    <x v="666"/>
    <n v="140.73599999999999"/>
    <n v="8"/>
    <n v="49.257599999999996"/>
    <x v="3"/>
    <n v="3"/>
    <x v="9"/>
    <n v="14"/>
    <n v="5"/>
    <n v="35"/>
    <n v="17.591999999999999"/>
    <x v="0"/>
    <x v="0"/>
    <x v="0"/>
  </r>
  <r>
    <s v="CA-2014-106859"/>
    <d v="2014-03-14T00:00:00"/>
    <d v="2014-03-19T00:00:00"/>
    <s v="BenjaminFarhat@gmail.com"/>
    <x v="93"/>
    <x v="7"/>
    <x v="667"/>
    <n v="214.95"/>
    <n v="5"/>
    <n v="88.129499999999993"/>
    <x v="3"/>
    <n v="3"/>
    <x v="9"/>
    <n v="14"/>
    <n v="5"/>
    <n v="41"/>
    <n v="42.989999999999988"/>
    <x v="0"/>
    <x v="0"/>
    <x v="0"/>
  </r>
  <r>
    <s v="CA-2014-106859"/>
    <d v="2014-03-14T00:00:00"/>
    <d v="2014-03-19T00:00:00"/>
    <s v="BenjaminFarhat@gmail.com"/>
    <x v="93"/>
    <x v="8"/>
    <x v="668"/>
    <n v="45.36"/>
    <n v="7"/>
    <n v="21.7728"/>
    <x v="3"/>
    <n v="3"/>
    <x v="9"/>
    <n v="14"/>
    <n v="5"/>
    <n v="48"/>
    <n v="6.48"/>
    <x v="0"/>
    <x v="0"/>
    <x v="0"/>
  </r>
  <r>
    <s v="CA-2014-106859"/>
    <d v="2014-03-14T00:00:00"/>
    <d v="2014-03-19T00:00:00"/>
    <s v="BenjaminFarhat@gmail.com"/>
    <x v="93"/>
    <x v="8"/>
    <x v="594"/>
    <n v="288.24"/>
    <n v="6"/>
    <n v="138.3552"/>
    <x v="3"/>
    <n v="3"/>
    <x v="9"/>
    <n v="14"/>
    <n v="5"/>
    <n v="48"/>
    <n v="48.04"/>
    <x v="0"/>
    <x v="0"/>
    <x v="1"/>
  </r>
  <r>
    <s v="CA-2013-125206"/>
    <d v="2013-01-03T00:00:00"/>
    <d v="2013-01-05T00:00:00"/>
    <s v="LenaRadford@gmail.com"/>
    <x v="0"/>
    <x v="5"/>
    <x v="669"/>
    <n v="114.46"/>
    <n v="2"/>
    <n v="28.614999999999998"/>
    <x v="0"/>
    <n v="1"/>
    <x v="4"/>
    <n v="3"/>
    <n v="2"/>
    <n v="25"/>
    <n v="57.23"/>
    <x v="0"/>
    <x v="0"/>
    <x v="0"/>
  </r>
  <r>
    <s v="CA-2012-126137"/>
    <d v="2012-10-03T00:00:00"/>
    <d v="2012-10-08T00:00:00"/>
    <s v="BruceStewart@gmail.com"/>
    <x v="0"/>
    <x v="14"/>
    <x v="466"/>
    <n v="120.666"/>
    <n v="2"/>
    <n v="18.454799999999999"/>
    <x v="2"/>
    <n v="10"/>
    <x v="7"/>
    <n v="3"/>
    <n v="5"/>
    <n v="15.29"/>
    <n v="60.332999999999998"/>
    <x v="0"/>
    <x v="0"/>
    <x v="0"/>
  </r>
  <r>
    <s v="CA-2011-104780"/>
    <d v="2011-05-21T00:00:00"/>
    <d v="2011-05-25T00:00:00"/>
    <s v="BradleyTalbott@gmail.com"/>
    <x v="16"/>
    <x v="2"/>
    <x v="362"/>
    <n v="31.84"/>
    <n v="8"/>
    <n v="10.507199999999999"/>
    <x v="1"/>
    <n v="5"/>
    <x v="2"/>
    <n v="21"/>
    <n v="4"/>
    <n v="33"/>
    <n v="3.98"/>
    <x v="0"/>
    <x v="0"/>
    <x v="0"/>
  </r>
  <r>
    <s v="CA-2014-101182"/>
    <d v="2014-09-05T00:00:00"/>
    <d v="2014-09-06T00:00:00"/>
    <s v="KatrinaBavinger@gmail.com"/>
    <x v="108"/>
    <x v="8"/>
    <x v="287"/>
    <n v="12.96"/>
    <n v="2"/>
    <n v="6.2207999999999997"/>
    <x v="3"/>
    <n v="9"/>
    <x v="8"/>
    <n v="5"/>
    <n v="1"/>
    <n v="48"/>
    <n v="6.48"/>
    <x v="0"/>
    <x v="0"/>
    <x v="0"/>
  </r>
  <r>
    <s v="CA-2014-101182"/>
    <d v="2014-09-05T00:00:00"/>
    <d v="2014-09-06T00:00:00"/>
    <s v="KatrinaBavinger@gmail.com"/>
    <x v="108"/>
    <x v="6"/>
    <x v="670"/>
    <n v="43.176000000000002"/>
    <n v="3"/>
    <n v="15.111599999999999"/>
    <x v="3"/>
    <n v="9"/>
    <x v="8"/>
    <n v="5"/>
    <n v="1"/>
    <n v="35"/>
    <n v="14.391999999999999"/>
    <x v="0"/>
    <x v="0"/>
    <x v="0"/>
  </r>
  <r>
    <s v="CA-2013-150350"/>
    <d v="2013-08-24T00:00:00"/>
    <d v="2013-08-31T00:00:00"/>
    <s v="MaxwellSchwartz@gmail.com"/>
    <x v="1"/>
    <x v="12"/>
    <x v="671"/>
    <n v="135.9"/>
    <n v="5"/>
    <n v="63.872999999999998"/>
    <x v="0"/>
    <n v="8"/>
    <x v="3"/>
    <n v="24"/>
    <n v="7"/>
    <n v="47"/>
    <n v="27.18"/>
    <x v="0"/>
    <x v="0"/>
    <x v="0"/>
  </r>
  <r>
    <s v="CA-2013-150350"/>
    <d v="2013-08-24T00:00:00"/>
    <d v="2013-08-31T00:00:00"/>
    <s v="MaxwellSchwartz@gmail.com"/>
    <x v="1"/>
    <x v="8"/>
    <x v="639"/>
    <n v="34.68"/>
    <n v="6"/>
    <n v="16.993200000000002"/>
    <x v="0"/>
    <n v="8"/>
    <x v="3"/>
    <n v="24"/>
    <n v="7"/>
    <n v="49"/>
    <n v="5.78"/>
    <x v="0"/>
    <x v="0"/>
    <x v="0"/>
  </r>
  <r>
    <s v="CA-2013-150350"/>
    <d v="2013-08-24T00:00:00"/>
    <d v="2013-08-31T00:00:00"/>
    <s v="MaxwellSchwartz@gmail.com"/>
    <x v="1"/>
    <x v="4"/>
    <x v="520"/>
    <n v="43.1"/>
    <n v="5"/>
    <n v="11.206"/>
    <x v="0"/>
    <n v="8"/>
    <x v="3"/>
    <n v="24"/>
    <n v="7"/>
    <n v="26"/>
    <n v="8.620000000000001"/>
    <x v="0"/>
    <x v="0"/>
    <x v="0"/>
  </r>
  <r>
    <s v="CA-2013-150350"/>
    <d v="2013-08-24T00:00:00"/>
    <d v="2013-08-31T00:00:00"/>
    <s v="MaxwellSchwartz@gmail.com"/>
    <x v="1"/>
    <x v="11"/>
    <x v="672"/>
    <n v="15.88"/>
    <n v="4"/>
    <n v="0.1588"/>
    <x v="0"/>
    <n v="8"/>
    <x v="3"/>
    <n v="24"/>
    <n v="7"/>
    <n v="1"/>
    <n v="3.97"/>
    <x v="0"/>
    <x v="0"/>
    <x v="0"/>
  </r>
  <r>
    <s v="CA-2011-136399"/>
    <d v="2011-12-16T00:00:00"/>
    <d v="2011-12-17T00:00:00"/>
    <s v="ChadCunningham@gmail.com"/>
    <x v="0"/>
    <x v="1"/>
    <x v="204"/>
    <n v="44.46"/>
    <n v="2"/>
    <n v="14.671799999999999"/>
    <x v="1"/>
    <n v="12"/>
    <x v="1"/>
    <n v="16"/>
    <n v="1"/>
    <n v="33"/>
    <n v="22.23"/>
    <x v="0"/>
    <x v="0"/>
    <x v="0"/>
  </r>
  <r>
    <s v="CA-2011-136399"/>
    <d v="2011-12-16T00:00:00"/>
    <d v="2011-12-17T00:00:00"/>
    <s v="ChadCunningham@gmail.com"/>
    <x v="0"/>
    <x v="9"/>
    <x v="128"/>
    <n v="241.56800000000001"/>
    <n v="2"/>
    <n v="18.117599999999999"/>
    <x v="1"/>
    <n v="12"/>
    <x v="1"/>
    <n v="16"/>
    <n v="1"/>
    <n v="7.5"/>
    <n v="120.78400000000001"/>
    <x v="0"/>
    <x v="0"/>
    <x v="1"/>
  </r>
  <r>
    <s v="CA-2011-136399"/>
    <d v="2011-12-16T00:00:00"/>
    <d v="2011-12-17T00:00:00"/>
    <s v="ChadCunningham@gmail.com"/>
    <x v="0"/>
    <x v="7"/>
    <x v="181"/>
    <n v="395"/>
    <n v="5"/>
    <n v="39.5"/>
    <x v="1"/>
    <n v="12"/>
    <x v="1"/>
    <n v="16"/>
    <n v="1"/>
    <n v="10"/>
    <n v="79"/>
    <x v="0"/>
    <x v="0"/>
    <x v="1"/>
  </r>
  <r>
    <s v="CA-2014-131828"/>
    <d v="2014-02-12T00:00:00"/>
    <d v="2014-02-14T00:00:00"/>
    <s v="CariSayre@gmail.com"/>
    <x v="1"/>
    <x v="6"/>
    <x v="236"/>
    <n v="88.775999999999996"/>
    <n v="3"/>
    <n v="7.7679"/>
    <x v="3"/>
    <n v="2"/>
    <x v="11"/>
    <n v="12"/>
    <n v="2"/>
    <n v="8.75"/>
    <n v="29.591999999999999"/>
    <x v="0"/>
    <x v="0"/>
    <x v="0"/>
  </r>
  <r>
    <s v="CA-2011-109218"/>
    <d v="2011-06-30T00:00:00"/>
    <d v="2011-07-03T00:00:00"/>
    <s v="AnthonyRawles@gmail.com"/>
    <x v="0"/>
    <x v="2"/>
    <x v="673"/>
    <n v="32.4"/>
    <n v="5"/>
    <n v="10.368"/>
    <x v="1"/>
    <n v="6"/>
    <x v="0"/>
    <n v="30"/>
    <n v="3"/>
    <n v="32"/>
    <n v="6.48"/>
    <x v="0"/>
    <x v="0"/>
    <x v="0"/>
  </r>
  <r>
    <s v="US-2011-109036"/>
    <d v="2011-12-20T00:00:00"/>
    <d v="2011-12-25T00:00:00"/>
    <s v="KeithHerrera@gmail.com"/>
    <x v="1"/>
    <x v="0"/>
    <x v="674"/>
    <n v="31.05"/>
    <n v="3"/>
    <n v="14.904"/>
    <x v="1"/>
    <n v="12"/>
    <x v="1"/>
    <n v="20"/>
    <n v="5"/>
    <n v="48"/>
    <n v="10.35"/>
    <x v="0"/>
    <x v="0"/>
    <x v="0"/>
  </r>
  <r>
    <s v="CA-2011-128986"/>
    <d v="2011-08-03T00:00:00"/>
    <d v="2011-08-05T00:00:00"/>
    <s v="GaryHansen@gmail.com"/>
    <x v="62"/>
    <x v="8"/>
    <x v="675"/>
    <n v="93.024000000000001"/>
    <n v="3"/>
    <n v="33.721200000000003"/>
    <x v="1"/>
    <n v="8"/>
    <x v="3"/>
    <n v="3"/>
    <n v="2"/>
    <n v="36.25"/>
    <n v="31.007999999999999"/>
    <x v="0"/>
    <x v="0"/>
    <x v="0"/>
  </r>
  <r>
    <s v="CA-2011-153969"/>
    <d v="2011-09-21T00:00:00"/>
    <d v="2011-09-25T00:00:00"/>
    <s v="HerbertFlentye@gmail.com"/>
    <x v="3"/>
    <x v="12"/>
    <x v="50"/>
    <n v="15.56"/>
    <n v="2"/>
    <n v="7.3132000000000001"/>
    <x v="1"/>
    <n v="9"/>
    <x v="8"/>
    <n v="21"/>
    <n v="4"/>
    <n v="47"/>
    <n v="7.78"/>
    <x v="0"/>
    <x v="0"/>
    <x v="0"/>
  </r>
  <r>
    <s v="CA-2011-153969"/>
    <d v="2011-09-21T00:00:00"/>
    <d v="2011-09-25T00:00:00"/>
    <s v="HerbertFlentye@gmail.com"/>
    <x v="3"/>
    <x v="12"/>
    <x v="676"/>
    <n v="78.349999999999994"/>
    <n v="5"/>
    <n v="36.8245"/>
    <x v="1"/>
    <n v="9"/>
    <x v="8"/>
    <n v="21"/>
    <n v="4"/>
    <n v="47"/>
    <n v="15.67"/>
    <x v="0"/>
    <x v="0"/>
    <x v="0"/>
  </r>
  <r>
    <s v="CA-2011-153969"/>
    <d v="2011-09-21T00:00:00"/>
    <d v="2011-09-25T00:00:00"/>
    <s v="HerbertFlentye@gmail.com"/>
    <x v="3"/>
    <x v="2"/>
    <x v="677"/>
    <n v="59.52"/>
    <n v="3"/>
    <n v="15.475199999999999"/>
    <x v="1"/>
    <n v="9"/>
    <x v="8"/>
    <n v="21"/>
    <n v="4"/>
    <n v="26"/>
    <n v="19.84"/>
    <x v="0"/>
    <x v="0"/>
    <x v="0"/>
  </r>
  <r>
    <s v="CA-2011-153969"/>
    <d v="2011-09-21T00:00:00"/>
    <d v="2011-09-25T00:00:00"/>
    <s v="HerbertFlentye@gmail.com"/>
    <x v="3"/>
    <x v="8"/>
    <x v="678"/>
    <n v="38.520000000000003"/>
    <n v="9"/>
    <n v="17.334"/>
    <x v="1"/>
    <n v="9"/>
    <x v="8"/>
    <n v="21"/>
    <n v="4"/>
    <n v="45"/>
    <n v="4.28"/>
    <x v="0"/>
    <x v="0"/>
    <x v="0"/>
  </r>
  <r>
    <s v="CA-2011-153969"/>
    <d v="2011-09-21T00:00:00"/>
    <d v="2011-09-25T00:00:00"/>
    <s v="HerbertFlentye@gmail.com"/>
    <x v="3"/>
    <x v="6"/>
    <x v="679"/>
    <n v="239.98400000000001"/>
    <n v="2"/>
    <n v="23.9984"/>
    <x v="1"/>
    <n v="9"/>
    <x v="8"/>
    <n v="21"/>
    <n v="4"/>
    <n v="10"/>
    <n v="119.992"/>
    <x v="0"/>
    <x v="0"/>
    <x v="1"/>
  </r>
  <r>
    <s v="CA-2011-153969"/>
    <d v="2011-09-21T00:00:00"/>
    <d v="2011-09-25T00:00:00"/>
    <s v="HerbertFlentye@gmail.com"/>
    <x v="3"/>
    <x v="8"/>
    <x v="590"/>
    <n v="19.350000000000001"/>
    <n v="3"/>
    <n v="9.4815000000000005"/>
    <x v="1"/>
    <n v="9"/>
    <x v="8"/>
    <n v="21"/>
    <n v="4"/>
    <n v="49"/>
    <n v="6.45"/>
    <x v="0"/>
    <x v="0"/>
    <x v="0"/>
  </r>
  <r>
    <s v="US-2014-132059"/>
    <d v="2014-09-24T00:00:00"/>
    <d v="2014-09-30T00:00:00"/>
    <s v="ArthurPrichep@gmail.com"/>
    <x v="90"/>
    <x v="14"/>
    <x v="680"/>
    <n v="180.58799999999999"/>
    <n v="2"/>
    <n v="-240.78399999999999"/>
    <x v="3"/>
    <n v="9"/>
    <x v="8"/>
    <n v="24"/>
    <n v="6"/>
    <n v="-133.33000000000001"/>
    <n v="90.293999999999997"/>
    <x v="0"/>
    <x v="1"/>
    <x v="0"/>
  </r>
  <r>
    <s v="US-2014-132059"/>
    <d v="2014-09-24T00:00:00"/>
    <d v="2014-09-30T00:00:00"/>
    <s v="ArthurPrichep@gmail.com"/>
    <x v="90"/>
    <x v="7"/>
    <x v="378"/>
    <n v="47.984000000000002"/>
    <n v="2"/>
    <n v="0.5998"/>
    <x v="3"/>
    <n v="9"/>
    <x v="8"/>
    <n v="24"/>
    <n v="6"/>
    <n v="1.25"/>
    <n v="23.992000000000001"/>
    <x v="0"/>
    <x v="0"/>
    <x v="0"/>
  </r>
  <r>
    <s v="US-2014-146416"/>
    <d v="2014-10-21T00:00:00"/>
    <d v="2014-10-23T00:00:00"/>
    <s v="JustinEllison@gmail.com"/>
    <x v="109"/>
    <x v="0"/>
    <x v="681"/>
    <n v="3.75"/>
    <n v="1"/>
    <n v="1.8"/>
    <x v="3"/>
    <n v="10"/>
    <x v="7"/>
    <n v="21"/>
    <n v="2"/>
    <n v="48"/>
    <n v="3.75"/>
    <x v="0"/>
    <x v="0"/>
    <x v="0"/>
  </r>
  <r>
    <s v="US-2014-146416"/>
    <d v="2014-10-21T00:00:00"/>
    <d v="2014-10-23T00:00:00"/>
    <s v="JustinEllison@gmail.com"/>
    <x v="109"/>
    <x v="3"/>
    <x v="682"/>
    <n v="20.928000000000001"/>
    <n v="4"/>
    <n v="7.5864000000000003"/>
    <x v="3"/>
    <n v="10"/>
    <x v="7"/>
    <n v="21"/>
    <n v="2"/>
    <n v="36.25"/>
    <n v="5.2320000000000002"/>
    <x v="0"/>
    <x v="0"/>
    <x v="0"/>
  </r>
  <r>
    <s v="CA-2012-149384"/>
    <d v="2012-07-10T00:00:00"/>
    <d v="2012-07-10T00:00:00"/>
    <s v="EricHoffmann@gmail.com"/>
    <x v="65"/>
    <x v="3"/>
    <x v="683"/>
    <n v="3.3660000000000001"/>
    <n v="3"/>
    <n v="-2.2440000000000002"/>
    <x v="2"/>
    <n v="7"/>
    <x v="5"/>
    <n v="10"/>
    <n v="0"/>
    <n v="-66.67"/>
    <n v="1.1220000000000001"/>
    <x v="0"/>
    <x v="1"/>
    <x v="0"/>
  </r>
  <r>
    <s v="CA-2011-158372"/>
    <d v="2011-11-10T00:00:00"/>
    <d v="2011-11-16T00:00:00"/>
    <s v="RubenDartt@gmail.com"/>
    <x v="16"/>
    <x v="7"/>
    <x v="684"/>
    <n v="10.99"/>
    <n v="1"/>
    <n v="4.2861000000000002"/>
    <x v="1"/>
    <n v="11"/>
    <x v="6"/>
    <n v="10"/>
    <n v="6"/>
    <n v="39"/>
    <n v="10.99"/>
    <x v="0"/>
    <x v="0"/>
    <x v="0"/>
  </r>
  <r>
    <s v="CA-2011-158372"/>
    <d v="2011-11-10T00:00:00"/>
    <d v="2011-11-16T00:00:00"/>
    <s v="RubenDartt@gmail.com"/>
    <x v="16"/>
    <x v="1"/>
    <x v="16"/>
    <n v="39.880000000000003"/>
    <n v="2"/>
    <n v="11.166399999999999"/>
    <x v="1"/>
    <n v="11"/>
    <x v="6"/>
    <n v="10"/>
    <n v="6"/>
    <n v="28"/>
    <n v="19.940000000000001"/>
    <x v="0"/>
    <x v="0"/>
    <x v="0"/>
  </r>
  <r>
    <s v="CA-2011-158372"/>
    <d v="2011-11-10T00:00:00"/>
    <d v="2011-11-16T00:00:00"/>
    <s v="RubenDartt@gmail.com"/>
    <x v="16"/>
    <x v="8"/>
    <x v="685"/>
    <n v="62.24"/>
    <n v="8"/>
    <n v="28.007999999999999"/>
    <x v="1"/>
    <n v="11"/>
    <x v="6"/>
    <n v="10"/>
    <n v="6"/>
    <n v="45"/>
    <n v="7.78"/>
    <x v="0"/>
    <x v="0"/>
    <x v="0"/>
  </r>
  <r>
    <s v="CA-2011-158372"/>
    <d v="2011-11-10T00:00:00"/>
    <d v="2011-11-16T00:00:00"/>
    <s v="RubenDartt@gmail.com"/>
    <x v="16"/>
    <x v="1"/>
    <x v="686"/>
    <n v="53.2"/>
    <n v="5"/>
    <n v="14.896000000000001"/>
    <x v="1"/>
    <n v="11"/>
    <x v="6"/>
    <n v="10"/>
    <n v="6"/>
    <n v="28"/>
    <n v="10.64"/>
    <x v="0"/>
    <x v="0"/>
    <x v="0"/>
  </r>
  <r>
    <s v="CA-2011-158372"/>
    <d v="2011-11-10T00:00:00"/>
    <d v="2011-11-16T00:00:00"/>
    <s v="RubenDartt@gmail.com"/>
    <x v="16"/>
    <x v="0"/>
    <x v="687"/>
    <n v="39.840000000000003"/>
    <n v="8"/>
    <n v="18.3264"/>
    <x v="1"/>
    <n v="11"/>
    <x v="6"/>
    <n v="10"/>
    <n v="6"/>
    <n v="46"/>
    <n v="4.9800000000000004"/>
    <x v="0"/>
    <x v="0"/>
    <x v="0"/>
  </r>
  <r>
    <s v="CA-2013-108882"/>
    <d v="2013-01-09T00:00:00"/>
    <d v="2013-01-15T00:00:00"/>
    <s v="LauraArmstrong@gmail.com"/>
    <x v="57"/>
    <x v="7"/>
    <x v="688"/>
    <n v="349.95"/>
    <n v="5"/>
    <n v="118.983"/>
    <x v="0"/>
    <n v="1"/>
    <x v="4"/>
    <n v="9"/>
    <n v="6"/>
    <n v="34"/>
    <n v="69.989999999999995"/>
    <x v="0"/>
    <x v="0"/>
    <x v="1"/>
  </r>
  <r>
    <s v="CA-2013-108882"/>
    <d v="2013-01-09T00:00:00"/>
    <d v="2013-01-15T00:00:00"/>
    <s v="LauraArmstrong@gmail.com"/>
    <x v="57"/>
    <x v="6"/>
    <x v="17"/>
    <n v="377.928"/>
    <n v="9"/>
    <n v="141.72300000000001"/>
    <x v="0"/>
    <n v="1"/>
    <x v="4"/>
    <n v="9"/>
    <n v="6"/>
    <n v="37.5"/>
    <n v="41.991999999999997"/>
    <x v="0"/>
    <x v="0"/>
    <x v="1"/>
  </r>
  <r>
    <s v="CA-2014-150189"/>
    <d v="2014-07-09T00:00:00"/>
    <d v="2014-07-11T00:00:00"/>
    <s v="VivekGonzalez@gmail.com"/>
    <x v="110"/>
    <x v="0"/>
    <x v="689"/>
    <n v="75.180000000000007"/>
    <n v="6"/>
    <n v="35.334600000000002"/>
    <x v="3"/>
    <n v="7"/>
    <x v="5"/>
    <n v="9"/>
    <n v="2"/>
    <n v="47"/>
    <n v="12.53"/>
    <x v="0"/>
    <x v="0"/>
    <x v="0"/>
  </r>
  <r>
    <s v="CA-2011-114433"/>
    <d v="2011-05-13T00:00:00"/>
    <d v="2011-05-17T00:00:00"/>
    <s v="NaresjPatel@gmail.com"/>
    <x v="52"/>
    <x v="7"/>
    <x v="477"/>
    <n v="149.97"/>
    <n v="3"/>
    <n v="52.4895"/>
    <x v="1"/>
    <n v="5"/>
    <x v="2"/>
    <n v="13"/>
    <n v="4"/>
    <n v="35"/>
    <n v="49.99"/>
    <x v="0"/>
    <x v="0"/>
    <x v="0"/>
  </r>
  <r>
    <s v="CA-2011-108189"/>
    <d v="2011-10-02T00:00:00"/>
    <d v="2011-10-05T00:00:00"/>
    <s v="ErinSmith@gmail.com"/>
    <x v="65"/>
    <x v="8"/>
    <x v="690"/>
    <n v="9.4079999999999995"/>
    <n v="2"/>
    <n v="3.4104000000000001"/>
    <x v="1"/>
    <n v="10"/>
    <x v="7"/>
    <n v="2"/>
    <n v="3"/>
    <n v="36.25"/>
    <n v="4.7039999999999997"/>
    <x v="0"/>
    <x v="0"/>
    <x v="0"/>
  </r>
  <r>
    <s v="CA-2011-108189"/>
    <d v="2011-10-02T00:00:00"/>
    <d v="2011-10-05T00:00:00"/>
    <s v="ErinSmith@gmail.com"/>
    <x v="65"/>
    <x v="10"/>
    <x v="50"/>
    <n v="4.6719999999999997"/>
    <n v="2"/>
    <n v="1.46"/>
    <x v="1"/>
    <n v="10"/>
    <x v="7"/>
    <n v="2"/>
    <n v="3"/>
    <n v="31.25"/>
    <n v="2.3359999999999999"/>
    <x v="0"/>
    <x v="0"/>
    <x v="0"/>
  </r>
  <r>
    <s v="CA-2011-108189"/>
    <d v="2011-10-02T00:00:00"/>
    <d v="2011-10-05T00:00:00"/>
    <s v="ErinSmith@gmail.com"/>
    <x v="65"/>
    <x v="6"/>
    <x v="691"/>
    <n v="318.39999999999998"/>
    <n v="2"/>
    <n v="107.46"/>
    <x v="1"/>
    <n v="10"/>
    <x v="7"/>
    <n v="2"/>
    <n v="3"/>
    <n v="33.75"/>
    <n v="159.19999999999999"/>
    <x v="0"/>
    <x v="0"/>
    <x v="1"/>
  </r>
  <r>
    <s v="CA-2011-108189"/>
    <d v="2011-10-02T00:00:00"/>
    <d v="2011-10-05T00:00:00"/>
    <s v="ErinSmith@gmail.com"/>
    <x v="65"/>
    <x v="12"/>
    <x v="692"/>
    <n v="12.768000000000001"/>
    <n v="6"/>
    <n v="4.6284000000000001"/>
    <x v="1"/>
    <n v="10"/>
    <x v="7"/>
    <n v="2"/>
    <n v="3"/>
    <n v="36.25"/>
    <n v="2.1280000000000001"/>
    <x v="0"/>
    <x v="0"/>
    <x v="0"/>
  </r>
  <r>
    <s v="CA-2011-108189"/>
    <d v="2011-10-02T00:00:00"/>
    <d v="2011-10-05T00:00:00"/>
    <s v="ErinSmith@gmail.com"/>
    <x v="65"/>
    <x v="11"/>
    <x v="693"/>
    <n v="15.36"/>
    <n v="2"/>
    <n v="-3.2639999999999998"/>
    <x v="1"/>
    <n v="10"/>
    <x v="7"/>
    <n v="2"/>
    <n v="3"/>
    <n v="-21.25"/>
    <n v="7.68"/>
    <x v="0"/>
    <x v="1"/>
    <x v="0"/>
  </r>
  <r>
    <s v="CA-2011-108189"/>
    <d v="2011-10-02T00:00:00"/>
    <d v="2011-10-05T00:00:00"/>
    <s v="ErinSmith@gmail.com"/>
    <x v="65"/>
    <x v="6"/>
    <x v="694"/>
    <n v="230.376"/>
    <n v="3"/>
    <n v="20.157900000000001"/>
    <x v="1"/>
    <n v="10"/>
    <x v="7"/>
    <n v="2"/>
    <n v="3"/>
    <n v="8.75"/>
    <n v="76.792000000000002"/>
    <x v="0"/>
    <x v="0"/>
    <x v="1"/>
  </r>
  <r>
    <s v="CA-2011-108189"/>
    <d v="2011-10-02T00:00:00"/>
    <d v="2011-10-05T00:00:00"/>
    <s v="ErinSmith@gmail.com"/>
    <x v="65"/>
    <x v="7"/>
    <x v="414"/>
    <n v="7.16"/>
    <n v="1"/>
    <n v="-8.9499999999999996E-2"/>
    <x v="1"/>
    <n v="10"/>
    <x v="7"/>
    <n v="2"/>
    <n v="3"/>
    <n v="-1.25"/>
    <n v="7.16"/>
    <x v="0"/>
    <x v="1"/>
    <x v="0"/>
  </r>
  <r>
    <s v="CA-2013-138933"/>
    <d v="2013-04-25T00:00:00"/>
    <d v="2013-04-28T00:00:00"/>
    <s v="JackLebron@gmail.com"/>
    <x v="47"/>
    <x v="3"/>
    <x v="186"/>
    <n v="3.984"/>
    <n v="1"/>
    <n v="1.3944000000000001"/>
    <x v="0"/>
    <n v="4"/>
    <x v="10"/>
    <n v="25"/>
    <n v="3"/>
    <n v="35"/>
    <n v="3.984"/>
    <x v="1"/>
    <x v="0"/>
    <x v="0"/>
  </r>
  <r>
    <s v="US-2014-140907"/>
    <d v="2014-12-11T00:00:00"/>
    <d v="2014-12-13T00:00:00"/>
    <s v="BenPeterman@gmail.com"/>
    <x v="1"/>
    <x v="7"/>
    <x v="695"/>
    <n v="49.08"/>
    <n v="3"/>
    <n v="4.9080000000000004"/>
    <x v="3"/>
    <n v="12"/>
    <x v="1"/>
    <n v="11"/>
    <n v="2"/>
    <n v="10"/>
    <n v="16.36"/>
    <x v="0"/>
    <x v="0"/>
    <x v="0"/>
  </r>
  <r>
    <s v="US-2014-140907"/>
    <d v="2014-12-11T00:00:00"/>
    <d v="2014-12-13T00:00:00"/>
    <s v="BenPeterman@gmail.com"/>
    <x v="1"/>
    <x v="5"/>
    <x v="696"/>
    <n v="324.89999999999998"/>
    <n v="5"/>
    <n v="38.988"/>
    <x v="3"/>
    <n v="12"/>
    <x v="1"/>
    <n v="11"/>
    <n v="2"/>
    <n v="12"/>
    <n v="64.97999999999999"/>
    <x v="0"/>
    <x v="0"/>
    <x v="1"/>
  </r>
  <r>
    <s v="US-2014-140907"/>
    <d v="2014-12-11T00:00:00"/>
    <d v="2014-12-13T00:00:00"/>
    <s v="BenPeterman@gmail.com"/>
    <x v="1"/>
    <x v="2"/>
    <x v="697"/>
    <n v="18.239999999999998"/>
    <n v="3"/>
    <n v="5.2896000000000001"/>
    <x v="3"/>
    <n v="12"/>
    <x v="1"/>
    <n v="11"/>
    <n v="2"/>
    <n v="29"/>
    <n v="6.0799999999999992"/>
    <x v="0"/>
    <x v="0"/>
    <x v="0"/>
  </r>
  <r>
    <s v="CA-2013-159730"/>
    <d v="2013-09-18T00:00:00"/>
    <d v="2013-09-22T00:00:00"/>
    <s v="SanjitJacobs@gmail.com"/>
    <x v="1"/>
    <x v="9"/>
    <x v="640"/>
    <n v="113.88800000000001"/>
    <n v="2"/>
    <n v="9.9651999999999994"/>
    <x v="0"/>
    <n v="9"/>
    <x v="8"/>
    <n v="18"/>
    <n v="4"/>
    <n v="8.75"/>
    <n v="56.944000000000003"/>
    <x v="0"/>
    <x v="0"/>
    <x v="0"/>
  </r>
  <r>
    <s v="CA-2013-159730"/>
    <d v="2013-09-18T00:00:00"/>
    <d v="2013-09-22T00:00:00"/>
    <s v="SanjitJacobs@gmail.com"/>
    <x v="1"/>
    <x v="6"/>
    <x v="698"/>
    <n v="105.584"/>
    <n v="2"/>
    <n v="7.9188000000000001"/>
    <x v="0"/>
    <n v="9"/>
    <x v="8"/>
    <n v="18"/>
    <n v="4"/>
    <n v="7.5"/>
    <n v="52.792000000000002"/>
    <x v="0"/>
    <x v="0"/>
    <x v="0"/>
  </r>
  <r>
    <s v="CA-2013-155474"/>
    <d v="2013-07-09T00:00:00"/>
    <d v="2013-07-15T00:00:00"/>
    <s v="ChrisCortes@gmail.com"/>
    <x v="1"/>
    <x v="6"/>
    <x v="205"/>
    <n v="107.98399999999999"/>
    <n v="1"/>
    <n v="9.4486000000000008"/>
    <x v="0"/>
    <n v="7"/>
    <x v="5"/>
    <n v="9"/>
    <n v="6"/>
    <n v="8.75"/>
    <n v="107.98399999999999"/>
    <x v="0"/>
    <x v="0"/>
    <x v="0"/>
  </r>
  <r>
    <s v="CA-2013-155474"/>
    <d v="2013-07-09T00:00:00"/>
    <d v="2013-07-15T00:00:00"/>
    <s v="ChrisCortes@gmail.com"/>
    <x v="1"/>
    <x v="3"/>
    <x v="473"/>
    <n v="19.295999999999999"/>
    <n v="3"/>
    <n v="6.03"/>
    <x v="0"/>
    <n v="7"/>
    <x v="5"/>
    <n v="9"/>
    <n v="6"/>
    <n v="31.25"/>
    <n v="6.4319999999999986"/>
    <x v="0"/>
    <x v="0"/>
    <x v="0"/>
  </r>
  <r>
    <s v="CA-2011-140662"/>
    <d v="2011-11-17T00:00:00"/>
    <d v="2011-11-19T00:00:00"/>
    <s v="ThomasSeio@gmail.com"/>
    <x v="3"/>
    <x v="7"/>
    <x v="322"/>
    <n v="99.98"/>
    <n v="2"/>
    <n v="7.9984000000000002"/>
    <x v="1"/>
    <n v="11"/>
    <x v="6"/>
    <n v="17"/>
    <n v="2"/>
    <n v="8"/>
    <n v="49.99"/>
    <x v="0"/>
    <x v="0"/>
    <x v="0"/>
  </r>
  <r>
    <s v="CA-2011-140662"/>
    <d v="2011-11-17T00:00:00"/>
    <d v="2011-11-19T00:00:00"/>
    <s v="ThomasSeio@gmail.com"/>
    <x v="3"/>
    <x v="4"/>
    <x v="699"/>
    <n v="241.44"/>
    <n v="3"/>
    <n v="72.432000000000002"/>
    <x v="1"/>
    <n v="11"/>
    <x v="6"/>
    <n v="17"/>
    <n v="2"/>
    <n v="30"/>
    <n v="80.48"/>
    <x v="0"/>
    <x v="0"/>
    <x v="1"/>
  </r>
  <r>
    <s v="CA-2012-155145"/>
    <d v="2012-12-27T00:00:00"/>
    <d v="2012-12-29T00:00:00"/>
    <s v="KeanNguyen@gmail.com"/>
    <x v="111"/>
    <x v="7"/>
    <x v="604"/>
    <n v="7.92"/>
    <n v="8"/>
    <n v="3.4847999999999999"/>
    <x v="2"/>
    <n v="12"/>
    <x v="1"/>
    <n v="27"/>
    <n v="2"/>
    <n v="44"/>
    <n v="0.99"/>
    <x v="0"/>
    <x v="0"/>
    <x v="0"/>
  </r>
  <r>
    <s v="CA-2012-146038"/>
    <d v="2012-02-09T00:00:00"/>
    <d v="2012-02-16T00:00:00"/>
    <s v="SarahJordon@gmail.com"/>
    <x v="0"/>
    <x v="9"/>
    <x v="532"/>
    <n v="203.92"/>
    <n v="5"/>
    <n v="22.940999999999999"/>
    <x v="2"/>
    <n v="2"/>
    <x v="11"/>
    <n v="9"/>
    <n v="7"/>
    <n v="11.25"/>
    <n v="40.783999999999999"/>
    <x v="0"/>
    <x v="0"/>
    <x v="0"/>
  </r>
  <r>
    <s v="CA-2012-157770"/>
    <d v="2012-12-13T00:00:00"/>
    <d v="2012-12-15T00:00:00"/>
    <s v="RobDowd@gmail.com"/>
    <x v="112"/>
    <x v="6"/>
    <x v="700"/>
    <n v="494.37599999999998"/>
    <n v="3"/>
    <n v="49.437600000000003"/>
    <x v="2"/>
    <n v="12"/>
    <x v="1"/>
    <n v="13"/>
    <n v="2"/>
    <n v="10"/>
    <n v="164.792"/>
    <x v="0"/>
    <x v="0"/>
    <x v="1"/>
  </r>
  <r>
    <s v="CA-2012-157770"/>
    <d v="2012-12-13T00:00:00"/>
    <d v="2012-12-15T00:00:00"/>
    <s v="RobDowd@gmail.com"/>
    <x v="112"/>
    <x v="3"/>
    <x v="384"/>
    <n v="29.2"/>
    <n v="5"/>
    <n v="9.8550000000000004"/>
    <x v="2"/>
    <n v="12"/>
    <x v="1"/>
    <n v="13"/>
    <n v="2"/>
    <n v="33.75"/>
    <n v="5.84"/>
    <x v="0"/>
    <x v="0"/>
    <x v="0"/>
  </r>
  <r>
    <s v="CA-2012-157770"/>
    <d v="2012-12-13T00:00:00"/>
    <d v="2012-12-15T00:00:00"/>
    <s v="RobDowd@gmail.com"/>
    <x v="112"/>
    <x v="7"/>
    <x v="25"/>
    <n v="248.85"/>
    <n v="5"/>
    <n v="27.3735"/>
    <x v="2"/>
    <n v="12"/>
    <x v="1"/>
    <n v="13"/>
    <n v="2"/>
    <n v="11"/>
    <n v="49.77"/>
    <x v="0"/>
    <x v="0"/>
    <x v="1"/>
  </r>
  <r>
    <s v="CA-2012-157770"/>
    <d v="2012-12-13T00:00:00"/>
    <d v="2012-12-15T00:00:00"/>
    <s v="RobDowd@gmail.com"/>
    <x v="112"/>
    <x v="7"/>
    <x v="701"/>
    <n v="36.24"/>
    <n v="1"/>
    <n v="15.220800000000001"/>
    <x v="2"/>
    <n v="12"/>
    <x v="1"/>
    <n v="13"/>
    <n v="2"/>
    <n v="42"/>
    <n v="36.24"/>
    <x v="0"/>
    <x v="0"/>
    <x v="0"/>
  </r>
  <r>
    <s v="CA-2011-106264"/>
    <d v="2011-12-26T00:00:00"/>
    <d v="2011-12-30T00:00:00"/>
    <s v="ClytieKelty@gmail.com"/>
    <x v="16"/>
    <x v="11"/>
    <x v="672"/>
    <n v="11.91"/>
    <n v="3"/>
    <n v="0.1191"/>
    <x v="1"/>
    <n v="12"/>
    <x v="1"/>
    <n v="26"/>
    <n v="4"/>
    <n v="1"/>
    <n v="3.97"/>
    <x v="0"/>
    <x v="0"/>
    <x v="0"/>
  </r>
  <r>
    <s v="CA-2011-106264"/>
    <d v="2011-12-26T00:00:00"/>
    <d v="2011-12-30T00:00:00"/>
    <s v="ClytieKelty@gmail.com"/>
    <x v="16"/>
    <x v="1"/>
    <x v="622"/>
    <n v="3.48"/>
    <n v="2"/>
    <n v="1.1135999999999999"/>
    <x v="1"/>
    <n v="12"/>
    <x v="1"/>
    <n v="26"/>
    <n v="4"/>
    <n v="32"/>
    <n v="1.74"/>
    <x v="0"/>
    <x v="0"/>
    <x v="0"/>
  </r>
  <r>
    <s v="US-2012-110569"/>
    <d v="2012-05-23T00:00:00"/>
    <d v="2012-05-30T00:00:00"/>
    <s v="EmilyBurns@gmail.com"/>
    <x v="7"/>
    <x v="3"/>
    <x v="320"/>
    <n v="19.193999999999999"/>
    <n v="7"/>
    <n v="-12.795999999999999"/>
    <x v="2"/>
    <n v="5"/>
    <x v="2"/>
    <n v="23"/>
    <n v="7"/>
    <n v="-66.67"/>
    <n v="2.742"/>
    <x v="0"/>
    <x v="1"/>
    <x v="0"/>
  </r>
  <r>
    <s v="US-2012-110569"/>
    <d v="2012-05-23T00:00:00"/>
    <d v="2012-05-30T00:00:00"/>
    <s v="EmilyBurns@gmail.com"/>
    <x v="7"/>
    <x v="4"/>
    <x v="165"/>
    <n v="121.792"/>
    <n v="4"/>
    <n v="13.701599999999999"/>
    <x v="2"/>
    <n v="5"/>
    <x v="2"/>
    <n v="23"/>
    <n v="7"/>
    <n v="11.25"/>
    <n v="30.448"/>
    <x v="0"/>
    <x v="0"/>
    <x v="0"/>
  </r>
  <r>
    <s v="US-2011-133130"/>
    <d v="2011-09-27T00:00:00"/>
    <d v="2011-10-01T00:00:00"/>
    <s v="TheaHendricks@gmail.com"/>
    <x v="16"/>
    <x v="8"/>
    <x v="421"/>
    <n v="81.98"/>
    <n v="2"/>
    <n v="40.170200000000001"/>
    <x v="1"/>
    <n v="9"/>
    <x v="8"/>
    <n v="27"/>
    <n v="4"/>
    <n v="49"/>
    <n v="40.99"/>
    <x v="0"/>
    <x v="0"/>
    <x v="0"/>
  </r>
  <r>
    <s v="CA-2012-165057"/>
    <d v="2012-09-11T00:00:00"/>
    <d v="2012-09-15T00:00:00"/>
    <s v="StevenCartwright@gmail.com"/>
    <x v="12"/>
    <x v="2"/>
    <x v="702"/>
    <n v="181.35"/>
    <n v="9"/>
    <n v="48.964500000000001"/>
    <x v="2"/>
    <n v="9"/>
    <x v="8"/>
    <n v="11"/>
    <n v="4"/>
    <n v="27"/>
    <n v="20.149999999999999"/>
    <x v="0"/>
    <x v="0"/>
    <x v="0"/>
  </r>
  <r>
    <s v="CA-2012-165057"/>
    <d v="2012-09-11T00:00:00"/>
    <d v="2012-09-15T00:00:00"/>
    <s v="StevenCartwright@gmail.com"/>
    <x v="12"/>
    <x v="0"/>
    <x v="703"/>
    <n v="8.64"/>
    <n v="3"/>
    <n v="4.2336"/>
    <x v="2"/>
    <n v="9"/>
    <x v="8"/>
    <n v="11"/>
    <n v="4"/>
    <n v="49"/>
    <n v="2.88"/>
    <x v="0"/>
    <x v="0"/>
    <x v="0"/>
  </r>
  <r>
    <s v="US-2014-109253"/>
    <d v="2014-08-22T00:00:00"/>
    <d v="2014-08-23T00:00:00"/>
    <s v="PatrickRyan@gmail.com"/>
    <x v="52"/>
    <x v="2"/>
    <x v="704"/>
    <n v="17.12"/>
    <n v="4"/>
    <n v="4.9648000000000003"/>
    <x v="3"/>
    <n v="8"/>
    <x v="3"/>
    <n v="22"/>
    <n v="1"/>
    <n v="29"/>
    <n v="4.28"/>
    <x v="0"/>
    <x v="0"/>
    <x v="0"/>
  </r>
  <r>
    <s v="US-2014-109253"/>
    <d v="2014-08-22T00:00:00"/>
    <d v="2014-08-23T00:00:00"/>
    <s v="PatrickRyan@gmail.com"/>
    <x v="52"/>
    <x v="6"/>
    <x v="705"/>
    <n v="431.96800000000002"/>
    <n v="4"/>
    <n v="37.797199999999997"/>
    <x v="3"/>
    <n v="8"/>
    <x v="3"/>
    <n v="22"/>
    <n v="1"/>
    <n v="8.75"/>
    <n v="107.992"/>
    <x v="0"/>
    <x v="0"/>
    <x v="1"/>
  </r>
  <r>
    <s v="US-2014-109253"/>
    <d v="2014-08-22T00:00:00"/>
    <d v="2014-08-23T00:00:00"/>
    <s v="PatrickRyan@gmail.com"/>
    <x v="52"/>
    <x v="1"/>
    <x v="706"/>
    <n v="129.91999999999999"/>
    <n v="4"/>
    <n v="10.393599999999999"/>
    <x v="3"/>
    <n v="8"/>
    <x v="3"/>
    <n v="22"/>
    <n v="1"/>
    <n v="8"/>
    <n v="32.479999999999997"/>
    <x v="0"/>
    <x v="0"/>
    <x v="0"/>
  </r>
  <r>
    <s v="US-2014-109253"/>
    <d v="2014-08-22T00:00:00"/>
    <d v="2014-08-23T00:00:00"/>
    <s v="PatrickRyan@gmail.com"/>
    <x v="52"/>
    <x v="3"/>
    <x v="707"/>
    <n v="117.14400000000001"/>
    <n v="9"/>
    <n v="42.464700000000001"/>
    <x v="3"/>
    <n v="8"/>
    <x v="3"/>
    <n v="22"/>
    <n v="1"/>
    <n v="36.25"/>
    <n v="13.016"/>
    <x v="0"/>
    <x v="0"/>
    <x v="0"/>
  </r>
  <r>
    <s v="US-2014-109253"/>
    <d v="2014-08-22T00:00:00"/>
    <d v="2014-08-23T00:00:00"/>
    <s v="PatrickRyan@gmail.com"/>
    <x v="52"/>
    <x v="4"/>
    <x v="708"/>
    <n v="203.52"/>
    <n v="3"/>
    <n v="54.950400000000002"/>
    <x v="3"/>
    <n v="8"/>
    <x v="3"/>
    <n v="22"/>
    <n v="1"/>
    <n v="27"/>
    <n v="67.84"/>
    <x v="0"/>
    <x v="0"/>
    <x v="0"/>
  </r>
  <r>
    <s v="US-2014-109253"/>
    <d v="2014-08-22T00:00:00"/>
    <d v="2014-08-23T00:00:00"/>
    <s v="PatrickRyan@gmail.com"/>
    <x v="52"/>
    <x v="0"/>
    <x v="709"/>
    <n v="51.75"/>
    <n v="5"/>
    <n v="24.84"/>
    <x v="3"/>
    <n v="8"/>
    <x v="3"/>
    <n v="22"/>
    <n v="1"/>
    <n v="48"/>
    <n v="10.35"/>
    <x v="0"/>
    <x v="0"/>
    <x v="0"/>
  </r>
  <r>
    <s v="CA-2012-112011"/>
    <d v="2012-08-13T00:00:00"/>
    <d v="2012-08-20T00:00:00"/>
    <s v="OdellaNelson@gmail.com"/>
    <x v="113"/>
    <x v="2"/>
    <x v="710"/>
    <n v="50.8"/>
    <n v="5"/>
    <n v="13.208"/>
    <x v="2"/>
    <n v="8"/>
    <x v="3"/>
    <n v="13"/>
    <n v="7"/>
    <n v="26"/>
    <n v="10.16"/>
    <x v="0"/>
    <x v="0"/>
    <x v="0"/>
  </r>
  <r>
    <s v="US-2013-157308"/>
    <d v="2013-08-18T00:00:00"/>
    <d v="2013-08-22T00:00:00"/>
    <s v="NeomaMurray@gmail.com"/>
    <x v="1"/>
    <x v="3"/>
    <x v="374"/>
    <n v="15.712"/>
    <n v="4"/>
    <n v="5.6955999999999998"/>
    <x v="0"/>
    <n v="8"/>
    <x v="3"/>
    <n v="18"/>
    <n v="4"/>
    <n v="36.25"/>
    <n v="3.9279999999999999"/>
    <x v="0"/>
    <x v="0"/>
    <x v="0"/>
  </r>
  <r>
    <s v="US-2011-134733"/>
    <d v="2011-09-23T00:00:00"/>
    <d v="2011-09-28T00:00:00"/>
    <s v="BrianMoss@gmail.com"/>
    <x v="16"/>
    <x v="14"/>
    <x v="711"/>
    <n v="435.99900000000002"/>
    <n v="3"/>
    <n v="20.517600000000002"/>
    <x v="1"/>
    <n v="9"/>
    <x v="8"/>
    <n v="23"/>
    <n v="5"/>
    <n v="4.71"/>
    <n v="145.333"/>
    <x v="0"/>
    <x v="0"/>
    <x v="1"/>
  </r>
  <r>
    <s v="US-2011-134733"/>
    <d v="2011-09-23T00:00:00"/>
    <d v="2011-09-28T00:00:00"/>
    <s v="BrianMoss@gmail.com"/>
    <x v="16"/>
    <x v="6"/>
    <x v="17"/>
    <n v="83.983999999999995"/>
    <n v="2"/>
    <n v="31.494"/>
    <x v="1"/>
    <n v="9"/>
    <x v="8"/>
    <n v="23"/>
    <n v="5"/>
    <n v="37.5"/>
    <n v="41.991999999999997"/>
    <x v="0"/>
    <x v="0"/>
    <x v="0"/>
  </r>
  <r>
    <s v="CA-2011-115161"/>
    <d v="2011-02-01T00:00:00"/>
    <d v="2011-02-03T00:00:00"/>
    <s v="LizCarlisle@gmail.com"/>
    <x v="37"/>
    <x v="14"/>
    <x v="712"/>
    <n v="290.666"/>
    <n v="2"/>
    <n v="3.4196"/>
    <x v="1"/>
    <n v="2"/>
    <x v="11"/>
    <n v="1"/>
    <n v="2"/>
    <n v="1.18"/>
    <n v="145.333"/>
    <x v="0"/>
    <x v="0"/>
    <x v="1"/>
  </r>
  <r>
    <s v="CA-2012-115511"/>
    <d v="2012-11-21T00:00:00"/>
    <d v="2012-11-25T00:00:00"/>
    <s v="NatalieWebber@gmail.com"/>
    <x v="26"/>
    <x v="14"/>
    <x v="713"/>
    <n v="141.96"/>
    <n v="2"/>
    <n v="41.168399999999998"/>
    <x v="2"/>
    <n v="11"/>
    <x v="6"/>
    <n v="21"/>
    <n v="4"/>
    <n v="29"/>
    <n v="70.98"/>
    <x v="0"/>
    <x v="0"/>
    <x v="0"/>
  </r>
  <r>
    <s v="CA-2012-115511"/>
    <d v="2012-11-21T00:00:00"/>
    <d v="2012-11-25T00:00:00"/>
    <s v="NatalieWebber@gmail.com"/>
    <x v="26"/>
    <x v="3"/>
    <x v="94"/>
    <n v="66.048000000000002"/>
    <n v="4"/>
    <n v="23.116800000000001"/>
    <x v="2"/>
    <n v="11"/>
    <x v="6"/>
    <n v="21"/>
    <n v="4"/>
    <n v="35"/>
    <n v="16.512"/>
    <x v="0"/>
    <x v="0"/>
    <x v="0"/>
  </r>
  <r>
    <s v="CA-2014-123778"/>
    <d v="2014-09-24T00:00:00"/>
    <d v="2014-10-01T00:00:00"/>
    <s v="BruceStewart@gmail.com"/>
    <x v="3"/>
    <x v="3"/>
    <x v="714"/>
    <n v="25.824000000000002"/>
    <n v="6"/>
    <n v="9.0383999999999993"/>
    <x v="3"/>
    <n v="9"/>
    <x v="8"/>
    <n v="24"/>
    <n v="7"/>
    <n v="35"/>
    <n v="4.3040000000000003"/>
    <x v="0"/>
    <x v="0"/>
    <x v="0"/>
  </r>
  <r>
    <s v="CA-2014-123778"/>
    <d v="2014-09-24T00:00:00"/>
    <d v="2014-10-01T00:00:00"/>
    <s v="BruceStewart@gmail.com"/>
    <x v="3"/>
    <x v="4"/>
    <x v="699"/>
    <n v="160.96"/>
    <n v="2"/>
    <n v="48.287999999999997"/>
    <x v="3"/>
    <n v="9"/>
    <x v="8"/>
    <n v="24"/>
    <n v="7"/>
    <n v="30"/>
    <n v="80.48"/>
    <x v="0"/>
    <x v="0"/>
    <x v="0"/>
  </r>
  <r>
    <s v="CA-2011-166471"/>
    <d v="2011-08-09T00:00:00"/>
    <d v="2011-08-13T00:00:00"/>
    <s v="MatthewGrinstein@gmail.com"/>
    <x v="1"/>
    <x v="6"/>
    <x v="392"/>
    <n v="219.16800000000001"/>
    <n v="2"/>
    <n v="-43.833599999999997"/>
    <x v="1"/>
    <n v="8"/>
    <x v="3"/>
    <n v="9"/>
    <n v="4"/>
    <n v="-20"/>
    <n v="109.584"/>
    <x v="0"/>
    <x v="1"/>
    <x v="1"/>
  </r>
  <r>
    <s v="CA-2012-152527"/>
    <d v="2012-10-17T00:00:00"/>
    <d v="2012-10-17T00:00:00"/>
    <s v="CharlotteMelton@gmail.com"/>
    <x v="0"/>
    <x v="5"/>
    <x v="12"/>
    <n v="77.88"/>
    <n v="2"/>
    <n v="3.8940000000000001"/>
    <x v="2"/>
    <n v="10"/>
    <x v="7"/>
    <n v="17"/>
    <n v="0"/>
    <n v="5"/>
    <n v="38.94"/>
    <x v="0"/>
    <x v="0"/>
    <x v="0"/>
  </r>
  <r>
    <s v="CA-2013-100244"/>
    <d v="2013-09-21T00:00:00"/>
    <d v="2013-09-25T00:00:00"/>
    <s v="GregMaxwell@gmail.com"/>
    <x v="3"/>
    <x v="8"/>
    <x v="715"/>
    <n v="65.790000000000006"/>
    <n v="9"/>
    <n v="30.263400000000001"/>
    <x v="0"/>
    <n v="9"/>
    <x v="8"/>
    <n v="21"/>
    <n v="4"/>
    <n v="46"/>
    <n v="7.31"/>
    <x v="0"/>
    <x v="0"/>
    <x v="0"/>
  </r>
  <r>
    <s v="CA-2013-100244"/>
    <d v="2013-09-21T00:00:00"/>
    <d v="2013-09-25T00:00:00"/>
    <s v="GregMaxwell@gmail.com"/>
    <x v="3"/>
    <x v="3"/>
    <x v="5"/>
    <n v="271.98399999999998"/>
    <n v="2"/>
    <n v="88.394800000000004"/>
    <x v="0"/>
    <n v="9"/>
    <x v="8"/>
    <n v="21"/>
    <n v="4"/>
    <n v="32.5"/>
    <n v="135.99199999999999"/>
    <x v="0"/>
    <x v="0"/>
    <x v="1"/>
  </r>
  <r>
    <s v="CA-2013-100244"/>
    <d v="2013-09-21T00:00:00"/>
    <d v="2013-09-25T00:00:00"/>
    <s v="GregMaxwell@gmail.com"/>
    <x v="3"/>
    <x v="2"/>
    <x v="39"/>
    <n v="11.76"/>
    <n v="4"/>
    <n v="3.1751999999999998"/>
    <x v="0"/>
    <n v="9"/>
    <x v="8"/>
    <n v="21"/>
    <n v="4"/>
    <n v="27"/>
    <n v="2.94"/>
    <x v="0"/>
    <x v="0"/>
    <x v="0"/>
  </r>
  <r>
    <s v="CA-2013-100244"/>
    <d v="2013-09-21T00:00:00"/>
    <d v="2013-09-25T00:00:00"/>
    <s v="GregMaxwell@gmail.com"/>
    <x v="3"/>
    <x v="8"/>
    <x v="716"/>
    <n v="77.52"/>
    <n v="2"/>
    <n v="37.9848"/>
    <x v="0"/>
    <n v="9"/>
    <x v="8"/>
    <n v="21"/>
    <n v="4"/>
    <n v="49"/>
    <n v="38.76"/>
    <x v="0"/>
    <x v="0"/>
    <x v="0"/>
  </r>
  <r>
    <s v="CA-2013-100244"/>
    <d v="2013-09-21T00:00:00"/>
    <d v="2013-09-25T00:00:00"/>
    <s v="GregMaxwell@gmail.com"/>
    <x v="3"/>
    <x v="3"/>
    <x v="616"/>
    <n v="48.64"/>
    <n v="2"/>
    <n v="15.808"/>
    <x v="0"/>
    <n v="9"/>
    <x v="8"/>
    <n v="21"/>
    <n v="4"/>
    <n v="32.5"/>
    <n v="24.32"/>
    <x v="0"/>
    <x v="0"/>
    <x v="0"/>
  </r>
  <r>
    <s v="CA-2012-151841"/>
    <d v="2012-04-27T00:00:00"/>
    <d v="2012-05-02T00:00:00"/>
    <s v="TonyChapman@gmail.com"/>
    <x v="6"/>
    <x v="4"/>
    <x v="308"/>
    <n v="43.56"/>
    <n v="5"/>
    <n v="3.2669999999999999"/>
    <x v="2"/>
    <n v="4"/>
    <x v="10"/>
    <n v="27"/>
    <n v="5"/>
    <n v="7.5"/>
    <n v="8.7119999999999997"/>
    <x v="0"/>
    <x v="0"/>
    <x v="0"/>
  </r>
  <r>
    <s v="CA-2012-151841"/>
    <d v="2012-04-27T00:00:00"/>
    <d v="2012-05-02T00:00:00"/>
    <s v="TonyChapman@gmail.com"/>
    <x v="6"/>
    <x v="11"/>
    <x v="156"/>
    <n v="5.84"/>
    <n v="2"/>
    <n v="0.73"/>
    <x v="2"/>
    <n v="4"/>
    <x v="10"/>
    <n v="27"/>
    <n v="5"/>
    <n v="12.5"/>
    <n v="2.92"/>
    <x v="0"/>
    <x v="0"/>
    <x v="0"/>
  </r>
  <r>
    <s v="CA-2013-134803"/>
    <d v="2013-05-29T00:00:00"/>
    <d v="2013-06-04T00:00:00"/>
    <s v="ClayLudtke@gmail.com"/>
    <x v="0"/>
    <x v="4"/>
    <x v="717"/>
    <n v="262.24"/>
    <n v="2"/>
    <n v="78.671999999999997"/>
    <x v="0"/>
    <n v="5"/>
    <x v="2"/>
    <n v="29"/>
    <n v="6"/>
    <n v="30"/>
    <n v="131.12"/>
    <x v="0"/>
    <x v="0"/>
    <x v="1"/>
  </r>
  <r>
    <s v="CA-2013-134803"/>
    <d v="2013-05-29T00:00:00"/>
    <d v="2013-06-04T00:00:00"/>
    <s v="ClayLudtke@gmail.com"/>
    <x v="0"/>
    <x v="8"/>
    <x v="718"/>
    <n v="182.72"/>
    <n v="8"/>
    <n v="84.051199999999994"/>
    <x v="0"/>
    <n v="5"/>
    <x v="2"/>
    <n v="29"/>
    <n v="6"/>
    <n v="46"/>
    <n v="22.84"/>
    <x v="0"/>
    <x v="0"/>
    <x v="0"/>
  </r>
  <r>
    <s v="CA-2013-134803"/>
    <d v="2013-05-29T00:00:00"/>
    <d v="2013-06-04T00:00:00"/>
    <s v="ClayLudtke@gmail.com"/>
    <x v="0"/>
    <x v="7"/>
    <x v="719"/>
    <n v="131.6"/>
    <n v="7"/>
    <n v="7.8959999999999999"/>
    <x v="0"/>
    <n v="5"/>
    <x v="2"/>
    <n v="29"/>
    <n v="6"/>
    <n v="6"/>
    <n v="18.8"/>
    <x v="0"/>
    <x v="0"/>
    <x v="0"/>
  </r>
  <r>
    <s v="CA-2013-134803"/>
    <d v="2013-05-29T00:00:00"/>
    <d v="2013-06-04T00:00:00"/>
    <s v="ClayLudtke@gmail.com"/>
    <x v="0"/>
    <x v="3"/>
    <x v="9"/>
    <n v="22.72"/>
    <n v="4"/>
    <n v="7.3840000000000003"/>
    <x v="0"/>
    <n v="5"/>
    <x v="2"/>
    <n v="29"/>
    <n v="6"/>
    <n v="32.5"/>
    <n v="5.68"/>
    <x v="0"/>
    <x v="0"/>
    <x v="0"/>
  </r>
  <r>
    <s v="CA-2014-148264"/>
    <d v="2014-12-09T00:00:00"/>
    <d v="2014-12-10T00:00:00"/>
    <s v="LukeFoster@gmail.com"/>
    <x v="18"/>
    <x v="5"/>
    <x v="720"/>
    <n v="29.79"/>
    <n v="3"/>
    <n v="8.6390999999999991"/>
    <x v="3"/>
    <n v="12"/>
    <x v="1"/>
    <n v="9"/>
    <n v="1"/>
    <n v="29"/>
    <n v="9.93"/>
    <x v="0"/>
    <x v="0"/>
    <x v="0"/>
  </r>
  <r>
    <s v="CA-2014-148264"/>
    <d v="2014-12-09T00:00:00"/>
    <d v="2014-12-10T00:00:00"/>
    <s v="LukeFoster@gmail.com"/>
    <x v="18"/>
    <x v="1"/>
    <x v="721"/>
    <n v="128.9"/>
    <n v="2"/>
    <n v="15.468"/>
    <x v="3"/>
    <n v="12"/>
    <x v="1"/>
    <n v="9"/>
    <n v="1"/>
    <n v="12"/>
    <n v="64.45"/>
    <x v="0"/>
    <x v="0"/>
    <x v="0"/>
  </r>
  <r>
    <s v="CA-2014-148264"/>
    <d v="2014-12-09T00:00:00"/>
    <d v="2014-12-10T00:00:00"/>
    <s v="LukeFoster@gmail.com"/>
    <x v="18"/>
    <x v="8"/>
    <x v="722"/>
    <n v="60.12"/>
    <n v="9"/>
    <n v="28.857600000000001"/>
    <x v="3"/>
    <n v="12"/>
    <x v="1"/>
    <n v="9"/>
    <n v="1"/>
    <n v="48"/>
    <n v="6.68"/>
    <x v="0"/>
    <x v="0"/>
    <x v="0"/>
  </r>
  <r>
    <s v="CA-2014-131212"/>
    <d v="2014-12-06T00:00:00"/>
    <d v="2014-12-10T00:00:00"/>
    <s v="AlanBarnes@gmail.com"/>
    <x v="67"/>
    <x v="3"/>
    <x v="723"/>
    <n v="24.815999999999999"/>
    <n v="3"/>
    <n v="8.3754000000000008"/>
    <x v="3"/>
    <n v="12"/>
    <x v="1"/>
    <n v="6"/>
    <n v="4"/>
    <n v="33.75"/>
    <n v="8.2720000000000002"/>
    <x v="0"/>
    <x v="0"/>
    <x v="0"/>
  </r>
  <r>
    <s v="CA-2014-131212"/>
    <d v="2014-12-06T00:00:00"/>
    <d v="2014-12-10T00:00:00"/>
    <s v="AlanBarnes@gmail.com"/>
    <x v="67"/>
    <x v="3"/>
    <x v="511"/>
    <n v="14.976000000000001"/>
    <n v="6"/>
    <n v="5.4287999999999998"/>
    <x v="3"/>
    <n v="12"/>
    <x v="1"/>
    <n v="6"/>
    <n v="4"/>
    <n v="36.25"/>
    <n v="2.496"/>
    <x v="0"/>
    <x v="0"/>
    <x v="0"/>
  </r>
  <r>
    <s v="CA-2012-144099"/>
    <d v="2012-11-29T00:00:00"/>
    <d v="2012-11-30T00:00:00"/>
    <s v="PhillinaOber@gmail.com"/>
    <x v="3"/>
    <x v="3"/>
    <x v="14"/>
    <n v="4.3040000000000003"/>
    <n v="1"/>
    <n v="1.5602"/>
    <x v="2"/>
    <n v="11"/>
    <x v="6"/>
    <n v="29"/>
    <n v="1"/>
    <n v="36.25"/>
    <n v="4.3040000000000003"/>
    <x v="1"/>
    <x v="0"/>
    <x v="0"/>
  </r>
  <r>
    <s v="CA-2013-162614"/>
    <d v="2013-10-08T00:00:00"/>
    <d v="2013-10-14T00:00:00"/>
    <s v="TimBrockman@gmail.com"/>
    <x v="0"/>
    <x v="3"/>
    <x v="724"/>
    <n v="27.263999999999999"/>
    <n v="2"/>
    <n v="8.8607999999999993"/>
    <x v="0"/>
    <n v="10"/>
    <x v="7"/>
    <n v="8"/>
    <n v="6"/>
    <n v="32.5"/>
    <n v="13.632"/>
    <x v="0"/>
    <x v="0"/>
    <x v="0"/>
  </r>
  <r>
    <s v="CA-2011-168592"/>
    <d v="2011-09-08T00:00:00"/>
    <d v="2011-09-14T00:00:00"/>
    <s v="DennisPardue@gmail.com"/>
    <x v="3"/>
    <x v="4"/>
    <x v="725"/>
    <n v="56.65"/>
    <n v="5"/>
    <n v="24.359500000000001"/>
    <x v="1"/>
    <n v="9"/>
    <x v="8"/>
    <n v="8"/>
    <n v="6"/>
    <n v="43"/>
    <n v="11.33"/>
    <x v="0"/>
    <x v="0"/>
    <x v="0"/>
  </r>
  <r>
    <s v="CA-2011-168592"/>
    <d v="2011-09-08T00:00:00"/>
    <d v="2011-09-14T00:00:00"/>
    <s v="DennisPardue@gmail.com"/>
    <x v="3"/>
    <x v="5"/>
    <x v="726"/>
    <n v="14.97"/>
    <n v="1"/>
    <n v="4.1916000000000002"/>
    <x v="1"/>
    <n v="9"/>
    <x v="8"/>
    <n v="8"/>
    <n v="6"/>
    <n v="28"/>
    <n v="14.97"/>
    <x v="0"/>
    <x v="0"/>
    <x v="0"/>
  </r>
  <r>
    <s v="CA-2011-168592"/>
    <d v="2011-09-08T00:00:00"/>
    <d v="2011-09-14T00:00:00"/>
    <s v="DennisPardue@gmail.com"/>
    <x v="3"/>
    <x v="10"/>
    <x v="35"/>
    <n v="4.0199999999999996"/>
    <n v="2"/>
    <n v="1.9698"/>
    <x v="1"/>
    <n v="9"/>
    <x v="8"/>
    <n v="8"/>
    <n v="6"/>
    <n v="49"/>
    <n v="2.0099999999999998"/>
    <x v="0"/>
    <x v="0"/>
    <x v="0"/>
  </r>
  <r>
    <s v="US-2013-150035"/>
    <d v="2013-12-02T00:00:00"/>
    <d v="2013-12-06T00:00:00"/>
    <s v="CarlLudwig@gmail.com"/>
    <x v="3"/>
    <x v="1"/>
    <x v="315"/>
    <n v="16.739999999999998"/>
    <n v="2"/>
    <n v="4.3524000000000003"/>
    <x v="0"/>
    <n v="12"/>
    <x v="1"/>
    <n v="2"/>
    <n v="4"/>
    <n v="26"/>
    <n v="8.3699999999999992"/>
    <x v="1"/>
    <x v="0"/>
    <x v="0"/>
  </r>
  <r>
    <s v="CA-2011-143385"/>
    <d v="2011-08-31T00:00:00"/>
    <d v="2011-09-05T00:00:00"/>
    <s v="ShirleyJackson@gmail.com"/>
    <x v="114"/>
    <x v="7"/>
    <x v="727"/>
    <n v="92.52"/>
    <n v="9"/>
    <n v="18.504000000000001"/>
    <x v="1"/>
    <n v="8"/>
    <x v="3"/>
    <n v="31"/>
    <n v="5"/>
    <n v="20"/>
    <n v="10.28"/>
    <x v="0"/>
    <x v="0"/>
    <x v="0"/>
  </r>
  <r>
    <s v="CA-2013-131289"/>
    <d v="2013-12-09T00:00:00"/>
    <d v="2013-12-15T00:00:00"/>
    <s v="StefaniaPerrino@gmail.com"/>
    <x v="3"/>
    <x v="2"/>
    <x v="7"/>
    <n v="8.56"/>
    <n v="2"/>
    <n v="2.4824000000000002"/>
    <x v="0"/>
    <n v="12"/>
    <x v="1"/>
    <n v="9"/>
    <n v="6"/>
    <n v="29"/>
    <n v="4.28"/>
    <x v="0"/>
    <x v="0"/>
    <x v="0"/>
  </r>
  <r>
    <s v="CA-2013-131289"/>
    <d v="2013-12-09T00:00:00"/>
    <d v="2013-12-15T00:00:00"/>
    <s v="StefaniaPerrino@gmail.com"/>
    <x v="3"/>
    <x v="8"/>
    <x v="728"/>
    <n v="45.36"/>
    <n v="7"/>
    <n v="21.7728"/>
    <x v="0"/>
    <n v="12"/>
    <x v="1"/>
    <n v="9"/>
    <n v="6"/>
    <n v="48"/>
    <n v="6.48"/>
    <x v="0"/>
    <x v="0"/>
    <x v="0"/>
  </r>
  <r>
    <s v="CA-2013-107328"/>
    <d v="2013-08-09T00:00:00"/>
    <d v="2013-08-16T00:00:00"/>
    <s v="CathyArmstrong@gmail.com"/>
    <x v="0"/>
    <x v="4"/>
    <x v="729"/>
    <n v="487.92"/>
    <n v="6"/>
    <n v="136.61760000000001"/>
    <x v="0"/>
    <n v="8"/>
    <x v="3"/>
    <n v="9"/>
    <n v="7"/>
    <n v="28"/>
    <n v="81.320000000000007"/>
    <x v="0"/>
    <x v="0"/>
    <x v="1"/>
  </r>
  <r>
    <s v="CA-2013-107328"/>
    <d v="2013-08-09T00:00:00"/>
    <d v="2013-08-16T00:00:00"/>
    <s v="CathyArmstrong@gmail.com"/>
    <x v="0"/>
    <x v="3"/>
    <x v="507"/>
    <n v="15.24"/>
    <n v="5"/>
    <n v="5.3339999999999996"/>
    <x v="0"/>
    <n v="8"/>
    <x v="3"/>
    <n v="9"/>
    <n v="7"/>
    <n v="35"/>
    <n v="3.048"/>
    <x v="0"/>
    <x v="0"/>
    <x v="0"/>
  </r>
  <r>
    <s v="CA-2012-168767"/>
    <d v="2012-04-10T00:00:00"/>
    <d v="2012-04-15T00:00:00"/>
    <s v="DarioMedina@gmail.com"/>
    <x v="91"/>
    <x v="3"/>
    <x v="653"/>
    <n v="12.832000000000001"/>
    <n v="2"/>
    <n v="4.3308"/>
    <x v="2"/>
    <n v="4"/>
    <x v="10"/>
    <n v="10"/>
    <n v="5"/>
    <n v="33.75"/>
    <n v="6.4160000000000004"/>
    <x v="0"/>
    <x v="0"/>
    <x v="0"/>
  </r>
  <r>
    <s v="CA-2013-137673"/>
    <d v="2013-09-06T00:00:00"/>
    <d v="2013-09-11T00:00:00"/>
    <s v="MarinaLichtenstein@gmail.com"/>
    <x v="16"/>
    <x v="7"/>
    <x v="730"/>
    <n v="116"/>
    <n v="8"/>
    <n v="29"/>
    <x v="0"/>
    <n v="9"/>
    <x v="8"/>
    <n v="6"/>
    <n v="5"/>
    <n v="25"/>
    <n v="14.5"/>
    <x v="0"/>
    <x v="0"/>
    <x v="0"/>
  </r>
  <r>
    <s v="CA-2013-130680"/>
    <d v="2013-06-25T00:00:00"/>
    <d v="2013-06-30T00:00:00"/>
    <s v="BillDonatelli@gmail.com"/>
    <x v="16"/>
    <x v="6"/>
    <x v="731"/>
    <n v="38.24"/>
    <n v="4"/>
    <n v="-9.56"/>
    <x v="0"/>
    <n v="6"/>
    <x v="0"/>
    <n v="25"/>
    <n v="5"/>
    <n v="-25"/>
    <n v="9.56"/>
    <x v="0"/>
    <x v="1"/>
    <x v="0"/>
  </r>
  <r>
    <s v="CA-2011-110849"/>
    <d v="2011-04-18T00:00:00"/>
    <d v="2011-04-23T00:00:00"/>
    <s v="JohnLee@gmail.com"/>
    <x v="0"/>
    <x v="15"/>
    <x v="732"/>
    <n v="287.96800000000002"/>
    <n v="4"/>
    <n v="97.1892"/>
    <x v="1"/>
    <n v="4"/>
    <x v="10"/>
    <n v="18"/>
    <n v="5"/>
    <n v="33.75"/>
    <n v="71.992000000000004"/>
    <x v="0"/>
    <x v="0"/>
    <x v="1"/>
  </r>
  <r>
    <s v="CA-2011-110849"/>
    <d v="2011-04-18T00:00:00"/>
    <d v="2011-04-23T00:00:00"/>
    <s v="JohnLee@gmail.com"/>
    <x v="0"/>
    <x v="2"/>
    <x v="533"/>
    <n v="13.12"/>
    <n v="4"/>
    <n v="3.8048000000000002"/>
    <x v="1"/>
    <n v="4"/>
    <x v="10"/>
    <n v="18"/>
    <n v="5"/>
    <n v="29"/>
    <n v="3.28"/>
    <x v="0"/>
    <x v="0"/>
    <x v="0"/>
  </r>
  <r>
    <s v="CA-2011-110849"/>
    <d v="2011-04-18T00:00:00"/>
    <d v="2011-04-23T00:00:00"/>
    <s v="JohnLee@gmail.com"/>
    <x v="0"/>
    <x v="2"/>
    <x v="733"/>
    <n v="10.75"/>
    <n v="5"/>
    <n v="3.5474999999999999"/>
    <x v="1"/>
    <n v="4"/>
    <x v="10"/>
    <n v="18"/>
    <n v="5"/>
    <n v="33"/>
    <n v="2.15"/>
    <x v="0"/>
    <x v="0"/>
    <x v="0"/>
  </r>
  <r>
    <s v="CA-2011-110849"/>
    <d v="2011-04-18T00:00:00"/>
    <d v="2011-04-23T00:00:00"/>
    <s v="JohnLee@gmail.com"/>
    <x v="0"/>
    <x v="10"/>
    <x v="734"/>
    <n v="11.62"/>
    <n v="2"/>
    <n v="3.6021999999999998"/>
    <x v="1"/>
    <n v="4"/>
    <x v="10"/>
    <n v="18"/>
    <n v="5"/>
    <n v="31"/>
    <n v="5.81"/>
    <x v="0"/>
    <x v="0"/>
    <x v="0"/>
  </r>
  <r>
    <s v="CA-2011-120838"/>
    <d v="2011-03-23T00:00:00"/>
    <d v="2011-03-26T00:00:00"/>
    <s v="PatrickO'Donnell@gmail.com"/>
    <x v="0"/>
    <x v="5"/>
    <x v="176"/>
    <n v="330.4"/>
    <n v="2"/>
    <n v="85.903999999999996"/>
    <x v="1"/>
    <n v="3"/>
    <x v="9"/>
    <n v="23"/>
    <n v="3"/>
    <n v="26"/>
    <n v="165.2"/>
    <x v="0"/>
    <x v="0"/>
    <x v="1"/>
  </r>
  <r>
    <s v="CA-2014-118542"/>
    <d v="2014-12-02T00:00:00"/>
    <d v="2014-12-06T00:00:00"/>
    <s v="ClayCheatham@gmail.com"/>
    <x v="0"/>
    <x v="8"/>
    <x v="735"/>
    <n v="45.36"/>
    <n v="7"/>
    <n v="21.7728"/>
    <x v="3"/>
    <n v="12"/>
    <x v="1"/>
    <n v="2"/>
    <n v="4"/>
    <n v="48"/>
    <n v="6.48"/>
    <x v="0"/>
    <x v="0"/>
    <x v="0"/>
  </r>
  <r>
    <s v="CA-2014-118542"/>
    <d v="2014-12-02T00:00:00"/>
    <d v="2014-12-06T00:00:00"/>
    <s v="ClayCheatham@gmail.com"/>
    <x v="0"/>
    <x v="3"/>
    <x v="736"/>
    <n v="10.128"/>
    <n v="2"/>
    <n v="3.6714000000000002"/>
    <x v="3"/>
    <n v="12"/>
    <x v="1"/>
    <n v="2"/>
    <n v="4"/>
    <n v="36.25"/>
    <n v="5.0640000000000001"/>
    <x v="0"/>
    <x v="0"/>
    <x v="0"/>
  </r>
  <r>
    <s v="CA-2014-152737"/>
    <d v="2014-11-08T00:00:00"/>
    <d v="2014-11-13T00:00:00"/>
    <s v="TonySayre@gmail.com"/>
    <x v="3"/>
    <x v="3"/>
    <x v="517"/>
    <n v="21.792000000000002"/>
    <n v="4"/>
    <n v="7.6272000000000002"/>
    <x v="3"/>
    <n v="11"/>
    <x v="6"/>
    <n v="8"/>
    <n v="5"/>
    <n v="35"/>
    <n v="5.4480000000000004"/>
    <x v="0"/>
    <x v="0"/>
    <x v="0"/>
  </r>
  <r>
    <s v="CA-2014-152737"/>
    <d v="2014-11-08T00:00:00"/>
    <d v="2014-11-13T00:00:00"/>
    <s v="TonySayre@gmail.com"/>
    <x v="3"/>
    <x v="7"/>
    <x v="737"/>
    <n v="439.8"/>
    <n v="4"/>
    <n v="145.13399999999999"/>
    <x v="3"/>
    <n v="11"/>
    <x v="6"/>
    <n v="8"/>
    <n v="5"/>
    <n v="33"/>
    <n v="109.95"/>
    <x v="0"/>
    <x v="0"/>
    <x v="1"/>
  </r>
  <r>
    <s v="CA-2013-130029"/>
    <d v="2013-07-04T00:00:00"/>
    <d v="2013-07-07T00:00:00"/>
    <s v="GuyThornton@gmail.com"/>
    <x v="0"/>
    <x v="8"/>
    <x v="738"/>
    <n v="12.96"/>
    <n v="2"/>
    <n v="6.2207999999999997"/>
    <x v="0"/>
    <n v="7"/>
    <x v="5"/>
    <n v="4"/>
    <n v="3"/>
    <n v="48"/>
    <n v="6.48"/>
    <x v="0"/>
    <x v="0"/>
    <x v="0"/>
  </r>
  <r>
    <s v="CA-2013-130029"/>
    <d v="2013-07-04T00:00:00"/>
    <d v="2013-07-07T00:00:00"/>
    <s v="GuyThornton@gmail.com"/>
    <x v="0"/>
    <x v="10"/>
    <x v="739"/>
    <n v="3.96"/>
    <n v="2"/>
    <n v="7.9200000000000007E-2"/>
    <x v="0"/>
    <n v="7"/>
    <x v="5"/>
    <n v="4"/>
    <n v="3"/>
    <n v="2"/>
    <n v="1.98"/>
    <x v="0"/>
    <x v="0"/>
    <x v="0"/>
  </r>
  <r>
    <s v="CA-2014-168109"/>
    <d v="2014-07-04T00:00:00"/>
    <d v="2014-07-04T00:00:00"/>
    <s v="JimKriz@gmail.com"/>
    <x v="1"/>
    <x v="7"/>
    <x v="66"/>
    <n v="59.98"/>
    <n v="2"/>
    <n v="26.391200000000001"/>
    <x v="3"/>
    <n v="7"/>
    <x v="5"/>
    <n v="4"/>
    <n v="0"/>
    <n v="44"/>
    <n v="29.99"/>
    <x v="0"/>
    <x v="0"/>
    <x v="0"/>
  </r>
  <r>
    <s v="CA-2014-168109"/>
    <d v="2014-07-04T00:00:00"/>
    <d v="2014-07-04T00:00:00"/>
    <s v="JimKriz@gmail.com"/>
    <x v="1"/>
    <x v="6"/>
    <x v="552"/>
    <n v="7.992"/>
    <n v="1"/>
    <n v="2.6972999999999998"/>
    <x v="3"/>
    <n v="7"/>
    <x v="5"/>
    <n v="4"/>
    <n v="0"/>
    <n v="33.75"/>
    <n v="7.992"/>
    <x v="0"/>
    <x v="0"/>
    <x v="0"/>
  </r>
  <r>
    <s v="CA-2013-103163"/>
    <d v="2013-06-08T00:00:00"/>
    <d v="2013-06-12T00:00:00"/>
    <s v="FrankMerwin@gmail.com"/>
    <x v="102"/>
    <x v="3"/>
    <x v="740"/>
    <n v="4.7839999999999998"/>
    <n v="1"/>
    <n v="1.5548"/>
    <x v="0"/>
    <n v="6"/>
    <x v="0"/>
    <n v="8"/>
    <n v="4"/>
    <n v="32.5"/>
    <n v="4.7839999999999998"/>
    <x v="0"/>
    <x v="0"/>
    <x v="0"/>
  </r>
  <r>
    <s v="CA-2013-103163"/>
    <d v="2013-06-08T00:00:00"/>
    <d v="2013-06-12T00:00:00"/>
    <s v="FrankMerwin@gmail.com"/>
    <x v="102"/>
    <x v="8"/>
    <x v="741"/>
    <n v="4.7300000000000004"/>
    <n v="1"/>
    <n v="2.3176999999999999"/>
    <x v="0"/>
    <n v="6"/>
    <x v="0"/>
    <n v="8"/>
    <n v="4"/>
    <n v="49"/>
    <n v="4.7300000000000004"/>
    <x v="0"/>
    <x v="0"/>
    <x v="0"/>
  </r>
  <r>
    <s v="CA-2014-161823"/>
    <d v="2014-09-04T00:00:00"/>
    <d v="2014-09-09T00:00:00"/>
    <s v="AleksandraGannaway@gmail.com"/>
    <x v="3"/>
    <x v="2"/>
    <x v="18"/>
    <n v="5.96"/>
    <n v="2"/>
    <n v="1.6688000000000001"/>
    <x v="3"/>
    <n v="9"/>
    <x v="8"/>
    <n v="4"/>
    <n v="5"/>
    <n v="28"/>
    <n v="2.98"/>
    <x v="0"/>
    <x v="0"/>
    <x v="0"/>
  </r>
  <r>
    <s v="CA-2014-138310"/>
    <d v="2014-06-27T00:00:00"/>
    <d v="2014-07-01T00:00:00"/>
    <s v="NoraPreis@gmail.com"/>
    <x v="13"/>
    <x v="7"/>
    <x v="742"/>
    <n v="431.928"/>
    <n v="9"/>
    <n v="64.789199999999994"/>
    <x v="3"/>
    <n v="6"/>
    <x v="0"/>
    <n v="27"/>
    <n v="4"/>
    <n v="15"/>
    <n v="47.991999999999997"/>
    <x v="0"/>
    <x v="0"/>
    <x v="1"/>
  </r>
  <r>
    <s v="CA-2014-141929"/>
    <d v="2014-09-05T00:00:00"/>
    <d v="2014-09-09T00:00:00"/>
    <s v="RalphArnett@gmail.com"/>
    <x v="0"/>
    <x v="3"/>
    <x v="441"/>
    <n v="487.98399999999998"/>
    <n v="2"/>
    <n v="152.495"/>
    <x v="3"/>
    <n v="9"/>
    <x v="8"/>
    <n v="5"/>
    <n v="4"/>
    <n v="31.25"/>
    <n v="243.99199999999999"/>
    <x v="0"/>
    <x v="0"/>
    <x v="1"/>
  </r>
  <r>
    <s v="CA-2014-141929"/>
    <d v="2014-09-05T00:00:00"/>
    <d v="2014-09-09T00:00:00"/>
    <s v="RalphArnett@gmail.com"/>
    <x v="0"/>
    <x v="6"/>
    <x v="743"/>
    <n v="5.56"/>
    <n v="1"/>
    <n v="1.7375"/>
    <x v="3"/>
    <n v="9"/>
    <x v="8"/>
    <n v="5"/>
    <n v="4"/>
    <n v="31.25"/>
    <n v="5.56"/>
    <x v="0"/>
    <x v="0"/>
    <x v="0"/>
  </r>
  <r>
    <s v="CA-2014-141929"/>
    <d v="2014-09-05T00:00:00"/>
    <d v="2014-09-09T00:00:00"/>
    <s v="RalphArnett@gmail.com"/>
    <x v="0"/>
    <x v="5"/>
    <x v="29"/>
    <n v="217.85"/>
    <n v="5"/>
    <n v="65.355000000000004"/>
    <x v="3"/>
    <n v="9"/>
    <x v="8"/>
    <n v="5"/>
    <n v="4"/>
    <n v="30"/>
    <n v="43.57"/>
    <x v="0"/>
    <x v="0"/>
    <x v="1"/>
  </r>
  <r>
    <s v="CA-2014-113530"/>
    <d v="2014-05-20T00:00:00"/>
    <d v="2014-05-22T00:00:00"/>
    <s v="BeckyCastell@gmail.com"/>
    <x v="3"/>
    <x v="2"/>
    <x v="372"/>
    <n v="3.52"/>
    <n v="2"/>
    <n v="1.0207999999999999"/>
    <x v="3"/>
    <n v="5"/>
    <x v="2"/>
    <n v="20"/>
    <n v="2"/>
    <n v="29"/>
    <n v="1.76"/>
    <x v="0"/>
    <x v="0"/>
    <x v="0"/>
  </r>
  <r>
    <s v="CA-2014-113530"/>
    <d v="2014-05-20T00:00:00"/>
    <d v="2014-05-22T00:00:00"/>
    <s v="BeckyCastell@gmail.com"/>
    <x v="3"/>
    <x v="2"/>
    <x v="744"/>
    <n v="5.58"/>
    <n v="1"/>
    <n v="1.395"/>
    <x v="3"/>
    <n v="5"/>
    <x v="2"/>
    <n v="20"/>
    <n v="2"/>
    <n v="25"/>
    <n v="5.58"/>
    <x v="0"/>
    <x v="0"/>
    <x v="0"/>
  </r>
  <r>
    <s v="CA-2014-113530"/>
    <d v="2014-05-20T00:00:00"/>
    <d v="2014-05-22T00:00:00"/>
    <s v="BeckyCastell@gmail.com"/>
    <x v="3"/>
    <x v="7"/>
    <x v="424"/>
    <n v="36.32"/>
    <n v="1"/>
    <n v="10.896000000000001"/>
    <x v="3"/>
    <n v="5"/>
    <x v="2"/>
    <n v="20"/>
    <n v="2"/>
    <n v="30"/>
    <n v="36.32"/>
    <x v="0"/>
    <x v="0"/>
    <x v="0"/>
  </r>
  <r>
    <s v="CA-2014-132178"/>
    <d v="2014-05-04T00:00:00"/>
    <d v="2014-05-09T00:00:00"/>
    <s v="DarrenBudd@gmail.com"/>
    <x v="0"/>
    <x v="5"/>
    <x v="745"/>
    <n v="69.52"/>
    <n v="2"/>
    <n v="19.465599999999998"/>
    <x v="3"/>
    <n v="5"/>
    <x v="2"/>
    <n v="4"/>
    <n v="5"/>
    <n v="28"/>
    <n v="34.76"/>
    <x v="0"/>
    <x v="0"/>
    <x v="0"/>
  </r>
  <r>
    <s v="CA-2011-156594"/>
    <d v="2011-12-20T00:00:00"/>
    <d v="2011-12-23T00:00:00"/>
    <s v="MichaelChen@gmail.com"/>
    <x v="0"/>
    <x v="3"/>
    <x v="441"/>
    <n v="487.98399999999998"/>
    <n v="2"/>
    <n v="152.495"/>
    <x v="1"/>
    <n v="12"/>
    <x v="1"/>
    <n v="20"/>
    <n v="3"/>
    <n v="31.25"/>
    <n v="243.99199999999999"/>
    <x v="0"/>
    <x v="0"/>
    <x v="1"/>
  </r>
  <r>
    <s v="CA-2011-156594"/>
    <d v="2011-12-20T00:00:00"/>
    <d v="2011-12-23T00:00:00"/>
    <s v="MichaelChen@gmail.com"/>
    <x v="0"/>
    <x v="2"/>
    <x v="746"/>
    <n v="47.3"/>
    <n v="2"/>
    <n v="12.298"/>
    <x v="1"/>
    <n v="12"/>
    <x v="1"/>
    <n v="20"/>
    <n v="3"/>
    <n v="26"/>
    <n v="23.65"/>
    <x v="0"/>
    <x v="0"/>
    <x v="0"/>
  </r>
  <r>
    <s v="CA-2011-156594"/>
    <d v="2011-12-20T00:00:00"/>
    <d v="2011-12-23T00:00:00"/>
    <s v="MichaelChen@gmail.com"/>
    <x v="0"/>
    <x v="2"/>
    <x v="747"/>
    <n v="4.13"/>
    <n v="1"/>
    <n v="1.1564000000000001"/>
    <x v="1"/>
    <n v="12"/>
    <x v="1"/>
    <n v="20"/>
    <n v="3"/>
    <n v="28"/>
    <n v="4.13"/>
    <x v="0"/>
    <x v="0"/>
    <x v="0"/>
  </r>
  <r>
    <s v="CA-2011-156594"/>
    <d v="2011-12-20T00:00:00"/>
    <d v="2011-12-23T00:00:00"/>
    <s v="MichaelChen@gmail.com"/>
    <x v="0"/>
    <x v="3"/>
    <x v="748"/>
    <n v="155.12"/>
    <n v="5"/>
    <n v="50.414000000000001"/>
    <x v="1"/>
    <n v="12"/>
    <x v="1"/>
    <n v="20"/>
    <n v="3"/>
    <n v="32.5"/>
    <n v="31.024000000000001"/>
    <x v="0"/>
    <x v="0"/>
    <x v="0"/>
  </r>
  <r>
    <s v="CA-2011-146528"/>
    <d v="2011-07-25T00:00:00"/>
    <d v="2011-07-27T00:00:00"/>
    <s v="VickyFreymann@gmail.com"/>
    <x v="0"/>
    <x v="8"/>
    <x v="749"/>
    <n v="6.48"/>
    <n v="1"/>
    <n v="3.1751999999999998"/>
    <x v="1"/>
    <n v="7"/>
    <x v="5"/>
    <n v="25"/>
    <n v="2"/>
    <n v="49"/>
    <n v="6.48"/>
    <x v="0"/>
    <x v="0"/>
    <x v="0"/>
  </r>
  <r>
    <s v="CA-2011-146528"/>
    <d v="2011-07-25T00:00:00"/>
    <d v="2011-07-27T00:00:00"/>
    <s v="VickyFreymann@gmail.com"/>
    <x v="0"/>
    <x v="11"/>
    <x v="750"/>
    <n v="15.52"/>
    <n v="4"/>
    <n v="4.5007999999999999"/>
    <x v="1"/>
    <n v="7"/>
    <x v="5"/>
    <n v="25"/>
    <n v="2"/>
    <n v="29"/>
    <n v="3.88"/>
    <x v="0"/>
    <x v="0"/>
    <x v="0"/>
  </r>
  <r>
    <s v="CA-2013-161676"/>
    <d v="2013-07-19T00:00:00"/>
    <d v="2013-07-24T00:00:00"/>
    <s v="JenniferPatt@gmail.com"/>
    <x v="62"/>
    <x v="11"/>
    <x v="751"/>
    <n v="33.799999999999997"/>
    <n v="5"/>
    <n v="4.2249999999999996"/>
    <x v="0"/>
    <n v="7"/>
    <x v="5"/>
    <n v="19"/>
    <n v="5"/>
    <n v="12.5"/>
    <n v="6.76"/>
    <x v="1"/>
    <x v="0"/>
    <x v="0"/>
  </r>
  <r>
    <s v="CA-2011-129364"/>
    <d v="2011-12-08T00:00:00"/>
    <d v="2011-12-13T00:00:00"/>
    <s v="TimBrockman@gmail.com"/>
    <x v="35"/>
    <x v="0"/>
    <x v="202"/>
    <n v="27.888000000000002"/>
    <n v="7"/>
    <n v="9.0635999999999992"/>
    <x v="1"/>
    <n v="12"/>
    <x v="1"/>
    <n v="8"/>
    <n v="5"/>
    <n v="32.5"/>
    <n v="3.984"/>
    <x v="0"/>
    <x v="0"/>
    <x v="0"/>
  </r>
  <r>
    <s v="CA-2011-129364"/>
    <d v="2011-12-08T00:00:00"/>
    <d v="2011-12-13T00:00:00"/>
    <s v="TimBrockman@gmail.com"/>
    <x v="35"/>
    <x v="3"/>
    <x v="752"/>
    <n v="6.4560000000000004"/>
    <n v="4"/>
    <n v="-4.5191999999999997"/>
    <x v="1"/>
    <n v="12"/>
    <x v="1"/>
    <n v="8"/>
    <n v="5"/>
    <n v="-70"/>
    <n v="1.6140000000000001"/>
    <x v="0"/>
    <x v="1"/>
    <x v="0"/>
  </r>
  <r>
    <s v="CA-2011-129364"/>
    <d v="2011-12-08T00:00:00"/>
    <d v="2011-12-13T00:00:00"/>
    <s v="TimBrockman@gmail.com"/>
    <x v="35"/>
    <x v="6"/>
    <x v="753"/>
    <n v="52.68"/>
    <n v="3"/>
    <n v="19.754999999999999"/>
    <x v="1"/>
    <n v="12"/>
    <x v="1"/>
    <n v="8"/>
    <n v="5"/>
    <n v="37.5"/>
    <n v="17.559999999999999"/>
    <x v="0"/>
    <x v="0"/>
    <x v="0"/>
  </r>
  <r>
    <s v="CA-2011-129364"/>
    <d v="2011-12-08T00:00:00"/>
    <d v="2011-12-13T00:00:00"/>
    <s v="TimBrockman@gmail.com"/>
    <x v="35"/>
    <x v="11"/>
    <x v="754"/>
    <n v="13.88"/>
    <n v="5"/>
    <n v="-2.6025"/>
    <x v="1"/>
    <n v="12"/>
    <x v="1"/>
    <n v="8"/>
    <n v="5"/>
    <n v="-18.75"/>
    <n v="2.7759999999999998"/>
    <x v="0"/>
    <x v="1"/>
    <x v="0"/>
  </r>
  <r>
    <s v="CA-2011-129364"/>
    <d v="2011-12-08T00:00:00"/>
    <d v="2011-12-13T00:00:00"/>
    <s v="TimBrockman@gmail.com"/>
    <x v="35"/>
    <x v="7"/>
    <x v="648"/>
    <n v="103.92"/>
    <n v="10"/>
    <n v="-18.186"/>
    <x v="1"/>
    <n v="12"/>
    <x v="1"/>
    <n v="8"/>
    <n v="5"/>
    <n v="-17.5"/>
    <n v="10.391999999999999"/>
    <x v="0"/>
    <x v="1"/>
    <x v="0"/>
  </r>
  <r>
    <s v="CA-2011-129364"/>
    <d v="2011-12-08T00:00:00"/>
    <d v="2011-12-13T00:00:00"/>
    <s v="TimBrockman@gmail.com"/>
    <x v="35"/>
    <x v="0"/>
    <x v="755"/>
    <n v="11.52"/>
    <n v="5"/>
    <n v="3.7440000000000002"/>
    <x v="1"/>
    <n v="12"/>
    <x v="1"/>
    <n v="8"/>
    <n v="5"/>
    <n v="32.5"/>
    <n v="2.3039999999999998"/>
    <x v="0"/>
    <x v="0"/>
    <x v="0"/>
  </r>
  <r>
    <s v="CA-2011-129364"/>
    <d v="2011-12-08T00:00:00"/>
    <d v="2011-12-13T00:00:00"/>
    <s v="TimBrockman@gmail.com"/>
    <x v="35"/>
    <x v="8"/>
    <x v="756"/>
    <n v="10.368"/>
    <n v="2"/>
    <n v="3.6288"/>
    <x v="1"/>
    <n v="12"/>
    <x v="1"/>
    <n v="8"/>
    <n v="5"/>
    <n v="35"/>
    <n v="5.1840000000000002"/>
    <x v="0"/>
    <x v="0"/>
    <x v="0"/>
  </r>
  <r>
    <s v="CA-2011-129364"/>
    <d v="2011-12-08T00:00:00"/>
    <d v="2011-12-13T00:00:00"/>
    <s v="TimBrockman@gmail.com"/>
    <x v="35"/>
    <x v="5"/>
    <x v="757"/>
    <n v="39.072000000000003"/>
    <n v="3"/>
    <n v="2.9304000000000001"/>
    <x v="1"/>
    <n v="12"/>
    <x v="1"/>
    <n v="8"/>
    <n v="5"/>
    <n v="7.5"/>
    <n v="13.023999999999999"/>
    <x v="0"/>
    <x v="0"/>
    <x v="0"/>
  </r>
  <r>
    <s v="CA-2012-156440"/>
    <d v="2012-12-05T00:00:00"/>
    <d v="2012-12-09T00:00:00"/>
    <s v="MattHagelstein@gmail.com"/>
    <x v="16"/>
    <x v="1"/>
    <x v="204"/>
    <n v="44.46"/>
    <n v="2"/>
    <n v="14.671799999999999"/>
    <x v="2"/>
    <n v="12"/>
    <x v="1"/>
    <n v="5"/>
    <n v="4"/>
    <n v="33"/>
    <n v="22.23"/>
    <x v="0"/>
    <x v="0"/>
    <x v="0"/>
  </r>
  <r>
    <s v="CA-2013-102792"/>
    <d v="2013-12-14T00:00:00"/>
    <d v="2013-12-20T00:00:00"/>
    <s v="JasperCacioppo@gmail.com"/>
    <x v="47"/>
    <x v="2"/>
    <x v="758"/>
    <n v="9.84"/>
    <n v="3"/>
    <n v="3.2471999999999999"/>
    <x v="0"/>
    <n v="12"/>
    <x v="1"/>
    <n v="14"/>
    <n v="6"/>
    <n v="33"/>
    <n v="3.28"/>
    <x v="0"/>
    <x v="0"/>
    <x v="0"/>
  </r>
  <r>
    <s v="CA-2014-140760"/>
    <d v="2014-06-03T00:00:00"/>
    <d v="2014-06-06T00:00:00"/>
    <s v="DennyOrdway@gmail.com"/>
    <x v="33"/>
    <x v="8"/>
    <x v="62"/>
    <n v="25.344000000000001"/>
    <n v="6"/>
    <n v="7.92"/>
    <x v="3"/>
    <n v="6"/>
    <x v="0"/>
    <n v="3"/>
    <n v="3"/>
    <n v="31.25"/>
    <n v="4.2240000000000002"/>
    <x v="0"/>
    <x v="0"/>
    <x v="0"/>
  </r>
  <r>
    <s v="CA-2014-140760"/>
    <d v="2014-06-03T00:00:00"/>
    <d v="2014-06-06T00:00:00"/>
    <s v="DennyOrdway@gmail.com"/>
    <x v="33"/>
    <x v="12"/>
    <x v="759"/>
    <n v="43.92"/>
    <n v="5"/>
    <n v="15.920999999999999"/>
    <x v="3"/>
    <n v="6"/>
    <x v="0"/>
    <n v="3"/>
    <n v="3"/>
    <n v="36.25"/>
    <n v="8.7840000000000007"/>
    <x v="0"/>
    <x v="0"/>
    <x v="0"/>
  </r>
  <r>
    <s v="US-2012-131359"/>
    <d v="2012-10-30T00:00:00"/>
    <d v="2012-11-02T00:00:00"/>
    <s v="FrankAtkinson@gmail.com"/>
    <x v="13"/>
    <x v="15"/>
    <x v="542"/>
    <n v="59.994"/>
    <n v="2"/>
    <n v="-45.995399999999997"/>
    <x v="2"/>
    <n v="10"/>
    <x v="7"/>
    <n v="30"/>
    <n v="3"/>
    <n v="-76.67"/>
    <n v="29.997"/>
    <x v="0"/>
    <x v="1"/>
    <x v="0"/>
  </r>
  <r>
    <s v="US-2012-131359"/>
    <d v="2012-10-30T00:00:00"/>
    <d v="2012-11-02T00:00:00"/>
    <s v="FrankAtkinson@gmail.com"/>
    <x v="13"/>
    <x v="16"/>
    <x v="760"/>
    <n v="439.99200000000002"/>
    <n v="1"/>
    <n v="164.99700000000001"/>
    <x v="2"/>
    <n v="10"/>
    <x v="7"/>
    <n v="30"/>
    <n v="3"/>
    <n v="37.5"/>
    <n v="439.99200000000002"/>
    <x v="0"/>
    <x v="0"/>
    <x v="1"/>
  </r>
  <r>
    <s v="US-2012-131359"/>
    <d v="2012-10-30T00:00:00"/>
    <d v="2012-11-02T00:00:00"/>
    <s v="FrankAtkinson@gmail.com"/>
    <x v="13"/>
    <x v="6"/>
    <x v="666"/>
    <n v="87.96"/>
    <n v="5"/>
    <n v="30.786000000000001"/>
    <x v="2"/>
    <n v="10"/>
    <x v="7"/>
    <n v="30"/>
    <n v="3"/>
    <n v="35"/>
    <n v="17.591999999999999"/>
    <x v="0"/>
    <x v="0"/>
    <x v="0"/>
  </r>
  <r>
    <s v="US-2012-131359"/>
    <d v="2012-10-30T00:00:00"/>
    <d v="2012-11-02T00:00:00"/>
    <s v="FrankAtkinson@gmail.com"/>
    <x v="13"/>
    <x v="1"/>
    <x v="761"/>
    <n v="15.488"/>
    <n v="4"/>
    <n v="3.6783999999999999"/>
    <x v="2"/>
    <n v="10"/>
    <x v="7"/>
    <n v="30"/>
    <n v="3"/>
    <n v="23.75"/>
    <n v="3.8719999999999999"/>
    <x v="0"/>
    <x v="0"/>
    <x v="0"/>
  </r>
  <r>
    <s v="CA-2012-151680"/>
    <d v="2012-11-19T00:00:00"/>
    <d v="2012-11-21T00:00:00"/>
    <s v="TonyChapman@gmail.com"/>
    <x v="1"/>
    <x v="1"/>
    <x v="641"/>
    <n v="141.96"/>
    <n v="2"/>
    <n v="22.7136"/>
    <x v="2"/>
    <n v="11"/>
    <x v="6"/>
    <n v="19"/>
    <n v="2"/>
    <n v="16"/>
    <n v="70.98"/>
    <x v="0"/>
    <x v="0"/>
    <x v="0"/>
  </r>
  <r>
    <s v="CA-2011-140039"/>
    <d v="2011-09-13T00:00:00"/>
    <d v="2011-09-17T00:00:00"/>
    <s v="OdellaNelson@gmail.com"/>
    <x v="65"/>
    <x v="5"/>
    <x v="762"/>
    <n v="79.400000000000006"/>
    <n v="5"/>
    <n v="5.9550000000000001"/>
    <x v="1"/>
    <n v="9"/>
    <x v="8"/>
    <n v="13"/>
    <n v="4"/>
    <n v="7.5"/>
    <n v="15.88"/>
    <x v="0"/>
    <x v="0"/>
    <x v="0"/>
  </r>
  <r>
    <s v="CA-2014-113670"/>
    <d v="2014-10-16T00:00:00"/>
    <d v="2014-10-18T00:00:00"/>
    <s v="RolandSchwarz@gmail.com"/>
    <x v="0"/>
    <x v="13"/>
    <x v="763"/>
    <n v="510.24"/>
    <n v="3"/>
    <n v="6.3780000000000001"/>
    <x v="3"/>
    <n v="10"/>
    <x v="7"/>
    <n v="16"/>
    <n v="2"/>
    <n v="1.25"/>
    <n v="170.08"/>
    <x v="0"/>
    <x v="0"/>
    <x v="1"/>
  </r>
  <r>
    <s v="CA-2014-113670"/>
    <d v="2014-10-16T00:00:00"/>
    <d v="2014-10-18T00:00:00"/>
    <s v="RolandSchwarz@gmail.com"/>
    <x v="0"/>
    <x v="8"/>
    <x v="421"/>
    <n v="204.95"/>
    <n v="5"/>
    <n v="100.4255"/>
    <x v="3"/>
    <n v="10"/>
    <x v="7"/>
    <n v="16"/>
    <n v="2"/>
    <n v="49"/>
    <n v="40.989999999999988"/>
    <x v="0"/>
    <x v="0"/>
    <x v="0"/>
  </r>
  <r>
    <s v="CA-2014-166198"/>
    <d v="2014-04-22T00:00:00"/>
    <d v="2014-04-25T00:00:00"/>
    <s v="JoniWasserman@gmail.com"/>
    <x v="1"/>
    <x v="7"/>
    <x v="764"/>
    <n v="11.54"/>
    <n v="1"/>
    <n v="3.4620000000000002"/>
    <x v="3"/>
    <n v="4"/>
    <x v="10"/>
    <n v="22"/>
    <n v="3"/>
    <n v="30"/>
    <n v="11.54"/>
    <x v="0"/>
    <x v="0"/>
    <x v="0"/>
  </r>
  <r>
    <s v="CA-2014-166198"/>
    <d v="2014-04-22T00:00:00"/>
    <d v="2014-04-25T00:00:00"/>
    <s v="JoniWasserman@gmail.com"/>
    <x v="1"/>
    <x v="1"/>
    <x v="765"/>
    <n v="162.6"/>
    <n v="3"/>
    <n v="34.146000000000001"/>
    <x v="3"/>
    <n v="4"/>
    <x v="10"/>
    <n v="22"/>
    <n v="3"/>
    <n v="21"/>
    <n v="54.2"/>
    <x v="0"/>
    <x v="0"/>
    <x v="0"/>
  </r>
  <r>
    <s v="CA-2011-135608"/>
    <d v="2011-12-08T00:00:00"/>
    <d v="2011-12-10T00:00:00"/>
    <s v="JimKarlsson@gmail.com"/>
    <x v="51"/>
    <x v="8"/>
    <x v="766"/>
    <n v="45.68"/>
    <n v="2"/>
    <n v="21.012799999999999"/>
    <x v="1"/>
    <n v="12"/>
    <x v="1"/>
    <n v="8"/>
    <n v="2"/>
    <n v="46"/>
    <n v="22.84"/>
    <x v="0"/>
    <x v="0"/>
    <x v="0"/>
  </r>
  <r>
    <s v="CA-2013-151512"/>
    <d v="2013-12-27T00:00:00"/>
    <d v="2014-01-03T00:00:00"/>
    <s v="SallyHughsby@gmail.com"/>
    <x v="13"/>
    <x v="4"/>
    <x v="506"/>
    <n v="18.72"/>
    <n v="2"/>
    <n v="3.51"/>
    <x v="0"/>
    <n v="12"/>
    <x v="1"/>
    <n v="27"/>
    <n v="7"/>
    <n v="18.75"/>
    <n v="9.36"/>
    <x v="0"/>
    <x v="0"/>
    <x v="0"/>
  </r>
  <r>
    <s v="CA-2014-161956"/>
    <d v="2014-08-28T00:00:00"/>
    <d v="2014-08-30T00:00:00"/>
    <s v="DanReichenbach@gmail.com"/>
    <x v="18"/>
    <x v="1"/>
    <x v="389"/>
    <n v="198.46"/>
    <n v="2"/>
    <n v="99.23"/>
    <x v="3"/>
    <n v="8"/>
    <x v="3"/>
    <n v="28"/>
    <n v="2"/>
    <n v="50"/>
    <n v="99.23"/>
    <x v="0"/>
    <x v="0"/>
    <x v="0"/>
  </r>
  <r>
    <s v="CA-2014-161956"/>
    <d v="2014-08-28T00:00:00"/>
    <d v="2014-08-30T00:00:00"/>
    <s v="DanReichenbach@gmail.com"/>
    <x v="18"/>
    <x v="4"/>
    <x v="699"/>
    <n v="321.92"/>
    <n v="4"/>
    <n v="96.575999999999993"/>
    <x v="3"/>
    <n v="8"/>
    <x v="3"/>
    <n v="28"/>
    <n v="2"/>
    <n v="30"/>
    <n v="80.48"/>
    <x v="0"/>
    <x v="0"/>
    <x v="1"/>
  </r>
  <r>
    <s v="CA-2014-161956"/>
    <d v="2014-08-28T00:00:00"/>
    <d v="2014-08-30T00:00:00"/>
    <s v="DanReichenbach@gmail.com"/>
    <x v="18"/>
    <x v="11"/>
    <x v="215"/>
    <n v="28.4"/>
    <n v="5"/>
    <n v="8.2360000000000007"/>
    <x v="3"/>
    <n v="8"/>
    <x v="3"/>
    <n v="28"/>
    <n v="2"/>
    <n v="29"/>
    <n v="5.68"/>
    <x v="0"/>
    <x v="0"/>
    <x v="0"/>
  </r>
  <r>
    <s v="CA-2014-161956"/>
    <d v="2014-08-28T00:00:00"/>
    <d v="2014-08-30T00:00:00"/>
    <s v="DanReichenbach@gmail.com"/>
    <x v="18"/>
    <x v="9"/>
    <x v="105"/>
    <n v="230.28"/>
    <n v="3"/>
    <n v="23.027999999999999"/>
    <x v="3"/>
    <n v="8"/>
    <x v="3"/>
    <n v="28"/>
    <n v="2"/>
    <n v="10"/>
    <n v="76.760000000000005"/>
    <x v="0"/>
    <x v="0"/>
    <x v="1"/>
  </r>
  <r>
    <s v="CA-2014-161956"/>
    <d v="2014-08-28T00:00:00"/>
    <d v="2014-08-30T00:00:00"/>
    <s v="DanReichenbach@gmail.com"/>
    <x v="18"/>
    <x v="8"/>
    <x v="675"/>
    <n v="116.28"/>
    <n v="3"/>
    <n v="56.977200000000003"/>
    <x v="3"/>
    <n v="8"/>
    <x v="3"/>
    <n v="28"/>
    <n v="2"/>
    <n v="49"/>
    <n v="38.76"/>
    <x v="0"/>
    <x v="0"/>
    <x v="0"/>
  </r>
  <r>
    <s v="CA-2014-161956"/>
    <d v="2014-08-28T00:00:00"/>
    <d v="2014-08-30T00:00:00"/>
    <s v="DanReichenbach@gmail.com"/>
    <x v="18"/>
    <x v="5"/>
    <x v="767"/>
    <n v="354.9"/>
    <n v="5"/>
    <n v="17.745000000000001"/>
    <x v="3"/>
    <n v="8"/>
    <x v="3"/>
    <n v="28"/>
    <n v="2"/>
    <n v="5"/>
    <n v="70.97999999999999"/>
    <x v="0"/>
    <x v="0"/>
    <x v="1"/>
  </r>
  <r>
    <s v="CA-2012-167745"/>
    <d v="2012-09-18T00:00:00"/>
    <d v="2012-09-23T00:00:00"/>
    <s v="GeorgeBell@gmail.com"/>
    <x v="0"/>
    <x v="2"/>
    <x v="768"/>
    <n v="11.68"/>
    <n v="2"/>
    <n v="5.4896000000000003"/>
    <x v="2"/>
    <n v="9"/>
    <x v="8"/>
    <n v="18"/>
    <n v="5"/>
    <n v="47"/>
    <n v="5.84"/>
    <x v="0"/>
    <x v="0"/>
    <x v="0"/>
  </r>
  <r>
    <s v="CA-2012-167745"/>
    <d v="2012-09-18T00:00:00"/>
    <d v="2012-09-23T00:00:00"/>
    <s v="GeorgeBell@gmail.com"/>
    <x v="0"/>
    <x v="11"/>
    <x v="751"/>
    <n v="16.899999999999999"/>
    <n v="2"/>
    <n v="5.07"/>
    <x v="2"/>
    <n v="9"/>
    <x v="8"/>
    <n v="18"/>
    <n v="5"/>
    <n v="30"/>
    <n v="8.4499999999999993"/>
    <x v="0"/>
    <x v="0"/>
    <x v="0"/>
  </r>
  <r>
    <s v="CA-2012-167745"/>
    <d v="2012-09-18T00:00:00"/>
    <d v="2012-09-23T00:00:00"/>
    <s v="GeorgeBell@gmail.com"/>
    <x v="0"/>
    <x v="1"/>
    <x v="769"/>
    <n v="24.4"/>
    <n v="2"/>
    <n v="10.247999999999999"/>
    <x v="2"/>
    <n v="9"/>
    <x v="8"/>
    <n v="18"/>
    <n v="5"/>
    <n v="42"/>
    <n v="12.2"/>
    <x v="0"/>
    <x v="0"/>
    <x v="0"/>
  </r>
  <r>
    <s v="CA-2011-107139"/>
    <d v="2011-07-05T00:00:00"/>
    <d v="2011-07-11T00:00:00"/>
    <s v="DennisPardue@gmail.com"/>
    <x v="0"/>
    <x v="3"/>
    <x v="130"/>
    <n v="180.96"/>
    <n v="6"/>
    <n v="67.86"/>
    <x v="1"/>
    <n v="7"/>
    <x v="5"/>
    <n v="5"/>
    <n v="6"/>
    <n v="37.5"/>
    <n v="30.16"/>
    <x v="0"/>
    <x v="0"/>
    <x v="0"/>
  </r>
  <r>
    <s v="US-2011-117163"/>
    <d v="2011-01-28T00:00:00"/>
    <d v="2011-02-03T00:00:00"/>
    <s v="EdJacobs@gmail.com"/>
    <x v="16"/>
    <x v="5"/>
    <x v="669"/>
    <n v="57.23"/>
    <n v="1"/>
    <n v="14.307499999999999"/>
    <x v="1"/>
    <n v="1"/>
    <x v="4"/>
    <n v="28"/>
    <n v="6"/>
    <n v="25"/>
    <n v="57.23"/>
    <x v="0"/>
    <x v="0"/>
    <x v="0"/>
  </r>
  <r>
    <s v="US-2011-117163"/>
    <d v="2011-01-28T00:00:00"/>
    <d v="2011-02-03T00:00:00"/>
    <s v="EdJacobs@gmail.com"/>
    <x v="16"/>
    <x v="13"/>
    <x v="770"/>
    <n v="333"/>
    <n v="3"/>
    <n v="-16.649999999999999"/>
    <x v="1"/>
    <n v="1"/>
    <x v="4"/>
    <n v="28"/>
    <n v="6"/>
    <n v="-5"/>
    <n v="111"/>
    <x v="0"/>
    <x v="1"/>
    <x v="1"/>
  </r>
  <r>
    <s v="US-2011-117163"/>
    <d v="2011-01-28T00:00:00"/>
    <d v="2011-02-03T00:00:00"/>
    <s v="EdJacobs@gmail.com"/>
    <x v="16"/>
    <x v="2"/>
    <x v="771"/>
    <n v="36.44"/>
    <n v="4"/>
    <n v="12.0252"/>
    <x v="1"/>
    <n v="1"/>
    <x v="4"/>
    <n v="28"/>
    <n v="6"/>
    <n v="33"/>
    <n v="9.11"/>
    <x v="0"/>
    <x v="0"/>
    <x v="0"/>
  </r>
  <r>
    <s v="CA-2011-100363"/>
    <d v="2011-04-08T00:00:00"/>
    <d v="2011-04-15T00:00:00"/>
    <s v="JimMitchum@gmail.com"/>
    <x v="62"/>
    <x v="10"/>
    <x v="397"/>
    <n v="2.3679999999999999"/>
    <n v="2"/>
    <n v="0.82879999999999998"/>
    <x v="1"/>
    <n v="4"/>
    <x v="10"/>
    <n v="8"/>
    <n v="7"/>
    <n v="35"/>
    <n v="1.1839999999999999"/>
    <x v="0"/>
    <x v="0"/>
    <x v="0"/>
  </r>
  <r>
    <s v="CA-2011-100363"/>
    <d v="2011-04-08T00:00:00"/>
    <d v="2011-04-15T00:00:00"/>
    <s v="JimMitchum@gmail.com"/>
    <x v="62"/>
    <x v="8"/>
    <x v="772"/>
    <n v="19.007999999999999"/>
    <n v="3"/>
    <n v="6.8903999999999996"/>
    <x v="1"/>
    <n v="4"/>
    <x v="10"/>
    <n v="8"/>
    <n v="7"/>
    <n v="36.25"/>
    <n v="6.3359999999999994"/>
    <x v="0"/>
    <x v="0"/>
    <x v="0"/>
  </r>
  <r>
    <s v="CA-2011-126760"/>
    <d v="2011-07-26T00:00:00"/>
    <d v="2011-08-02T00:00:00"/>
    <s v="KunstMiller@gmail.com"/>
    <x v="70"/>
    <x v="1"/>
    <x v="773"/>
    <n v="134.01"/>
    <n v="9"/>
    <n v="36.182699999999997"/>
    <x v="1"/>
    <n v="7"/>
    <x v="5"/>
    <n v="26"/>
    <n v="7"/>
    <n v="27"/>
    <n v="14.89"/>
    <x v="0"/>
    <x v="0"/>
    <x v="0"/>
  </r>
  <r>
    <s v="CA-2011-126760"/>
    <d v="2011-07-26T00:00:00"/>
    <d v="2011-08-02T00:00:00"/>
    <s v="KunstMiller@gmail.com"/>
    <x v="70"/>
    <x v="7"/>
    <x v="774"/>
    <n v="170.97"/>
    <n v="3"/>
    <n v="70.097700000000003"/>
    <x v="1"/>
    <n v="7"/>
    <x v="5"/>
    <n v="26"/>
    <n v="7"/>
    <n v="41"/>
    <n v="56.99"/>
    <x v="0"/>
    <x v="0"/>
    <x v="0"/>
  </r>
  <r>
    <s v="CA-2011-101931"/>
    <d v="2011-10-28T00:00:00"/>
    <d v="2011-10-31T00:00:00"/>
    <s v="ToddSumrall@gmail.com"/>
    <x v="0"/>
    <x v="3"/>
    <x v="85"/>
    <n v="7.1840000000000002"/>
    <n v="2"/>
    <n v="2.2450000000000001"/>
    <x v="1"/>
    <n v="10"/>
    <x v="7"/>
    <n v="28"/>
    <n v="3"/>
    <n v="31.25"/>
    <n v="3.5920000000000001"/>
    <x v="0"/>
    <x v="0"/>
    <x v="0"/>
  </r>
  <r>
    <s v="CA-2011-101931"/>
    <d v="2011-10-28T00:00:00"/>
    <d v="2011-10-31T00:00:00"/>
    <s v="ToddSumrall@gmail.com"/>
    <x v="0"/>
    <x v="11"/>
    <x v="775"/>
    <n v="6.28"/>
    <n v="2"/>
    <n v="6.2799999999999995E-2"/>
    <x v="1"/>
    <n v="10"/>
    <x v="7"/>
    <n v="28"/>
    <n v="3"/>
    <n v="1"/>
    <n v="3.14"/>
    <x v="0"/>
    <x v="0"/>
    <x v="0"/>
  </r>
  <r>
    <s v="CA-2011-101931"/>
    <d v="2011-10-28T00:00:00"/>
    <d v="2011-10-31T00:00:00"/>
    <s v="ToddSumrall@gmail.com"/>
    <x v="0"/>
    <x v="11"/>
    <x v="776"/>
    <n v="480.74"/>
    <n v="2"/>
    <n v="14.4222"/>
    <x v="1"/>
    <n v="10"/>
    <x v="7"/>
    <n v="28"/>
    <n v="3"/>
    <n v="3"/>
    <n v="240.37"/>
    <x v="0"/>
    <x v="0"/>
    <x v="1"/>
  </r>
  <r>
    <s v="CA-2011-101931"/>
    <d v="2011-10-28T00:00:00"/>
    <d v="2011-10-31T00:00:00"/>
    <s v="ToddSumrall@gmail.com"/>
    <x v="0"/>
    <x v="5"/>
    <x v="396"/>
    <n v="141.4"/>
    <n v="5"/>
    <n v="38.177999999999997"/>
    <x v="1"/>
    <n v="10"/>
    <x v="7"/>
    <n v="28"/>
    <n v="3"/>
    <n v="27"/>
    <n v="28.28"/>
    <x v="0"/>
    <x v="0"/>
    <x v="0"/>
  </r>
  <r>
    <s v="US-2014-131849"/>
    <d v="2014-06-07T00:00:00"/>
    <d v="2014-06-11T00:00:00"/>
    <s v="GaryHansen@gmail.com"/>
    <x v="3"/>
    <x v="1"/>
    <x v="777"/>
    <n v="4.95"/>
    <n v="1"/>
    <n v="2.1779999999999999"/>
    <x v="3"/>
    <n v="6"/>
    <x v="0"/>
    <n v="7"/>
    <n v="4"/>
    <n v="44"/>
    <n v="4.95"/>
    <x v="0"/>
    <x v="0"/>
    <x v="0"/>
  </r>
  <r>
    <s v="US-2014-131849"/>
    <d v="2014-06-07T00:00:00"/>
    <d v="2014-06-11T00:00:00"/>
    <s v="GaryHansen@gmail.com"/>
    <x v="3"/>
    <x v="5"/>
    <x v="778"/>
    <n v="26.4"/>
    <n v="5"/>
    <n v="0"/>
    <x v="3"/>
    <n v="6"/>
    <x v="0"/>
    <n v="7"/>
    <n v="4"/>
    <n v="0"/>
    <n v="5.2799999999999994"/>
    <x v="0"/>
    <x v="0"/>
    <x v="0"/>
  </r>
  <r>
    <s v="CA-2011-140816"/>
    <d v="2011-12-20T00:00:00"/>
    <d v="2011-12-20T00:00:00"/>
    <s v="TobyCarlisle@gmail.com"/>
    <x v="115"/>
    <x v="7"/>
    <x v="779"/>
    <n v="447.94400000000002"/>
    <n v="7"/>
    <n v="89.588800000000006"/>
    <x v="1"/>
    <n v="12"/>
    <x v="1"/>
    <n v="20"/>
    <n v="0"/>
    <n v="20"/>
    <n v="63.991999999999997"/>
    <x v="0"/>
    <x v="0"/>
    <x v="1"/>
  </r>
  <r>
    <s v="CA-2014-123246"/>
    <d v="2014-10-18T00:00:00"/>
    <d v="2014-10-20T00:00:00"/>
    <s v="AstreaJones@gmail.com"/>
    <x v="16"/>
    <x v="2"/>
    <x v="780"/>
    <n v="10.64"/>
    <n v="4"/>
    <n v="2.7664"/>
    <x v="3"/>
    <n v="10"/>
    <x v="7"/>
    <n v="18"/>
    <n v="2"/>
    <n v="26"/>
    <n v="2.66"/>
    <x v="1"/>
    <x v="0"/>
    <x v="0"/>
  </r>
  <r>
    <s v="CA-2011-124709"/>
    <d v="2011-07-27T00:00:00"/>
    <d v="2011-07-29T00:00:00"/>
    <s v="GiuliettaWeimer@gmail.com"/>
    <x v="3"/>
    <x v="7"/>
    <x v="781"/>
    <n v="238"/>
    <n v="2"/>
    <n v="38.08"/>
    <x v="1"/>
    <n v="7"/>
    <x v="5"/>
    <n v="27"/>
    <n v="2"/>
    <n v="16"/>
    <n v="119"/>
    <x v="0"/>
    <x v="0"/>
    <x v="1"/>
  </r>
  <r>
    <s v="CA-2012-132486"/>
    <d v="2012-10-23T00:00:00"/>
    <d v="2012-10-27T00:00:00"/>
    <s v="JayFein@gmail.com"/>
    <x v="16"/>
    <x v="7"/>
    <x v="782"/>
    <n v="148.32"/>
    <n v="9"/>
    <n v="63.7776"/>
    <x v="2"/>
    <n v="10"/>
    <x v="7"/>
    <n v="23"/>
    <n v="4"/>
    <n v="43"/>
    <n v="16.48"/>
    <x v="0"/>
    <x v="0"/>
    <x v="0"/>
  </r>
  <r>
    <s v="CA-2012-132486"/>
    <d v="2012-10-23T00:00:00"/>
    <d v="2012-10-27T00:00:00"/>
    <s v="JayFein@gmail.com"/>
    <x v="16"/>
    <x v="9"/>
    <x v="783"/>
    <n v="240.78399999999999"/>
    <n v="1"/>
    <n v="27.088200000000001"/>
    <x v="2"/>
    <n v="10"/>
    <x v="7"/>
    <n v="23"/>
    <n v="4"/>
    <n v="11.25"/>
    <n v="240.78399999999999"/>
    <x v="0"/>
    <x v="0"/>
    <x v="1"/>
  </r>
  <r>
    <s v="CA-2012-132486"/>
    <d v="2012-10-23T00:00:00"/>
    <d v="2012-10-27T00:00:00"/>
    <s v="JayFein@gmail.com"/>
    <x v="16"/>
    <x v="9"/>
    <x v="784"/>
    <n v="191.96799999999999"/>
    <n v="7"/>
    <n v="16.7972"/>
    <x v="2"/>
    <n v="10"/>
    <x v="7"/>
    <n v="23"/>
    <n v="4"/>
    <n v="8.75"/>
    <n v="27.423999999999999"/>
    <x v="0"/>
    <x v="0"/>
    <x v="0"/>
  </r>
  <r>
    <s v="CA-2012-132486"/>
    <d v="2012-10-23T00:00:00"/>
    <d v="2012-10-27T00:00:00"/>
    <s v="JayFein@gmail.com"/>
    <x v="16"/>
    <x v="8"/>
    <x v="785"/>
    <n v="11.56"/>
    <n v="2"/>
    <n v="5.6643999999999997"/>
    <x v="2"/>
    <n v="10"/>
    <x v="7"/>
    <n v="23"/>
    <n v="4"/>
    <n v="49"/>
    <n v="5.78"/>
    <x v="0"/>
    <x v="0"/>
    <x v="0"/>
  </r>
  <r>
    <s v="CA-2012-132486"/>
    <d v="2012-10-23T00:00:00"/>
    <d v="2012-10-27T00:00:00"/>
    <s v="JayFein@gmail.com"/>
    <x v="16"/>
    <x v="12"/>
    <x v="247"/>
    <n v="11.8"/>
    <n v="4"/>
    <n v="5.6639999999999997"/>
    <x v="2"/>
    <n v="10"/>
    <x v="7"/>
    <n v="23"/>
    <n v="4"/>
    <n v="48"/>
    <n v="2.95"/>
    <x v="0"/>
    <x v="0"/>
    <x v="0"/>
  </r>
  <r>
    <s v="CA-2012-129896"/>
    <d v="2012-06-15T00:00:00"/>
    <d v="2012-06-20T00:00:00"/>
    <s v="PeterFuller@gmail.com"/>
    <x v="4"/>
    <x v="8"/>
    <x v="786"/>
    <n v="9.5679999999999996"/>
    <n v="2"/>
    <n v="2.99"/>
    <x v="2"/>
    <n v="6"/>
    <x v="0"/>
    <n v="15"/>
    <n v="5"/>
    <n v="31.25"/>
    <n v="4.7839999999999998"/>
    <x v="0"/>
    <x v="0"/>
    <x v="0"/>
  </r>
  <r>
    <s v="CA-2012-129896"/>
    <d v="2012-06-15T00:00:00"/>
    <d v="2012-06-20T00:00:00"/>
    <s v="PeterFuller@gmail.com"/>
    <x v="4"/>
    <x v="5"/>
    <x v="367"/>
    <n v="82.367999999999995"/>
    <n v="2"/>
    <n v="-19.5624"/>
    <x v="2"/>
    <n v="6"/>
    <x v="0"/>
    <n v="15"/>
    <n v="5"/>
    <n v="-23.75"/>
    <n v="41.183999999999997"/>
    <x v="0"/>
    <x v="1"/>
    <x v="0"/>
  </r>
  <r>
    <s v="CA-2012-129896"/>
    <d v="2012-06-15T00:00:00"/>
    <d v="2012-06-20T00:00:00"/>
    <s v="PeterFuller@gmail.com"/>
    <x v="4"/>
    <x v="1"/>
    <x v="787"/>
    <n v="364.70400000000001"/>
    <n v="6"/>
    <n v="-36.470399999999998"/>
    <x v="2"/>
    <n v="6"/>
    <x v="0"/>
    <n v="15"/>
    <n v="5"/>
    <n v="-10"/>
    <n v="60.783999999999999"/>
    <x v="0"/>
    <x v="1"/>
    <x v="1"/>
  </r>
  <r>
    <s v="CA-2012-129896"/>
    <d v="2012-06-15T00:00:00"/>
    <d v="2012-06-20T00:00:00"/>
    <s v="PeterFuller@gmail.com"/>
    <x v="4"/>
    <x v="1"/>
    <x v="788"/>
    <n v="40.256"/>
    <n v="4"/>
    <n v="11.070399999999999"/>
    <x v="2"/>
    <n v="6"/>
    <x v="0"/>
    <n v="15"/>
    <n v="5"/>
    <n v="27.5"/>
    <n v="10.064"/>
    <x v="0"/>
    <x v="0"/>
    <x v="0"/>
  </r>
  <r>
    <s v="US-2012-119312"/>
    <d v="2012-10-02T00:00:00"/>
    <d v="2012-10-07T00:00:00"/>
    <s v="ChristopherSchild@gmail.com"/>
    <x v="0"/>
    <x v="5"/>
    <x v="789"/>
    <n v="270.33999999999997"/>
    <n v="14"/>
    <n v="75.6952"/>
    <x v="2"/>
    <n v="10"/>
    <x v="7"/>
    <n v="2"/>
    <n v="5"/>
    <n v="28"/>
    <n v="19.309999999999999"/>
    <x v="0"/>
    <x v="0"/>
    <x v="1"/>
  </r>
  <r>
    <s v="US-2014-142573"/>
    <d v="2014-07-19T00:00:00"/>
    <d v="2014-07-24T00:00:00"/>
    <s v="MarisLaWare@gmail.com"/>
    <x v="7"/>
    <x v="9"/>
    <x v="491"/>
    <n v="161.56800000000001"/>
    <n v="2"/>
    <n v="10.098000000000001"/>
    <x v="3"/>
    <n v="7"/>
    <x v="5"/>
    <n v="19"/>
    <n v="5"/>
    <n v="6.25"/>
    <n v="80.784000000000006"/>
    <x v="0"/>
    <x v="0"/>
    <x v="0"/>
  </r>
  <r>
    <s v="US-2014-142573"/>
    <d v="2014-07-19T00:00:00"/>
    <d v="2014-07-24T00:00:00"/>
    <s v="MarisLaWare@gmail.com"/>
    <x v="7"/>
    <x v="8"/>
    <x v="790"/>
    <n v="16.096"/>
    <n v="2"/>
    <n v="5.2312000000000003"/>
    <x v="3"/>
    <n v="7"/>
    <x v="5"/>
    <n v="19"/>
    <n v="5"/>
    <n v="32.5"/>
    <n v="8.048"/>
    <x v="0"/>
    <x v="0"/>
    <x v="0"/>
  </r>
  <r>
    <s v="US-2014-142573"/>
    <d v="2014-07-19T00:00:00"/>
    <d v="2014-07-24T00:00:00"/>
    <s v="MarisLaWare@gmail.com"/>
    <x v="7"/>
    <x v="3"/>
    <x v="791"/>
    <n v="7.6559999999999997"/>
    <n v="4"/>
    <n v="-6.1247999999999996"/>
    <x v="3"/>
    <n v="7"/>
    <x v="5"/>
    <n v="19"/>
    <n v="5"/>
    <n v="-80"/>
    <n v="1.9139999999999999"/>
    <x v="0"/>
    <x v="1"/>
    <x v="0"/>
  </r>
  <r>
    <s v="US-2014-142573"/>
    <d v="2014-07-19T00:00:00"/>
    <d v="2014-07-24T00:00:00"/>
    <s v="MarisLaWare@gmail.com"/>
    <x v="7"/>
    <x v="9"/>
    <x v="792"/>
    <n v="311.976"/>
    <n v="3"/>
    <n v="-42.896700000000003"/>
    <x v="3"/>
    <n v="7"/>
    <x v="5"/>
    <n v="19"/>
    <n v="5"/>
    <n v="-13.75"/>
    <n v="103.992"/>
    <x v="0"/>
    <x v="1"/>
    <x v="1"/>
  </r>
  <r>
    <s v="CA-2011-103940"/>
    <d v="2011-09-17T00:00:00"/>
    <d v="2011-09-21T00:00:00"/>
    <s v="BradleyNguyen@gmail.com"/>
    <x v="1"/>
    <x v="5"/>
    <x v="793"/>
    <n v="30.28"/>
    <n v="2"/>
    <n v="1.2112000000000001"/>
    <x v="1"/>
    <n v="9"/>
    <x v="8"/>
    <n v="17"/>
    <n v="4"/>
    <n v="4"/>
    <n v="15.14"/>
    <x v="0"/>
    <x v="0"/>
    <x v="0"/>
  </r>
  <r>
    <s v="CA-2011-103940"/>
    <d v="2011-09-17T00:00:00"/>
    <d v="2011-09-21T00:00:00"/>
    <s v="BradleyNguyen@gmail.com"/>
    <x v="1"/>
    <x v="5"/>
    <x v="789"/>
    <n v="57.93"/>
    <n v="3"/>
    <n v="16.220400000000001"/>
    <x v="1"/>
    <n v="9"/>
    <x v="8"/>
    <n v="17"/>
    <n v="4"/>
    <n v="28"/>
    <n v="19.309999999999999"/>
    <x v="0"/>
    <x v="0"/>
    <x v="0"/>
  </r>
  <r>
    <s v="CA-2011-103940"/>
    <d v="2011-09-17T00:00:00"/>
    <d v="2011-09-21T00:00:00"/>
    <s v="BradleyNguyen@gmail.com"/>
    <x v="1"/>
    <x v="1"/>
    <x v="599"/>
    <n v="35.340000000000003"/>
    <n v="2"/>
    <n v="13.4292"/>
    <x v="1"/>
    <n v="9"/>
    <x v="8"/>
    <n v="17"/>
    <n v="4"/>
    <n v="38"/>
    <n v="17.670000000000002"/>
    <x v="0"/>
    <x v="0"/>
    <x v="0"/>
  </r>
  <r>
    <s v="CA-2011-103940"/>
    <d v="2011-09-17T00:00:00"/>
    <d v="2011-09-21T00:00:00"/>
    <s v="BradleyNguyen@gmail.com"/>
    <x v="1"/>
    <x v="3"/>
    <x v="501"/>
    <n v="137.24"/>
    <n v="5"/>
    <n v="46.3185"/>
    <x v="1"/>
    <n v="9"/>
    <x v="8"/>
    <n v="17"/>
    <n v="4"/>
    <n v="33.75"/>
    <n v="27.448"/>
    <x v="0"/>
    <x v="0"/>
    <x v="0"/>
  </r>
  <r>
    <s v="CA-2014-123001"/>
    <d v="2014-09-03T00:00:00"/>
    <d v="2014-09-09T00:00:00"/>
    <s v="AnthonyWitt@gmail.com"/>
    <x v="102"/>
    <x v="2"/>
    <x v="794"/>
    <n v="9.4"/>
    <n v="5"/>
    <n v="2.726"/>
    <x v="3"/>
    <n v="9"/>
    <x v="8"/>
    <n v="3"/>
    <n v="6"/>
    <n v="29"/>
    <n v="1.88"/>
    <x v="0"/>
    <x v="0"/>
    <x v="0"/>
  </r>
  <r>
    <s v="CA-2014-123001"/>
    <d v="2014-09-03T00:00:00"/>
    <d v="2014-09-09T00:00:00"/>
    <s v="AnthonyWitt@gmail.com"/>
    <x v="102"/>
    <x v="0"/>
    <x v="795"/>
    <n v="74"/>
    <n v="5"/>
    <n v="37"/>
    <x v="3"/>
    <n v="9"/>
    <x v="8"/>
    <n v="3"/>
    <n v="6"/>
    <n v="50"/>
    <n v="14.8"/>
    <x v="0"/>
    <x v="0"/>
    <x v="0"/>
  </r>
  <r>
    <s v="CA-2014-123001"/>
    <d v="2014-09-03T00:00:00"/>
    <d v="2014-09-09T00:00:00"/>
    <s v="AnthonyWitt@gmail.com"/>
    <x v="102"/>
    <x v="6"/>
    <x v="796"/>
    <n v="201.584"/>
    <n v="2"/>
    <n v="12.599"/>
    <x v="3"/>
    <n v="9"/>
    <x v="8"/>
    <n v="3"/>
    <n v="6"/>
    <n v="6.25"/>
    <n v="100.792"/>
    <x v="0"/>
    <x v="0"/>
    <x v="0"/>
  </r>
  <r>
    <s v="CA-2013-133144"/>
    <d v="2013-05-17T00:00:00"/>
    <d v="2013-05-22T00:00:00"/>
    <s v="DennyOrdway@gmail.com"/>
    <x v="0"/>
    <x v="8"/>
    <x v="785"/>
    <n v="17.34"/>
    <n v="3"/>
    <n v="8.4966000000000008"/>
    <x v="0"/>
    <n v="5"/>
    <x v="2"/>
    <n v="17"/>
    <n v="5"/>
    <n v="49"/>
    <n v="5.78"/>
    <x v="0"/>
    <x v="0"/>
    <x v="0"/>
  </r>
  <r>
    <s v="US-2013-151862"/>
    <d v="2013-03-02T00:00:00"/>
    <d v="2013-03-09T00:00:00"/>
    <s v="OdellaNelson@gmail.com"/>
    <x v="13"/>
    <x v="6"/>
    <x v="797"/>
    <n v="159.98400000000001"/>
    <n v="2"/>
    <n v="13.9986"/>
    <x v="0"/>
    <n v="3"/>
    <x v="9"/>
    <n v="2"/>
    <n v="7"/>
    <n v="8.75"/>
    <n v="79.992000000000004"/>
    <x v="0"/>
    <x v="0"/>
    <x v="0"/>
  </r>
  <r>
    <s v="CA-2013-114951"/>
    <d v="2013-06-27T00:00:00"/>
    <d v="2013-07-04T00:00:00"/>
    <s v="DuaneNoonan@gmail.com"/>
    <x v="3"/>
    <x v="1"/>
    <x v="798"/>
    <n v="22.14"/>
    <n v="3"/>
    <n v="6.4206000000000003"/>
    <x v="0"/>
    <n v="6"/>
    <x v="0"/>
    <n v="27"/>
    <n v="7"/>
    <n v="29"/>
    <n v="7.38"/>
    <x v="0"/>
    <x v="0"/>
    <x v="0"/>
  </r>
  <r>
    <s v="CA-2014-134838"/>
    <d v="2014-02-20T00:00:00"/>
    <d v="2014-02-21T00:00:00"/>
    <s v="EmilyDucich@gmail.com"/>
    <x v="0"/>
    <x v="2"/>
    <x v="799"/>
    <n v="12.84"/>
    <n v="3"/>
    <n v="3.4668000000000001"/>
    <x v="3"/>
    <n v="2"/>
    <x v="11"/>
    <n v="20"/>
    <n v="1"/>
    <n v="27"/>
    <n v="4.28"/>
    <x v="0"/>
    <x v="0"/>
    <x v="0"/>
  </r>
  <r>
    <s v="CA-2014-134838"/>
    <d v="2014-02-20T00:00:00"/>
    <d v="2014-02-21T00:00:00"/>
    <s v="EmilyDucich@gmail.com"/>
    <x v="0"/>
    <x v="1"/>
    <x v="773"/>
    <n v="44.67"/>
    <n v="3"/>
    <n v="12.0609"/>
    <x v="3"/>
    <n v="2"/>
    <x v="11"/>
    <n v="20"/>
    <n v="1"/>
    <n v="27"/>
    <n v="14.89"/>
    <x v="0"/>
    <x v="0"/>
    <x v="0"/>
  </r>
  <r>
    <s v="CA-2013-146010"/>
    <d v="2013-05-21T00:00:00"/>
    <d v="2013-05-24T00:00:00"/>
    <s v="EugeneHildebrand@gmail.com"/>
    <x v="19"/>
    <x v="3"/>
    <x v="800"/>
    <n v="40.634999999999998"/>
    <n v="7"/>
    <n v="-32.508000000000003"/>
    <x v="0"/>
    <n v="5"/>
    <x v="2"/>
    <n v="21"/>
    <n v="3"/>
    <n v="-80"/>
    <n v="5.8049999999999997"/>
    <x v="0"/>
    <x v="1"/>
    <x v="0"/>
  </r>
  <r>
    <s v="CA-2011-135090"/>
    <d v="2011-11-22T00:00:00"/>
    <d v="2011-11-26T00:00:00"/>
    <s v="SusanPistek@gmail.com"/>
    <x v="0"/>
    <x v="8"/>
    <x v="786"/>
    <n v="53.82"/>
    <n v="9"/>
    <n v="24.219000000000001"/>
    <x v="1"/>
    <n v="11"/>
    <x v="6"/>
    <n v="22"/>
    <n v="4"/>
    <n v="45"/>
    <n v="5.98"/>
    <x v="0"/>
    <x v="0"/>
    <x v="0"/>
  </r>
  <r>
    <s v="CA-2014-101308"/>
    <d v="2014-10-03T00:00:00"/>
    <d v="2014-10-08T00:00:00"/>
    <s v="FrankGastineau@gmail.com"/>
    <x v="1"/>
    <x v="10"/>
    <x v="50"/>
    <n v="8.94"/>
    <n v="3"/>
    <n v="4.1124000000000001"/>
    <x v="3"/>
    <n v="10"/>
    <x v="7"/>
    <n v="3"/>
    <n v="5"/>
    <n v="46"/>
    <n v="2.98"/>
    <x v="0"/>
    <x v="0"/>
    <x v="0"/>
  </r>
  <r>
    <s v="CA-2014-101308"/>
    <d v="2014-10-03T00:00:00"/>
    <d v="2014-10-08T00:00:00"/>
    <s v="FrankGastineau@gmail.com"/>
    <x v="1"/>
    <x v="6"/>
    <x v="162"/>
    <n v="84.784000000000006"/>
    <n v="2"/>
    <n v="-20.136199999999999"/>
    <x v="3"/>
    <n v="10"/>
    <x v="7"/>
    <n v="3"/>
    <n v="5"/>
    <n v="-23.75"/>
    <n v="42.392000000000003"/>
    <x v="0"/>
    <x v="1"/>
    <x v="0"/>
  </r>
  <r>
    <s v="CA-2014-119564"/>
    <d v="2014-12-16T00:00:00"/>
    <d v="2014-12-21T00:00:00"/>
    <s v="PaulLucas@gmail.com"/>
    <x v="1"/>
    <x v="1"/>
    <x v="801"/>
    <n v="22.77"/>
    <n v="3"/>
    <n v="9.7911000000000001"/>
    <x v="3"/>
    <n v="12"/>
    <x v="1"/>
    <n v="16"/>
    <n v="5"/>
    <n v="43"/>
    <n v="7.59"/>
    <x v="0"/>
    <x v="0"/>
    <x v="0"/>
  </r>
  <r>
    <s v="CA-2013-135265"/>
    <d v="2013-07-08T00:00:00"/>
    <d v="2013-07-10T00:00:00"/>
    <s v="ChristopherConant@gmail.com"/>
    <x v="0"/>
    <x v="9"/>
    <x v="412"/>
    <n v="287.96800000000002"/>
    <n v="4"/>
    <n v="-3.5996000000000001"/>
    <x v="0"/>
    <n v="7"/>
    <x v="5"/>
    <n v="8"/>
    <n v="2"/>
    <n v="-1.25"/>
    <n v="71.992000000000004"/>
    <x v="0"/>
    <x v="1"/>
    <x v="1"/>
  </r>
  <r>
    <s v="CA-2013-135265"/>
    <d v="2013-07-08T00:00:00"/>
    <d v="2013-07-10T00:00:00"/>
    <s v="ChristopherConant@gmail.com"/>
    <x v="0"/>
    <x v="8"/>
    <x v="802"/>
    <n v="48.94"/>
    <n v="1"/>
    <n v="24.47"/>
    <x v="0"/>
    <n v="7"/>
    <x v="5"/>
    <n v="8"/>
    <n v="2"/>
    <n v="50"/>
    <n v="48.94"/>
    <x v="0"/>
    <x v="0"/>
    <x v="0"/>
  </r>
  <r>
    <s v="CA-2013-108735"/>
    <d v="2013-04-18T00:00:00"/>
    <d v="2013-04-22T00:00:00"/>
    <s v="JessicaMyrick@gmail.com"/>
    <x v="116"/>
    <x v="14"/>
    <x v="803"/>
    <n v="257.49900000000002"/>
    <n v="3"/>
    <n v="24.235199999999999"/>
    <x v="0"/>
    <n v="4"/>
    <x v="10"/>
    <n v="18"/>
    <n v="4"/>
    <n v="9.41"/>
    <n v="85.833000000000013"/>
    <x v="0"/>
    <x v="0"/>
    <x v="1"/>
  </r>
  <r>
    <s v="CA-2011-116834"/>
    <d v="2011-10-11T00:00:00"/>
    <d v="2011-10-16T00:00:00"/>
    <s v="Deanpercer@gmail.com"/>
    <x v="1"/>
    <x v="1"/>
    <x v="804"/>
    <n v="63.47"/>
    <n v="11"/>
    <n v="19.041"/>
    <x v="1"/>
    <n v="10"/>
    <x v="7"/>
    <n v="11"/>
    <n v="5"/>
    <n v="30"/>
    <n v="5.77"/>
    <x v="0"/>
    <x v="0"/>
    <x v="0"/>
  </r>
  <r>
    <s v="CA-2011-116834"/>
    <d v="2011-10-11T00:00:00"/>
    <d v="2011-10-16T00:00:00"/>
    <s v="Deanpercer@gmail.com"/>
    <x v="1"/>
    <x v="7"/>
    <x v="805"/>
    <n v="345"/>
    <n v="5"/>
    <n v="58.65"/>
    <x v="1"/>
    <n v="10"/>
    <x v="7"/>
    <n v="11"/>
    <n v="5"/>
    <n v="17"/>
    <n v="69"/>
    <x v="0"/>
    <x v="0"/>
    <x v="1"/>
  </r>
  <r>
    <s v="CA-2012-107468"/>
    <d v="2012-12-18T00:00:00"/>
    <d v="2012-12-22T00:00:00"/>
    <s v="MichaelKennedy@gmail.com"/>
    <x v="28"/>
    <x v="2"/>
    <x v="799"/>
    <n v="6.8479999999999999"/>
    <n v="2"/>
    <n v="0.59919999999999995"/>
    <x v="2"/>
    <n v="12"/>
    <x v="1"/>
    <n v="18"/>
    <n v="4"/>
    <n v="8.75"/>
    <n v="3.4239999999999999"/>
    <x v="0"/>
    <x v="0"/>
    <x v="0"/>
  </r>
  <r>
    <s v="CA-2014-144463"/>
    <d v="2014-01-02T00:00:00"/>
    <d v="2014-01-06T00:00:00"/>
    <s v="StevenCartwright@gmail.com"/>
    <x v="0"/>
    <x v="1"/>
    <x v="806"/>
    <n v="474.43"/>
    <n v="11"/>
    <n v="199.26060000000001"/>
    <x v="3"/>
    <n v="1"/>
    <x v="4"/>
    <n v="2"/>
    <n v="4"/>
    <n v="42"/>
    <n v="43.13"/>
    <x v="0"/>
    <x v="0"/>
    <x v="1"/>
  </r>
  <r>
    <s v="CA-2014-130764"/>
    <d v="2014-10-28T00:00:00"/>
    <d v="2014-10-29T00:00:00"/>
    <s v="JackO'Briant@gmail.com"/>
    <x v="3"/>
    <x v="6"/>
    <x v="807"/>
    <n v="95.84"/>
    <n v="4"/>
    <n v="34.741999999999997"/>
    <x v="3"/>
    <n v="10"/>
    <x v="7"/>
    <n v="28"/>
    <n v="1"/>
    <n v="36.25"/>
    <n v="23.96"/>
    <x v="0"/>
    <x v="0"/>
    <x v="0"/>
  </r>
  <r>
    <s v="CA-2013-169957"/>
    <d v="2013-09-27T00:00:00"/>
    <d v="2013-10-01T00:00:00"/>
    <s v="SteveNguyen@gmail.com"/>
    <x v="117"/>
    <x v="4"/>
    <x v="808"/>
    <n v="236.88"/>
    <n v="6"/>
    <n v="66.326400000000007"/>
    <x v="0"/>
    <n v="9"/>
    <x v="8"/>
    <n v="27"/>
    <n v="4"/>
    <n v="28"/>
    <n v="39.479999999999997"/>
    <x v="0"/>
    <x v="0"/>
    <x v="1"/>
  </r>
  <r>
    <s v="CA-2013-169957"/>
    <d v="2013-09-27T00:00:00"/>
    <d v="2013-10-01T00:00:00"/>
    <s v="SteveNguyen@gmail.com"/>
    <x v="117"/>
    <x v="8"/>
    <x v="404"/>
    <n v="29.9"/>
    <n v="5"/>
    <n v="14.651"/>
    <x v="0"/>
    <n v="9"/>
    <x v="8"/>
    <n v="27"/>
    <n v="4"/>
    <n v="49"/>
    <n v="5.98"/>
    <x v="0"/>
    <x v="0"/>
    <x v="0"/>
  </r>
  <r>
    <s v="CA-2013-169957"/>
    <d v="2013-09-27T00:00:00"/>
    <d v="2013-10-01T00:00:00"/>
    <s v="SteveNguyen@gmail.com"/>
    <x v="117"/>
    <x v="7"/>
    <x v="390"/>
    <n v="100"/>
    <n v="4"/>
    <n v="21"/>
    <x v="0"/>
    <n v="9"/>
    <x v="8"/>
    <n v="27"/>
    <n v="4"/>
    <n v="21"/>
    <n v="25"/>
    <x v="0"/>
    <x v="0"/>
    <x v="0"/>
  </r>
  <r>
    <s v="CA-2011-110786"/>
    <d v="2011-12-29T00:00:00"/>
    <d v="2012-01-02T00:00:00"/>
    <s v="AnthonyJohnson@gmail.com"/>
    <x v="3"/>
    <x v="1"/>
    <x v="809"/>
    <n v="24.9"/>
    <n v="5"/>
    <n v="8.2170000000000005"/>
    <x v="1"/>
    <n v="12"/>
    <x v="1"/>
    <n v="29"/>
    <n v="4"/>
    <n v="33"/>
    <n v="4.9800000000000004"/>
    <x v="0"/>
    <x v="0"/>
    <x v="0"/>
  </r>
  <r>
    <s v="CA-2011-110786"/>
    <d v="2011-12-29T00:00:00"/>
    <d v="2012-01-02T00:00:00"/>
    <s v="AnthonyJohnson@gmail.com"/>
    <x v="3"/>
    <x v="8"/>
    <x v="810"/>
    <n v="21.12"/>
    <n v="4"/>
    <n v="9.5039999999999996"/>
    <x v="1"/>
    <n v="12"/>
    <x v="1"/>
    <n v="29"/>
    <n v="4"/>
    <n v="45"/>
    <n v="5.28"/>
    <x v="0"/>
    <x v="0"/>
    <x v="0"/>
  </r>
  <r>
    <s v="CA-2011-110786"/>
    <d v="2011-12-29T00:00:00"/>
    <d v="2012-01-02T00:00:00"/>
    <s v="AnthonyJohnson@gmail.com"/>
    <x v="3"/>
    <x v="3"/>
    <x v="740"/>
    <n v="14.352"/>
    <n v="3"/>
    <n v="4.6643999999999997"/>
    <x v="1"/>
    <n v="12"/>
    <x v="1"/>
    <n v="29"/>
    <n v="4"/>
    <n v="32.5"/>
    <n v="4.7839999999999998"/>
    <x v="0"/>
    <x v="0"/>
    <x v="0"/>
  </r>
  <r>
    <s v="CA-2011-110786"/>
    <d v="2011-12-29T00:00:00"/>
    <d v="2012-01-02T00:00:00"/>
    <s v="AnthonyJohnson@gmail.com"/>
    <x v="3"/>
    <x v="6"/>
    <x v="811"/>
    <n v="191.976"/>
    <n v="3"/>
    <n v="19.197600000000001"/>
    <x v="1"/>
    <n v="12"/>
    <x v="1"/>
    <n v="29"/>
    <n v="4"/>
    <n v="10"/>
    <n v="63.991999999999997"/>
    <x v="0"/>
    <x v="0"/>
    <x v="0"/>
  </r>
  <r>
    <s v="CA-2011-110786"/>
    <d v="2011-12-29T00:00:00"/>
    <d v="2012-01-02T00:00:00"/>
    <s v="AnthonyJohnson@gmail.com"/>
    <x v="3"/>
    <x v="0"/>
    <x v="812"/>
    <n v="274.77"/>
    <n v="9"/>
    <n v="126.3942"/>
    <x v="1"/>
    <n v="12"/>
    <x v="1"/>
    <n v="29"/>
    <n v="4"/>
    <n v="46"/>
    <n v="30.53"/>
    <x v="0"/>
    <x v="0"/>
    <x v="1"/>
  </r>
  <r>
    <s v="CA-2011-110786"/>
    <d v="2011-12-29T00:00:00"/>
    <d v="2012-01-02T00:00:00"/>
    <s v="AnthonyJohnson@gmail.com"/>
    <x v="3"/>
    <x v="1"/>
    <x v="813"/>
    <n v="70.56"/>
    <n v="6"/>
    <n v="23.990400000000001"/>
    <x v="1"/>
    <n v="12"/>
    <x v="1"/>
    <n v="29"/>
    <n v="4"/>
    <n v="34"/>
    <n v="11.76"/>
    <x v="0"/>
    <x v="0"/>
    <x v="0"/>
  </r>
  <r>
    <s v="CA-2012-137750"/>
    <d v="2012-06-25T00:00:00"/>
    <d v="2012-06-30T00:00:00"/>
    <s v="JillFjeld@gmail.com"/>
    <x v="3"/>
    <x v="1"/>
    <x v="167"/>
    <n v="204.85"/>
    <n v="5"/>
    <n v="57.357999999999997"/>
    <x v="2"/>
    <n v="6"/>
    <x v="0"/>
    <n v="25"/>
    <n v="5"/>
    <n v="28"/>
    <n v="40.97"/>
    <x v="1"/>
    <x v="0"/>
    <x v="0"/>
  </r>
  <r>
    <s v="CA-2012-124058"/>
    <d v="2012-11-20T00:00:00"/>
    <d v="2012-11-24T00:00:00"/>
    <s v="LenaCreighton@gmail.com"/>
    <x v="52"/>
    <x v="6"/>
    <x v="814"/>
    <n v="72.744"/>
    <n v="7"/>
    <n v="-15.4581"/>
    <x v="2"/>
    <n v="11"/>
    <x v="6"/>
    <n v="20"/>
    <n v="4"/>
    <n v="-21.25"/>
    <n v="10.391999999999999"/>
    <x v="0"/>
    <x v="1"/>
    <x v="0"/>
  </r>
  <r>
    <s v="US-2012-138716"/>
    <d v="2012-09-17T00:00:00"/>
    <d v="2012-09-20T00:00:00"/>
    <s v="CariSayre@gmail.com"/>
    <x v="1"/>
    <x v="3"/>
    <x v="500"/>
    <n v="25.032"/>
    <n v="3"/>
    <n v="7.8224999999999998"/>
    <x v="2"/>
    <n v="9"/>
    <x v="8"/>
    <n v="17"/>
    <n v="3"/>
    <n v="31.25"/>
    <n v="8.3439999999999994"/>
    <x v="0"/>
    <x v="0"/>
    <x v="0"/>
  </r>
  <r>
    <s v="CA-2013-140417"/>
    <d v="2013-09-26T00:00:00"/>
    <d v="2013-09-30T00:00:00"/>
    <s v="KatrinaEdelman@gmail.com"/>
    <x v="69"/>
    <x v="8"/>
    <x v="539"/>
    <n v="60.048000000000002"/>
    <n v="9"/>
    <n v="22.518000000000001"/>
    <x v="0"/>
    <n v="9"/>
    <x v="8"/>
    <n v="26"/>
    <n v="4"/>
    <n v="37.5"/>
    <n v="6.6720000000000006"/>
    <x v="0"/>
    <x v="0"/>
    <x v="0"/>
  </r>
  <r>
    <s v="CA-2013-140417"/>
    <d v="2013-09-26T00:00:00"/>
    <d v="2013-09-30T00:00:00"/>
    <s v="KatrinaEdelman@gmail.com"/>
    <x v="69"/>
    <x v="3"/>
    <x v="815"/>
    <n v="5.0220000000000002"/>
    <n v="1"/>
    <n v="-3.5154000000000001"/>
    <x v="0"/>
    <n v="9"/>
    <x v="8"/>
    <n v="26"/>
    <n v="4"/>
    <n v="-70"/>
    <n v="5.0220000000000002"/>
    <x v="0"/>
    <x v="1"/>
    <x v="0"/>
  </r>
  <r>
    <s v="CA-2014-163692"/>
    <d v="2014-09-08T00:00:00"/>
    <d v="2014-09-10T00:00:00"/>
    <s v="Deanpercer@gmail.com"/>
    <x v="7"/>
    <x v="3"/>
    <x v="192"/>
    <n v="7.8570000000000002"/>
    <n v="3"/>
    <n v="-6.0236999999999998"/>
    <x v="3"/>
    <n v="9"/>
    <x v="8"/>
    <n v="8"/>
    <n v="2"/>
    <n v="-76.67"/>
    <n v="2.6190000000000002"/>
    <x v="0"/>
    <x v="1"/>
    <x v="0"/>
  </r>
  <r>
    <s v="CA-2013-111913"/>
    <d v="2013-08-05T00:00:00"/>
    <d v="2013-08-07T00:00:00"/>
    <s v="LindaCazamias@gmail.com"/>
    <x v="91"/>
    <x v="6"/>
    <x v="816"/>
    <n v="302.38400000000001"/>
    <n v="2"/>
    <n v="30.238399999999999"/>
    <x v="0"/>
    <n v="8"/>
    <x v="3"/>
    <n v="5"/>
    <n v="2"/>
    <n v="10"/>
    <n v="151.19200000000001"/>
    <x v="0"/>
    <x v="0"/>
    <x v="1"/>
  </r>
  <r>
    <s v="CA-2013-111913"/>
    <d v="2013-08-05T00:00:00"/>
    <d v="2013-08-07T00:00:00"/>
    <s v="LindaCazamias@gmail.com"/>
    <x v="91"/>
    <x v="3"/>
    <x v="192"/>
    <n v="20.952000000000002"/>
    <n v="3"/>
    <n v="7.0712999999999999"/>
    <x v="0"/>
    <n v="8"/>
    <x v="3"/>
    <n v="5"/>
    <n v="2"/>
    <n v="33.75"/>
    <n v="6.9840000000000009"/>
    <x v="0"/>
    <x v="0"/>
    <x v="0"/>
  </r>
  <r>
    <s v="CA-2013-111913"/>
    <d v="2013-08-05T00:00:00"/>
    <d v="2013-08-07T00:00:00"/>
    <s v="LindaCazamias@gmail.com"/>
    <x v="91"/>
    <x v="3"/>
    <x v="817"/>
    <n v="11.784000000000001"/>
    <n v="3"/>
    <n v="3.9771000000000001"/>
    <x v="0"/>
    <n v="8"/>
    <x v="3"/>
    <n v="5"/>
    <n v="2"/>
    <n v="33.75"/>
    <n v="3.9279999999999999"/>
    <x v="0"/>
    <x v="0"/>
    <x v="0"/>
  </r>
  <r>
    <s v="US-2014-155999"/>
    <d v="2014-08-08T00:00:00"/>
    <d v="2014-08-14T00:00:00"/>
    <s v="JayKimmel@gmail.com"/>
    <x v="16"/>
    <x v="6"/>
    <x v="292"/>
    <n v="159.96"/>
    <n v="5"/>
    <n v="17.9955"/>
    <x v="3"/>
    <n v="8"/>
    <x v="3"/>
    <n v="8"/>
    <n v="6"/>
    <n v="11.25"/>
    <n v="31.992000000000001"/>
    <x v="0"/>
    <x v="0"/>
    <x v="0"/>
  </r>
  <r>
    <s v="US-2014-155999"/>
    <d v="2014-08-08T00:00:00"/>
    <d v="2014-08-14T00:00:00"/>
    <s v="JayKimmel@gmail.com"/>
    <x v="16"/>
    <x v="3"/>
    <x v="265"/>
    <n v="13.76"/>
    <n v="2"/>
    <n v="4.6440000000000001"/>
    <x v="3"/>
    <n v="8"/>
    <x v="3"/>
    <n v="8"/>
    <n v="6"/>
    <n v="33.75"/>
    <n v="6.88"/>
    <x v="0"/>
    <x v="0"/>
    <x v="0"/>
  </r>
  <r>
    <s v="CA-2012-153416"/>
    <d v="2012-11-24T00:00:00"/>
    <d v="2012-11-29T00:00:00"/>
    <s v="TobySwindell@gmail.com"/>
    <x v="0"/>
    <x v="3"/>
    <x v="818"/>
    <n v="3.1680000000000001"/>
    <n v="2"/>
    <n v="0.99"/>
    <x v="2"/>
    <n v="11"/>
    <x v="6"/>
    <n v="24"/>
    <n v="5"/>
    <n v="31.25"/>
    <n v="1.5840000000000001"/>
    <x v="0"/>
    <x v="0"/>
    <x v="0"/>
  </r>
  <r>
    <s v="CA-2012-153416"/>
    <d v="2012-11-24T00:00:00"/>
    <d v="2012-11-29T00:00:00"/>
    <s v="TobySwindell@gmail.com"/>
    <x v="0"/>
    <x v="8"/>
    <x v="163"/>
    <n v="19.440000000000001"/>
    <n v="3"/>
    <n v="9.3312000000000008"/>
    <x v="2"/>
    <n v="11"/>
    <x v="6"/>
    <n v="24"/>
    <n v="5"/>
    <n v="48"/>
    <n v="6.48"/>
    <x v="0"/>
    <x v="0"/>
    <x v="0"/>
  </r>
  <r>
    <s v="CA-2012-153416"/>
    <d v="2012-11-24T00:00:00"/>
    <d v="2012-11-29T00:00:00"/>
    <s v="TobySwindell@gmail.com"/>
    <x v="0"/>
    <x v="5"/>
    <x v="696"/>
    <n v="454.86"/>
    <n v="7"/>
    <n v="54.583199999999998"/>
    <x v="2"/>
    <n v="11"/>
    <x v="6"/>
    <n v="24"/>
    <n v="5"/>
    <n v="12"/>
    <n v="64.98"/>
    <x v="0"/>
    <x v="0"/>
    <x v="1"/>
  </r>
  <r>
    <s v="CA-2012-153416"/>
    <d v="2012-11-24T00:00:00"/>
    <d v="2012-11-29T00:00:00"/>
    <s v="TobySwindell@gmail.com"/>
    <x v="0"/>
    <x v="3"/>
    <x v="652"/>
    <n v="91.391999999999996"/>
    <n v="8"/>
    <n v="29.702400000000001"/>
    <x v="2"/>
    <n v="11"/>
    <x v="6"/>
    <n v="24"/>
    <n v="5"/>
    <n v="32.5"/>
    <n v="11.423999999999999"/>
    <x v="0"/>
    <x v="0"/>
    <x v="0"/>
  </r>
  <r>
    <s v="CA-2014-133823"/>
    <d v="2014-05-12T00:00:00"/>
    <d v="2014-05-13T00:00:00"/>
    <s v="LizPelletier@gmail.com"/>
    <x v="1"/>
    <x v="8"/>
    <x v="483"/>
    <n v="37.44"/>
    <n v="6"/>
    <n v="16.847999999999999"/>
    <x v="3"/>
    <n v="5"/>
    <x v="2"/>
    <n v="12"/>
    <n v="1"/>
    <n v="45"/>
    <n v="6.2399999999999993"/>
    <x v="0"/>
    <x v="0"/>
    <x v="0"/>
  </r>
  <r>
    <s v="CA-2014-133823"/>
    <d v="2014-05-12T00:00:00"/>
    <d v="2014-05-13T00:00:00"/>
    <s v="LizPelletier@gmail.com"/>
    <x v="1"/>
    <x v="0"/>
    <x v="563"/>
    <n v="37.590000000000003"/>
    <n v="3"/>
    <n v="17.667300000000001"/>
    <x v="3"/>
    <n v="5"/>
    <x v="2"/>
    <n v="12"/>
    <n v="1"/>
    <n v="47"/>
    <n v="12.53"/>
    <x v="0"/>
    <x v="0"/>
    <x v="0"/>
  </r>
  <r>
    <s v="CA-2014-133823"/>
    <d v="2014-05-12T00:00:00"/>
    <d v="2014-05-13T00:00:00"/>
    <s v="LizPelletier@gmail.com"/>
    <x v="1"/>
    <x v="3"/>
    <x v="707"/>
    <n v="26.032"/>
    <n v="2"/>
    <n v="9.4366000000000003"/>
    <x v="3"/>
    <n v="5"/>
    <x v="2"/>
    <n v="12"/>
    <n v="1"/>
    <n v="36.25"/>
    <n v="13.016"/>
    <x v="0"/>
    <x v="0"/>
    <x v="0"/>
  </r>
  <r>
    <s v="CA-2012-121272"/>
    <d v="2012-03-29T00:00:00"/>
    <d v="2012-04-04T00:00:00"/>
    <s v="DennyOrdway@gmail.com"/>
    <x v="1"/>
    <x v="4"/>
    <x v="819"/>
    <n v="73.28"/>
    <n v="4"/>
    <n v="21.251200000000001"/>
    <x v="2"/>
    <n v="3"/>
    <x v="9"/>
    <n v="29"/>
    <n v="6"/>
    <n v="29"/>
    <n v="18.32"/>
    <x v="0"/>
    <x v="0"/>
    <x v="0"/>
  </r>
  <r>
    <s v="CA-2014-105914"/>
    <d v="2014-10-03T00:00:00"/>
    <d v="2014-10-09T00:00:00"/>
    <s v="PaulVanHugh@gmail.com"/>
    <x v="0"/>
    <x v="3"/>
    <x v="820"/>
    <n v="112.12"/>
    <n v="5"/>
    <n v="42.045000000000002"/>
    <x v="3"/>
    <n v="10"/>
    <x v="7"/>
    <n v="3"/>
    <n v="6"/>
    <n v="37.5"/>
    <n v="22.423999999999999"/>
    <x v="0"/>
    <x v="0"/>
    <x v="0"/>
  </r>
  <r>
    <s v="CA-2014-112725"/>
    <d v="2014-01-31T00:00:00"/>
    <d v="2014-02-07T00:00:00"/>
    <s v="EugeneHildebrand@gmail.com"/>
    <x v="3"/>
    <x v="2"/>
    <x v="280"/>
    <n v="12.74"/>
    <n v="7"/>
    <n v="5.7329999999999997"/>
    <x v="3"/>
    <n v="1"/>
    <x v="4"/>
    <n v="31"/>
    <n v="7"/>
    <n v="45"/>
    <n v="1.82"/>
    <x v="0"/>
    <x v="0"/>
    <x v="0"/>
  </r>
  <r>
    <s v="CA-2014-112725"/>
    <d v="2014-01-31T00:00:00"/>
    <d v="2014-02-07T00:00:00"/>
    <s v="EugeneHildebrand@gmail.com"/>
    <x v="3"/>
    <x v="2"/>
    <x v="821"/>
    <n v="8.82"/>
    <n v="3"/>
    <n v="2.3814000000000002"/>
    <x v="3"/>
    <n v="1"/>
    <x v="4"/>
    <n v="31"/>
    <n v="7"/>
    <n v="27"/>
    <n v="2.94"/>
    <x v="0"/>
    <x v="0"/>
    <x v="0"/>
  </r>
  <r>
    <s v="CA-2014-112725"/>
    <d v="2014-01-31T00:00:00"/>
    <d v="2014-02-07T00:00:00"/>
    <s v="EugeneHildebrand@gmail.com"/>
    <x v="3"/>
    <x v="9"/>
    <x v="822"/>
    <n v="120.78400000000001"/>
    <n v="1"/>
    <n v="-13.588200000000001"/>
    <x v="3"/>
    <n v="1"/>
    <x v="4"/>
    <n v="31"/>
    <n v="7"/>
    <n v="-11.25"/>
    <n v="120.78400000000001"/>
    <x v="0"/>
    <x v="1"/>
    <x v="0"/>
  </r>
  <r>
    <s v="US-2014-106131"/>
    <d v="2014-01-15T00:00:00"/>
    <d v="2014-01-17T00:00:00"/>
    <s v="TracyPoddar@gmail.com"/>
    <x v="6"/>
    <x v="7"/>
    <x v="11"/>
    <n v="169.06399999999999"/>
    <n v="7"/>
    <n v="-14.793100000000001"/>
    <x v="3"/>
    <n v="1"/>
    <x v="4"/>
    <n v="15"/>
    <n v="2"/>
    <n v="-8.75"/>
    <n v="24.152000000000001"/>
    <x v="0"/>
    <x v="1"/>
    <x v="0"/>
  </r>
  <r>
    <s v="US-2014-106131"/>
    <d v="2014-01-15T00:00:00"/>
    <d v="2014-01-17T00:00:00"/>
    <s v="TracyPoddar@gmail.com"/>
    <x v="6"/>
    <x v="5"/>
    <x v="493"/>
    <n v="168.624"/>
    <n v="9"/>
    <n v="14.7546"/>
    <x v="3"/>
    <n v="1"/>
    <x v="4"/>
    <n v="15"/>
    <n v="2"/>
    <n v="8.75"/>
    <n v="18.736000000000001"/>
    <x v="0"/>
    <x v="0"/>
    <x v="0"/>
  </r>
  <r>
    <s v="CA-2011-157924"/>
    <d v="2011-10-11T00:00:00"/>
    <d v="2011-10-13T00:00:00"/>
    <s v="HelenAndreada@gmail.com"/>
    <x v="59"/>
    <x v="5"/>
    <x v="823"/>
    <n v="31.92"/>
    <n v="4"/>
    <n v="8.2992000000000008"/>
    <x v="1"/>
    <n v="10"/>
    <x v="7"/>
    <n v="11"/>
    <n v="2"/>
    <n v="26"/>
    <n v="7.98"/>
    <x v="0"/>
    <x v="0"/>
    <x v="0"/>
  </r>
  <r>
    <s v="CA-2011-157924"/>
    <d v="2011-10-11T00:00:00"/>
    <d v="2011-10-13T00:00:00"/>
    <s v="HelenAndreada@gmail.com"/>
    <x v="59"/>
    <x v="9"/>
    <x v="824"/>
    <n v="433.56799999999998"/>
    <n v="2"/>
    <n v="-65.035200000000003"/>
    <x v="1"/>
    <n v="10"/>
    <x v="7"/>
    <n v="11"/>
    <n v="2"/>
    <n v="-15"/>
    <n v="216.78399999999999"/>
    <x v="0"/>
    <x v="1"/>
    <x v="1"/>
  </r>
  <r>
    <s v="CA-2012-100216"/>
    <d v="2012-04-13T00:00:00"/>
    <d v="2012-04-14T00:00:00"/>
    <s v="HeatherJas@gmail.com"/>
    <x v="33"/>
    <x v="8"/>
    <x v="825"/>
    <n v="31.103999999999999"/>
    <n v="6"/>
    <n v="10.8864"/>
    <x v="2"/>
    <n v="4"/>
    <x v="10"/>
    <n v="13"/>
    <n v="1"/>
    <n v="35"/>
    <n v="5.1840000000000002"/>
    <x v="0"/>
    <x v="0"/>
    <x v="0"/>
  </r>
  <r>
    <s v="CA-2012-100216"/>
    <d v="2012-04-13T00:00:00"/>
    <d v="2012-04-14T00:00:00"/>
    <s v="HeatherJas@gmail.com"/>
    <x v="33"/>
    <x v="8"/>
    <x v="303"/>
    <n v="54.816000000000003"/>
    <n v="3"/>
    <n v="17.815200000000001"/>
    <x v="2"/>
    <n v="4"/>
    <x v="10"/>
    <n v="13"/>
    <n v="1"/>
    <n v="32.5"/>
    <n v="18.271999999999998"/>
    <x v="0"/>
    <x v="0"/>
    <x v="0"/>
  </r>
  <r>
    <s v="CA-2014-100601"/>
    <d v="2014-11-17T00:00:00"/>
    <d v="2014-11-21T00:00:00"/>
    <s v="JayKimmel@gmail.com"/>
    <x v="57"/>
    <x v="5"/>
    <x v="222"/>
    <n v="48.86"/>
    <n v="7"/>
    <n v="0.97719999999999996"/>
    <x v="3"/>
    <n v="11"/>
    <x v="6"/>
    <n v="17"/>
    <n v="4"/>
    <n v="2"/>
    <n v="6.98"/>
    <x v="0"/>
    <x v="0"/>
    <x v="0"/>
  </r>
  <r>
    <s v="CA-2012-154340"/>
    <d v="2012-11-29T00:00:00"/>
    <d v="2012-11-30T00:00:00"/>
    <s v="EileenKiefer@gmail.com"/>
    <x v="44"/>
    <x v="2"/>
    <x v="826"/>
    <n v="56.3"/>
    <n v="2"/>
    <n v="15.763999999999999"/>
    <x v="2"/>
    <n v="11"/>
    <x v="6"/>
    <n v="29"/>
    <n v="1"/>
    <n v="28"/>
    <n v="28.15"/>
    <x v="0"/>
    <x v="0"/>
    <x v="0"/>
  </r>
  <r>
    <s v="CA-2013-148593"/>
    <d v="2013-06-17T00:00:00"/>
    <d v="2013-06-19T00:00:00"/>
    <s v="BillDonatelli@gmail.com"/>
    <x v="0"/>
    <x v="8"/>
    <x v="525"/>
    <n v="46.35"/>
    <n v="5"/>
    <n v="21.784500000000001"/>
    <x v="0"/>
    <n v="6"/>
    <x v="0"/>
    <n v="17"/>
    <n v="2"/>
    <n v="47"/>
    <n v="9.27"/>
    <x v="0"/>
    <x v="0"/>
    <x v="0"/>
  </r>
  <r>
    <s v="US-2014-119039"/>
    <d v="2014-03-07T00:00:00"/>
    <d v="2014-03-11T00:00:00"/>
    <s v="BenFerrer@gmail.com"/>
    <x v="3"/>
    <x v="3"/>
    <x v="827"/>
    <n v="14.976000000000001"/>
    <n v="9"/>
    <n v="5.4287999999999998"/>
    <x v="3"/>
    <n v="3"/>
    <x v="9"/>
    <n v="7"/>
    <n v="4"/>
    <n v="36.25"/>
    <n v="1.6639999999999999"/>
    <x v="0"/>
    <x v="0"/>
    <x v="0"/>
  </r>
  <r>
    <s v="CA-2012-150875"/>
    <d v="2012-11-16T00:00:00"/>
    <d v="2012-11-20T00:00:00"/>
    <s v="HeatherKirkland@gmail.com"/>
    <x v="118"/>
    <x v="6"/>
    <x v="43"/>
    <n v="304.77600000000001"/>
    <n v="3"/>
    <n v="22.8582"/>
    <x v="2"/>
    <n v="11"/>
    <x v="6"/>
    <n v="16"/>
    <n v="4"/>
    <n v="7.5"/>
    <n v="101.592"/>
    <x v="0"/>
    <x v="0"/>
    <x v="1"/>
  </r>
  <r>
    <s v="CA-2012-154200"/>
    <d v="2012-06-18T00:00:00"/>
    <d v="2012-06-22T00:00:00"/>
    <s v="BruceGeld@gmail.com"/>
    <x v="16"/>
    <x v="2"/>
    <x v="487"/>
    <n v="51.98"/>
    <n v="2"/>
    <n v="15.074199999999999"/>
    <x v="2"/>
    <n v="6"/>
    <x v="0"/>
    <n v="18"/>
    <n v="4"/>
    <n v="29"/>
    <n v="25.99"/>
    <x v="0"/>
    <x v="0"/>
    <x v="0"/>
  </r>
  <r>
    <s v="CA-2013-124233"/>
    <d v="2013-04-09T00:00:00"/>
    <d v="2013-04-15T00:00:00"/>
    <s v="ClytieKelty@gmail.com"/>
    <x v="0"/>
    <x v="1"/>
    <x v="406"/>
    <n v="24.7"/>
    <n v="5"/>
    <n v="10.374000000000001"/>
    <x v="0"/>
    <n v="4"/>
    <x v="10"/>
    <n v="9"/>
    <n v="6"/>
    <n v="42"/>
    <n v="4.9400000000000004"/>
    <x v="0"/>
    <x v="0"/>
    <x v="0"/>
  </r>
  <r>
    <s v="CA-2012-111234"/>
    <d v="2012-02-18T00:00:00"/>
    <d v="2012-02-22T00:00:00"/>
    <s v="AnnBlume@gmail.com"/>
    <x v="0"/>
    <x v="0"/>
    <x v="828"/>
    <n v="9.24"/>
    <n v="3"/>
    <n v="4.4352"/>
    <x v="2"/>
    <n v="2"/>
    <x v="11"/>
    <n v="18"/>
    <n v="4"/>
    <n v="48"/>
    <n v="3.08"/>
    <x v="0"/>
    <x v="0"/>
    <x v="0"/>
  </r>
  <r>
    <s v="CA-2014-149881"/>
    <d v="2014-04-02T00:00:00"/>
    <d v="2014-04-04T00:00:00"/>
    <s v="NickCrebassa@gmail.com"/>
    <x v="3"/>
    <x v="14"/>
    <x v="829"/>
    <n v="482.66399999999999"/>
    <n v="8"/>
    <n v="85.176000000000002"/>
    <x v="3"/>
    <n v="4"/>
    <x v="10"/>
    <n v="2"/>
    <n v="2"/>
    <n v="17.649999999999999"/>
    <n v="60.332999999999998"/>
    <x v="0"/>
    <x v="0"/>
    <x v="1"/>
  </r>
  <r>
    <s v="CA-2014-134565"/>
    <d v="2014-06-12T00:00:00"/>
    <d v="2014-06-14T00:00:00"/>
    <s v="TomBoeckenhauer@gmail.com"/>
    <x v="1"/>
    <x v="8"/>
    <x v="830"/>
    <n v="37.94"/>
    <n v="2"/>
    <n v="18.211200000000002"/>
    <x v="3"/>
    <n v="6"/>
    <x v="0"/>
    <n v="12"/>
    <n v="2"/>
    <n v="48"/>
    <n v="18.97"/>
    <x v="0"/>
    <x v="0"/>
    <x v="0"/>
  </r>
  <r>
    <s v="CA-2014-134565"/>
    <d v="2014-06-12T00:00:00"/>
    <d v="2014-06-14T00:00:00"/>
    <s v="TomBoeckenhauer@gmail.com"/>
    <x v="1"/>
    <x v="3"/>
    <x v="233"/>
    <n v="18.288"/>
    <n v="6"/>
    <n v="6.6294000000000004"/>
    <x v="3"/>
    <n v="6"/>
    <x v="0"/>
    <n v="12"/>
    <n v="2"/>
    <n v="36.25"/>
    <n v="3.048"/>
    <x v="0"/>
    <x v="0"/>
    <x v="0"/>
  </r>
  <r>
    <s v="CA-2014-134565"/>
    <d v="2014-06-12T00:00:00"/>
    <d v="2014-06-14T00:00:00"/>
    <s v="TomBoeckenhauer@gmail.com"/>
    <x v="1"/>
    <x v="15"/>
    <x v="831"/>
    <n v="385.8"/>
    <n v="5"/>
    <n v="130.20750000000001"/>
    <x v="3"/>
    <n v="6"/>
    <x v="0"/>
    <n v="12"/>
    <n v="2"/>
    <n v="33.75"/>
    <n v="77.16"/>
    <x v="0"/>
    <x v="0"/>
    <x v="1"/>
  </r>
  <r>
    <s v="CA-2014-134565"/>
    <d v="2014-06-12T00:00:00"/>
    <d v="2014-06-14T00:00:00"/>
    <s v="TomBoeckenhauer@gmail.com"/>
    <x v="1"/>
    <x v="5"/>
    <x v="367"/>
    <n v="102.96"/>
    <n v="2"/>
    <n v="1.0296000000000001"/>
    <x v="3"/>
    <n v="6"/>
    <x v="0"/>
    <n v="12"/>
    <n v="2"/>
    <n v="1"/>
    <n v="51.48"/>
    <x v="0"/>
    <x v="0"/>
    <x v="0"/>
  </r>
  <r>
    <s v="CA-2014-134565"/>
    <d v="2014-06-12T00:00:00"/>
    <d v="2014-06-14T00:00:00"/>
    <s v="TomBoeckenhauer@gmail.com"/>
    <x v="1"/>
    <x v="14"/>
    <x v="832"/>
    <n v="174.42"/>
    <n v="3"/>
    <n v="41.860799999999998"/>
    <x v="3"/>
    <n v="6"/>
    <x v="0"/>
    <n v="12"/>
    <n v="2"/>
    <n v="24"/>
    <n v="58.139999999999993"/>
    <x v="0"/>
    <x v="0"/>
    <x v="0"/>
  </r>
  <r>
    <s v="CA-2012-154970"/>
    <d v="2012-01-05T00:00:00"/>
    <d v="2012-01-10T00:00:00"/>
    <s v="StevenRoelle@gmail.com"/>
    <x v="1"/>
    <x v="9"/>
    <x v="623"/>
    <n v="61.584000000000003"/>
    <n v="1"/>
    <n v="-6.9282000000000004"/>
    <x v="2"/>
    <n v="1"/>
    <x v="4"/>
    <n v="5"/>
    <n v="5"/>
    <n v="-11.25"/>
    <n v="61.584000000000003"/>
    <x v="0"/>
    <x v="1"/>
    <x v="0"/>
  </r>
  <r>
    <s v="CA-2014-147144"/>
    <d v="2014-03-27T00:00:00"/>
    <d v="2014-03-29T00:00:00"/>
    <s v="MariaZettner@gmail.com"/>
    <x v="1"/>
    <x v="2"/>
    <x v="833"/>
    <n v="19.829999999999998"/>
    <n v="1"/>
    <n v="5.9489999999999998"/>
    <x v="3"/>
    <n v="3"/>
    <x v="9"/>
    <n v="27"/>
    <n v="2"/>
    <n v="30"/>
    <n v="19.829999999999998"/>
    <x v="0"/>
    <x v="0"/>
    <x v="0"/>
  </r>
  <r>
    <s v="CA-2011-133704"/>
    <d v="2011-09-20T00:00:00"/>
    <d v="2011-09-26T00:00:00"/>
    <s v="MichelleArnett@gmail.com"/>
    <x v="0"/>
    <x v="4"/>
    <x v="50"/>
    <n v="43.92"/>
    <n v="4"/>
    <n v="11.8584"/>
    <x v="1"/>
    <n v="9"/>
    <x v="8"/>
    <n v="20"/>
    <n v="6"/>
    <n v="27"/>
    <n v="10.98"/>
    <x v="0"/>
    <x v="0"/>
    <x v="0"/>
  </r>
  <r>
    <s v="CA-2011-133704"/>
    <d v="2011-09-20T00:00:00"/>
    <d v="2011-09-26T00:00:00"/>
    <s v="MichelleArnett@gmail.com"/>
    <x v="0"/>
    <x v="3"/>
    <x v="214"/>
    <n v="20.231999999999999"/>
    <n v="3"/>
    <n v="6.5754000000000001"/>
    <x v="1"/>
    <n v="9"/>
    <x v="8"/>
    <n v="20"/>
    <n v="6"/>
    <n v="32.5"/>
    <n v="6.7439999999999998"/>
    <x v="0"/>
    <x v="0"/>
    <x v="0"/>
  </r>
  <r>
    <s v="CA-2011-138436"/>
    <d v="2011-03-26T00:00:00"/>
    <d v="2011-03-30T00:00:00"/>
    <s v="JonathanDoherty@gmail.com"/>
    <x v="0"/>
    <x v="7"/>
    <x v="55"/>
    <n v="66.3"/>
    <n v="3"/>
    <n v="8.6189999999999998"/>
    <x v="1"/>
    <n v="3"/>
    <x v="9"/>
    <n v="26"/>
    <n v="4"/>
    <n v="13"/>
    <n v="22.1"/>
    <x v="0"/>
    <x v="0"/>
    <x v="0"/>
  </r>
  <r>
    <s v="CA-2012-101924"/>
    <d v="2012-09-04T00:00:00"/>
    <d v="2012-09-09T00:00:00"/>
    <s v="KenBlack@gmail.com"/>
    <x v="75"/>
    <x v="3"/>
    <x v="707"/>
    <n v="9.7620000000000005"/>
    <n v="2"/>
    <n v="-6.8334000000000001"/>
    <x v="2"/>
    <n v="9"/>
    <x v="8"/>
    <n v="4"/>
    <n v="5"/>
    <n v="-70"/>
    <n v="4.8810000000000002"/>
    <x v="0"/>
    <x v="1"/>
    <x v="0"/>
  </r>
  <r>
    <s v="CA-2013-124793"/>
    <d v="2013-03-15T00:00:00"/>
    <d v="2013-03-17T00:00:00"/>
    <s v="MuhammedMacIntyre@gmail.com"/>
    <x v="1"/>
    <x v="9"/>
    <x v="436"/>
    <n v="196.78399999999999"/>
    <n v="2"/>
    <n v="-22.138200000000001"/>
    <x v="0"/>
    <n v="3"/>
    <x v="9"/>
    <n v="15"/>
    <n v="2"/>
    <n v="-11.25"/>
    <n v="98.391999999999996"/>
    <x v="0"/>
    <x v="1"/>
    <x v="0"/>
  </r>
  <r>
    <s v="US-2014-158505"/>
    <d v="2014-07-22T00:00:00"/>
    <d v="2014-07-22T00:00:00"/>
    <s v="SarahFoster@gmail.com"/>
    <x v="101"/>
    <x v="6"/>
    <x v="834"/>
    <n v="71.927999999999997"/>
    <n v="9"/>
    <n v="6.2937000000000003"/>
    <x v="3"/>
    <n v="7"/>
    <x v="5"/>
    <n v="22"/>
    <n v="0"/>
    <n v="8.75"/>
    <n v="7.992"/>
    <x v="0"/>
    <x v="0"/>
    <x v="0"/>
  </r>
  <r>
    <s v="US-2014-158505"/>
    <d v="2014-07-22T00:00:00"/>
    <d v="2014-07-22T00:00:00"/>
    <s v="SarahFoster@gmail.com"/>
    <x v="101"/>
    <x v="2"/>
    <x v="487"/>
    <n v="25.99"/>
    <n v="1"/>
    <n v="7.5370999999999997"/>
    <x v="3"/>
    <n v="7"/>
    <x v="5"/>
    <n v="22"/>
    <n v="0"/>
    <n v="29"/>
    <n v="25.99"/>
    <x v="0"/>
    <x v="0"/>
    <x v="0"/>
  </r>
  <r>
    <s v="CA-2012-142692"/>
    <d v="2012-10-23T00:00:00"/>
    <d v="2012-10-28T00:00:00"/>
    <s v="AndrewGjertsen@gmail.com"/>
    <x v="1"/>
    <x v="3"/>
    <x v="85"/>
    <n v="3.5920000000000001"/>
    <n v="1"/>
    <n v="1.1225000000000001"/>
    <x v="2"/>
    <n v="10"/>
    <x v="7"/>
    <n v="23"/>
    <n v="5"/>
    <n v="31.25"/>
    <n v="3.5920000000000001"/>
    <x v="0"/>
    <x v="0"/>
    <x v="0"/>
  </r>
  <r>
    <s v="CA-2014-151358"/>
    <d v="2014-08-19T00:00:00"/>
    <d v="2014-08-23T00:00:00"/>
    <s v="NicoleFjeld@gmail.com"/>
    <x v="1"/>
    <x v="5"/>
    <x v="246"/>
    <n v="323.10000000000002"/>
    <n v="2"/>
    <n v="61.389000000000003"/>
    <x v="3"/>
    <n v="8"/>
    <x v="3"/>
    <n v="19"/>
    <n v="4"/>
    <n v="19"/>
    <n v="161.55000000000001"/>
    <x v="0"/>
    <x v="0"/>
    <x v="1"/>
  </r>
  <r>
    <s v="CA-2014-102407"/>
    <d v="2014-12-10T00:00:00"/>
    <d v="2014-12-14T00:00:00"/>
    <s v="AlyssaTate@gmail.com"/>
    <x v="0"/>
    <x v="2"/>
    <x v="744"/>
    <n v="11.16"/>
    <n v="2"/>
    <n v="2.79"/>
    <x v="3"/>
    <n v="12"/>
    <x v="1"/>
    <n v="10"/>
    <n v="4"/>
    <n v="25"/>
    <n v="5.58"/>
    <x v="0"/>
    <x v="0"/>
    <x v="0"/>
  </r>
  <r>
    <s v="CA-2014-102407"/>
    <d v="2014-12-10T00:00:00"/>
    <d v="2014-12-14T00:00:00"/>
    <s v="AlyssaTate@gmail.com"/>
    <x v="0"/>
    <x v="4"/>
    <x v="835"/>
    <n v="189"/>
    <n v="1"/>
    <n v="68.040000000000006"/>
    <x v="3"/>
    <n v="12"/>
    <x v="1"/>
    <n v="10"/>
    <n v="4"/>
    <n v="36"/>
    <n v="189"/>
    <x v="0"/>
    <x v="0"/>
    <x v="0"/>
  </r>
  <r>
    <s v="CA-2014-101581"/>
    <d v="2014-10-23T00:00:00"/>
    <d v="2014-10-28T00:00:00"/>
    <s v="DavidWiener@gmail.com"/>
    <x v="72"/>
    <x v="13"/>
    <x v="425"/>
    <n v="177.22499999999999"/>
    <n v="5"/>
    <n v="-120.51300000000001"/>
    <x v="3"/>
    <n v="10"/>
    <x v="7"/>
    <n v="23"/>
    <n v="5"/>
    <n v="-68"/>
    <n v="35.445"/>
    <x v="0"/>
    <x v="1"/>
    <x v="0"/>
  </r>
  <r>
    <s v="CA-2014-169124"/>
    <d v="2014-07-04T00:00:00"/>
    <d v="2014-07-11T00:00:00"/>
    <s v="MariaBertelson@gmail.com"/>
    <x v="119"/>
    <x v="1"/>
    <x v="806"/>
    <n v="129.38999999999999"/>
    <n v="3"/>
    <n v="54.343800000000002"/>
    <x v="3"/>
    <n v="7"/>
    <x v="5"/>
    <n v="4"/>
    <n v="7"/>
    <n v="42"/>
    <n v="43.13"/>
    <x v="0"/>
    <x v="0"/>
    <x v="0"/>
  </r>
  <r>
    <s v="CA-2014-117261"/>
    <d v="2014-09-05T00:00:00"/>
    <d v="2014-09-11T00:00:00"/>
    <s v="TiffanyHouse@gmail.com"/>
    <x v="0"/>
    <x v="5"/>
    <x v="836"/>
    <n v="54.32"/>
    <n v="4"/>
    <n v="0.54320000000000002"/>
    <x v="3"/>
    <n v="9"/>
    <x v="8"/>
    <n v="5"/>
    <n v="6"/>
    <n v="1"/>
    <n v="13.58"/>
    <x v="0"/>
    <x v="0"/>
    <x v="0"/>
  </r>
  <r>
    <s v="CA-2011-162278"/>
    <d v="2011-10-26T00:00:00"/>
    <d v="2011-10-30T00:00:00"/>
    <s v="AngeleHood@gmail.com"/>
    <x v="1"/>
    <x v="1"/>
    <x v="141"/>
    <n v="63.92"/>
    <n v="4"/>
    <n v="3.1960000000000002"/>
    <x v="1"/>
    <n v="10"/>
    <x v="7"/>
    <n v="26"/>
    <n v="4"/>
    <n v="5"/>
    <n v="15.98"/>
    <x v="0"/>
    <x v="0"/>
    <x v="0"/>
  </r>
  <r>
    <s v="CA-2011-162278"/>
    <d v="2011-10-26T00:00:00"/>
    <d v="2011-10-30T00:00:00"/>
    <s v="AngeleHood@gmail.com"/>
    <x v="1"/>
    <x v="6"/>
    <x v="837"/>
    <n v="383.96"/>
    <n v="5"/>
    <n v="38.396000000000001"/>
    <x v="1"/>
    <n v="10"/>
    <x v="7"/>
    <n v="26"/>
    <n v="4"/>
    <n v="10"/>
    <n v="76.792000000000002"/>
    <x v="0"/>
    <x v="0"/>
    <x v="1"/>
  </r>
  <r>
    <s v="CA-2013-161095"/>
    <d v="2013-06-29T00:00:00"/>
    <d v="2013-06-29T00:00:00"/>
    <s v="ChrisSelesnick@gmail.com"/>
    <x v="0"/>
    <x v="3"/>
    <x v="161"/>
    <n v="7.7519999999999998"/>
    <n v="3"/>
    <n v="2.8100999999999998"/>
    <x v="0"/>
    <n v="6"/>
    <x v="0"/>
    <n v="29"/>
    <n v="0"/>
    <n v="36.25"/>
    <n v="2.5840000000000001"/>
    <x v="0"/>
    <x v="0"/>
    <x v="0"/>
  </r>
  <r>
    <s v="CA-2013-161095"/>
    <d v="2013-06-29T00:00:00"/>
    <d v="2013-06-29T00:00:00"/>
    <s v="ChrisSelesnick@gmail.com"/>
    <x v="0"/>
    <x v="3"/>
    <x v="838"/>
    <n v="33.567999999999998"/>
    <n v="2"/>
    <n v="11.748799999999999"/>
    <x v="0"/>
    <n v="6"/>
    <x v="0"/>
    <n v="29"/>
    <n v="0"/>
    <n v="35"/>
    <n v="16.783999999999999"/>
    <x v="0"/>
    <x v="0"/>
    <x v="0"/>
  </r>
  <r>
    <s v="CA-2011-125829"/>
    <d v="2011-11-04T00:00:00"/>
    <d v="2011-11-11T00:00:00"/>
    <s v="WilliamBrown@gmail.com"/>
    <x v="0"/>
    <x v="3"/>
    <x v="320"/>
    <n v="21.936"/>
    <n v="3"/>
    <n v="8.2260000000000009"/>
    <x v="1"/>
    <n v="11"/>
    <x v="6"/>
    <n v="4"/>
    <n v="7"/>
    <n v="37.5"/>
    <n v="7.3120000000000003"/>
    <x v="0"/>
    <x v="0"/>
    <x v="0"/>
  </r>
  <r>
    <s v="CA-2011-125829"/>
    <d v="2011-11-04T00:00:00"/>
    <d v="2011-11-11T00:00:00"/>
    <s v="WilliamBrown@gmail.com"/>
    <x v="0"/>
    <x v="8"/>
    <x v="839"/>
    <n v="19.440000000000001"/>
    <n v="3"/>
    <n v="9.3312000000000008"/>
    <x v="1"/>
    <n v="11"/>
    <x v="6"/>
    <n v="4"/>
    <n v="7"/>
    <n v="48"/>
    <n v="6.48"/>
    <x v="0"/>
    <x v="0"/>
    <x v="0"/>
  </r>
  <r>
    <s v="CA-2011-125829"/>
    <d v="2011-11-04T00:00:00"/>
    <d v="2011-11-11T00:00:00"/>
    <s v="WilliamBrown@gmail.com"/>
    <x v="0"/>
    <x v="15"/>
    <x v="840"/>
    <n v="447.96800000000002"/>
    <n v="4"/>
    <n v="139.99"/>
    <x v="1"/>
    <n v="11"/>
    <x v="6"/>
    <n v="4"/>
    <n v="7"/>
    <n v="31.25"/>
    <n v="111.992"/>
    <x v="0"/>
    <x v="0"/>
    <x v="1"/>
  </r>
  <r>
    <s v="CA-2012-115945"/>
    <d v="2012-06-25T00:00:00"/>
    <d v="2012-07-01T00:00:00"/>
    <s v="AlanBarnes@gmail.com"/>
    <x v="0"/>
    <x v="2"/>
    <x v="50"/>
    <n v="20.96"/>
    <n v="2"/>
    <n v="5.24"/>
    <x v="2"/>
    <n v="6"/>
    <x v="0"/>
    <n v="25"/>
    <n v="6"/>
    <n v="25"/>
    <n v="10.48"/>
    <x v="0"/>
    <x v="0"/>
    <x v="0"/>
  </r>
  <r>
    <s v="CA-2012-115945"/>
    <d v="2012-06-25T00:00:00"/>
    <d v="2012-07-01T00:00:00"/>
    <s v="AlanBarnes@gmail.com"/>
    <x v="0"/>
    <x v="3"/>
    <x v="401"/>
    <n v="88.751999999999995"/>
    <n v="3"/>
    <n v="27.734999999999999"/>
    <x v="2"/>
    <n v="6"/>
    <x v="0"/>
    <n v="25"/>
    <n v="6"/>
    <n v="31.25"/>
    <n v="29.584"/>
    <x v="0"/>
    <x v="0"/>
    <x v="0"/>
  </r>
  <r>
    <s v="CA-2012-115945"/>
    <d v="2012-06-25T00:00:00"/>
    <d v="2012-07-01T00:00:00"/>
    <s v="AlanBarnes@gmail.com"/>
    <x v="0"/>
    <x v="5"/>
    <x v="170"/>
    <n v="304.23"/>
    <n v="3"/>
    <n v="9.1268999999999991"/>
    <x v="2"/>
    <n v="6"/>
    <x v="0"/>
    <n v="25"/>
    <n v="6"/>
    <n v="3"/>
    <n v="101.41"/>
    <x v="0"/>
    <x v="0"/>
    <x v="1"/>
  </r>
  <r>
    <s v="CA-2012-136735"/>
    <d v="2012-07-26T00:00:00"/>
    <d v="2012-08-02T00:00:00"/>
    <s v="HelenAndreada@gmail.com"/>
    <x v="3"/>
    <x v="12"/>
    <x v="841"/>
    <n v="167.86"/>
    <n v="2"/>
    <n v="78.894199999999998"/>
    <x v="2"/>
    <n v="7"/>
    <x v="5"/>
    <n v="26"/>
    <n v="7"/>
    <n v="47"/>
    <n v="83.93"/>
    <x v="0"/>
    <x v="0"/>
    <x v="0"/>
  </r>
  <r>
    <s v="CA-2011-152345"/>
    <d v="2011-12-29T00:00:00"/>
    <d v="2012-01-03T00:00:00"/>
    <s v="ShuiTom@gmail.com"/>
    <x v="93"/>
    <x v="6"/>
    <x v="842"/>
    <n v="23.975999999999999"/>
    <n v="3"/>
    <n v="-5.6943000000000001"/>
    <x v="1"/>
    <n v="12"/>
    <x v="1"/>
    <n v="29"/>
    <n v="5"/>
    <n v="-23.75"/>
    <n v="7.992"/>
    <x v="0"/>
    <x v="1"/>
    <x v="0"/>
  </r>
  <r>
    <s v="CA-2011-152345"/>
    <d v="2011-12-29T00:00:00"/>
    <d v="2012-01-03T00:00:00"/>
    <s v="ShuiTom@gmail.com"/>
    <x v="93"/>
    <x v="5"/>
    <x v="529"/>
    <n v="33.29"/>
    <n v="1"/>
    <n v="7.9896000000000003"/>
    <x v="1"/>
    <n v="12"/>
    <x v="1"/>
    <n v="29"/>
    <n v="5"/>
    <n v="24"/>
    <n v="33.29"/>
    <x v="0"/>
    <x v="0"/>
    <x v="0"/>
  </r>
  <r>
    <s v="CA-2014-107909"/>
    <d v="2014-09-02T00:00:00"/>
    <d v="2014-09-07T00:00:00"/>
    <s v="SungShariari@gmail.com"/>
    <x v="120"/>
    <x v="7"/>
    <x v="843"/>
    <n v="19.989999999999998"/>
    <n v="1"/>
    <n v="6.7965999999999998"/>
    <x v="3"/>
    <n v="9"/>
    <x v="8"/>
    <n v="2"/>
    <n v="5"/>
    <n v="34"/>
    <n v="19.989999999999998"/>
    <x v="0"/>
    <x v="0"/>
    <x v="0"/>
  </r>
  <r>
    <s v="CA-2014-107909"/>
    <d v="2014-09-02T00:00:00"/>
    <d v="2014-09-07T00:00:00"/>
    <s v="SungShariari@gmail.com"/>
    <x v="120"/>
    <x v="3"/>
    <x v="844"/>
    <n v="22.92"/>
    <n v="5"/>
    <n v="8.0220000000000002"/>
    <x v="3"/>
    <n v="9"/>
    <x v="8"/>
    <n v="2"/>
    <n v="5"/>
    <n v="35"/>
    <n v="4.5840000000000014"/>
    <x v="0"/>
    <x v="0"/>
    <x v="0"/>
  </r>
  <r>
    <s v="CA-2012-154795"/>
    <d v="2012-12-20T00:00:00"/>
    <d v="2012-12-24T00:00:00"/>
    <s v="GaryZandusky@gmail.com"/>
    <x v="121"/>
    <x v="12"/>
    <x v="845"/>
    <n v="7.92"/>
    <n v="1"/>
    <n v="2.7719999999999998"/>
    <x v="2"/>
    <n v="12"/>
    <x v="1"/>
    <n v="20"/>
    <n v="4"/>
    <n v="35"/>
    <n v="7.92"/>
    <x v="0"/>
    <x v="0"/>
    <x v="0"/>
  </r>
  <r>
    <s v="CA-2012-154795"/>
    <d v="2012-12-20T00:00:00"/>
    <d v="2012-12-24T00:00:00"/>
    <s v="GaryZandusky@gmail.com"/>
    <x v="121"/>
    <x v="1"/>
    <x v="846"/>
    <n v="14.368"/>
    <n v="2"/>
    <n v="3.9512"/>
    <x v="2"/>
    <n v="12"/>
    <x v="1"/>
    <n v="20"/>
    <n v="4"/>
    <n v="27.5"/>
    <n v="7.1840000000000002"/>
    <x v="0"/>
    <x v="0"/>
    <x v="0"/>
  </r>
  <r>
    <s v="CA-2012-125234"/>
    <d v="2012-11-27T00:00:00"/>
    <d v="2012-12-01T00:00:00"/>
    <s v="SteveNguyen@gmail.com"/>
    <x v="0"/>
    <x v="7"/>
    <x v="97"/>
    <n v="107.97"/>
    <n v="3"/>
    <n v="22.6737"/>
    <x v="2"/>
    <n v="11"/>
    <x v="6"/>
    <n v="27"/>
    <n v="4"/>
    <n v="21"/>
    <n v="35.99"/>
    <x v="0"/>
    <x v="0"/>
    <x v="0"/>
  </r>
  <r>
    <s v="CA-2012-125234"/>
    <d v="2012-11-27T00:00:00"/>
    <d v="2012-12-01T00:00:00"/>
    <s v="SteveNguyen@gmail.com"/>
    <x v="0"/>
    <x v="8"/>
    <x v="632"/>
    <n v="113.82"/>
    <n v="3"/>
    <n v="53.495399999999997"/>
    <x v="2"/>
    <n v="11"/>
    <x v="6"/>
    <n v="27"/>
    <n v="4"/>
    <n v="47"/>
    <n v="37.94"/>
    <x v="0"/>
    <x v="0"/>
    <x v="0"/>
  </r>
  <r>
    <s v="CA-2014-105410"/>
    <d v="2014-03-20T00:00:00"/>
    <d v="2014-03-23T00:00:00"/>
    <s v="NatalieDeCherney@gmail.com"/>
    <x v="3"/>
    <x v="3"/>
    <x v="301"/>
    <n v="19.824000000000002"/>
    <n v="6"/>
    <n v="6.6905999999999999"/>
    <x v="3"/>
    <n v="3"/>
    <x v="9"/>
    <n v="20"/>
    <n v="3"/>
    <n v="33.75"/>
    <n v="3.3039999999999998"/>
    <x v="0"/>
    <x v="0"/>
    <x v="0"/>
  </r>
  <r>
    <s v="CA-2014-105410"/>
    <d v="2014-03-20T00:00:00"/>
    <d v="2014-03-23T00:00:00"/>
    <s v="NatalieDeCherney@gmail.com"/>
    <x v="3"/>
    <x v="7"/>
    <x v="25"/>
    <n v="99.54"/>
    <n v="2"/>
    <n v="10.949400000000001"/>
    <x v="3"/>
    <n v="3"/>
    <x v="9"/>
    <n v="20"/>
    <n v="3"/>
    <n v="11"/>
    <n v="49.77"/>
    <x v="0"/>
    <x v="0"/>
    <x v="0"/>
  </r>
  <r>
    <s v="CA-2014-105410"/>
    <d v="2014-03-20T00:00:00"/>
    <d v="2014-03-23T00:00:00"/>
    <s v="NatalieDeCherney@gmail.com"/>
    <x v="3"/>
    <x v="7"/>
    <x v="486"/>
    <n v="199.96"/>
    <n v="4"/>
    <n v="85.982799999999997"/>
    <x v="3"/>
    <n v="3"/>
    <x v="9"/>
    <n v="20"/>
    <n v="3"/>
    <n v="43"/>
    <n v="49.99"/>
    <x v="0"/>
    <x v="0"/>
    <x v="0"/>
  </r>
  <r>
    <s v="CA-2014-169894"/>
    <d v="2014-11-25T00:00:00"/>
    <d v="2014-11-30T00:00:00"/>
    <s v="MarkVanHuff@gmail.com"/>
    <x v="33"/>
    <x v="3"/>
    <x v="371"/>
    <n v="20.724"/>
    <n v="2"/>
    <n v="-15.1976"/>
    <x v="3"/>
    <n v="11"/>
    <x v="6"/>
    <n v="25"/>
    <n v="5"/>
    <n v="-73.33"/>
    <n v="10.362"/>
    <x v="0"/>
    <x v="1"/>
    <x v="0"/>
  </r>
  <r>
    <s v="CA-2014-169894"/>
    <d v="2014-11-25T00:00:00"/>
    <d v="2014-11-30T00:00:00"/>
    <s v="MarkVanHuff@gmail.com"/>
    <x v="33"/>
    <x v="5"/>
    <x v="696"/>
    <n v="415.87200000000001"/>
    <n v="8"/>
    <n v="-41.587200000000003"/>
    <x v="3"/>
    <n v="11"/>
    <x v="6"/>
    <n v="25"/>
    <n v="5"/>
    <n v="-10"/>
    <n v="51.984000000000002"/>
    <x v="0"/>
    <x v="1"/>
    <x v="1"/>
  </r>
  <r>
    <s v="CA-2014-107748"/>
    <d v="2014-12-11T00:00:00"/>
    <d v="2014-12-13T00:00:00"/>
    <s v="AlexGrayson@gmail.com"/>
    <x v="84"/>
    <x v="6"/>
    <x v="807"/>
    <n v="95.84"/>
    <n v="4"/>
    <n v="34.741999999999997"/>
    <x v="3"/>
    <n v="12"/>
    <x v="1"/>
    <n v="11"/>
    <n v="2"/>
    <n v="36.25"/>
    <n v="23.96"/>
    <x v="0"/>
    <x v="0"/>
    <x v="0"/>
  </r>
  <r>
    <s v="CA-2014-107748"/>
    <d v="2014-12-11T00:00:00"/>
    <d v="2014-12-13T00:00:00"/>
    <s v="AlexGrayson@gmail.com"/>
    <x v="84"/>
    <x v="8"/>
    <x v="163"/>
    <n v="12.96"/>
    <n v="2"/>
    <n v="6.2207999999999997"/>
    <x v="3"/>
    <n v="12"/>
    <x v="1"/>
    <n v="11"/>
    <n v="2"/>
    <n v="48"/>
    <n v="6.48"/>
    <x v="0"/>
    <x v="0"/>
    <x v="0"/>
  </r>
  <r>
    <s v="CA-2011-166954"/>
    <d v="2011-04-25T00:00:00"/>
    <d v="2011-04-30T00:00:00"/>
    <s v="BethThompson@gmail.com"/>
    <x v="122"/>
    <x v="1"/>
    <x v="847"/>
    <n v="303.25"/>
    <n v="5"/>
    <n v="63.682499999999997"/>
    <x v="1"/>
    <n v="4"/>
    <x v="10"/>
    <n v="25"/>
    <n v="5"/>
    <n v="21"/>
    <n v="60.65"/>
    <x v="0"/>
    <x v="0"/>
    <x v="1"/>
  </r>
  <r>
    <s v="CA-2011-166954"/>
    <d v="2011-04-25T00:00:00"/>
    <d v="2011-04-30T00:00:00"/>
    <s v="BethThompson@gmail.com"/>
    <x v="122"/>
    <x v="4"/>
    <x v="848"/>
    <n v="270.72000000000003"/>
    <n v="3"/>
    <n v="78.508799999999994"/>
    <x v="1"/>
    <n v="4"/>
    <x v="10"/>
    <n v="25"/>
    <n v="5"/>
    <n v="29"/>
    <n v="90.240000000000009"/>
    <x v="0"/>
    <x v="0"/>
    <x v="1"/>
  </r>
  <r>
    <s v="CA-2012-152891"/>
    <d v="2012-10-25T00:00:00"/>
    <d v="2012-10-30T00:00:00"/>
    <s v="TrudyBrown@gmail.com"/>
    <x v="3"/>
    <x v="2"/>
    <x v="702"/>
    <n v="60.45"/>
    <n v="3"/>
    <n v="16.3215"/>
    <x v="2"/>
    <n v="10"/>
    <x v="7"/>
    <n v="25"/>
    <n v="5"/>
    <n v="27"/>
    <n v="20.149999999999999"/>
    <x v="0"/>
    <x v="0"/>
    <x v="0"/>
  </r>
  <r>
    <s v="CA-2012-152891"/>
    <d v="2012-10-25T00:00:00"/>
    <d v="2012-10-30T00:00:00"/>
    <s v="TrudyBrown@gmail.com"/>
    <x v="3"/>
    <x v="13"/>
    <x v="849"/>
    <n v="253.17599999999999"/>
    <n v="3"/>
    <n v="-31.646999999999998"/>
    <x v="2"/>
    <n v="10"/>
    <x v="7"/>
    <n v="25"/>
    <n v="5"/>
    <n v="-12.5"/>
    <n v="84.391999999999996"/>
    <x v="0"/>
    <x v="1"/>
    <x v="1"/>
  </r>
  <r>
    <s v="CA-2013-156811"/>
    <d v="2013-10-28T00:00:00"/>
    <d v="2013-11-03T00:00:00"/>
    <s v="BartPistole@gmail.com"/>
    <x v="3"/>
    <x v="4"/>
    <x v="50"/>
    <n v="43.92"/>
    <n v="4"/>
    <n v="11.8584"/>
    <x v="0"/>
    <n v="10"/>
    <x v="7"/>
    <n v="28"/>
    <n v="6"/>
    <n v="27"/>
    <n v="10.98"/>
    <x v="0"/>
    <x v="0"/>
    <x v="0"/>
  </r>
  <r>
    <s v="CA-2013-156811"/>
    <d v="2013-10-28T00:00:00"/>
    <d v="2013-11-03T00:00:00"/>
    <s v="BartPistole@gmail.com"/>
    <x v="3"/>
    <x v="3"/>
    <x v="500"/>
    <n v="25.032"/>
    <n v="3"/>
    <n v="7.8224999999999998"/>
    <x v="0"/>
    <n v="10"/>
    <x v="7"/>
    <n v="28"/>
    <n v="6"/>
    <n v="31.25"/>
    <n v="8.3439999999999994"/>
    <x v="0"/>
    <x v="0"/>
    <x v="0"/>
  </r>
  <r>
    <s v="CA-2013-148740"/>
    <d v="2013-11-16T00:00:00"/>
    <d v="2013-11-20T00:00:00"/>
    <s v="AnnaHÃ¤berlin@gmail.com"/>
    <x v="16"/>
    <x v="6"/>
    <x v="850"/>
    <n v="361.37599999999998"/>
    <n v="2"/>
    <n v="27.103200000000001"/>
    <x v="0"/>
    <n v="11"/>
    <x v="6"/>
    <n v="16"/>
    <n v="4"/>
    <n v="7.5"/>
    <n v="180.68799999999999"/>
    <x v="0"/>
    <x v="0"/>
    <x v="1"/>
  </r>
  <r>
    <s v="CA-2013-114538"/>
    <d v="2013-12-27T00:00:00"/>
    <d v="2013-12-28T00:00:00"/>
    <s v="RoyCollins@gmail.com"/>
    <x v="19"/>
    <x v="2"/>
    <x v="851"/>
    <n v="11.327999999999999"/>
    <n v="2"/>
    <n v="2.5488"/>
    <x v="0"/>
    <n v="12"/>
    <x v="1"/>
    <n v="27"/>
    <n v="1"/>
    <n v="22.5"/>
    <n v="5.6639999999999997"/>
    <x v="0"/>
    <x v="0"/>
    <x v="0"/>
  </r>
  <r>
    <s v="US-2011-154879"/>
    <d v="2011-05-06T00:00:00"/>
    <d v="2011-05-11T00:00:00"/>
    <s v="SteveNguyen@gmail.com"/>
    <x v="0"/>
    <x v="0"/>
    <x v="50"/>
    <n v="5.78"/>
    <n v="2"/>
    <n v="2.7166000000000001"/>
    <x v="1"/>
    <n v="5"/>
    <x v="2"/>
    <n v="6"/>
    <n v="5"/>
    <n v="47"/>
    <n v="2.89"/>
    <x v="0"/>
    <x v="0"/>
    <x v="0"/>
  </r>
  <r>
    <s v="US-2011-154879"/>
    <d v="2011-05-06T00:00:00"/>
    <d v="2011-05-11T00:00:00"/>
    <s v="SteveNguyen@gmail.com"/>
    <x v="0"/>
    <x v="2"/>
    <x v="207"/>
    <n v="107.94"/>
    <n v="6"/>
    <n v="30.223199999999999"/>
    <x v="1"/>
    <n v="5"/>
    <x v="2"/>
    <n v="6"/>
    <n v="5"/>
    <n v="28"/>
    <n v="17.989999999999998"/>
    <x v="0"/>
    <x v="0"/>
    <x v="0"/>
  </r>
  <r>
    <s v="CA-2011-153983"/>
    <d v="2011-11-29T00:00:00"/>
    <d v="2011-12-06T00:00:00"/>
    <s v="AlanHwang@gmail.com"/>
    <x v="3"/>
    <x v="10"/>
    <x v="50"/>
    <n v="30.4"/>
    <n v="5"/>
    <n v="15.2"/>
    <x v="1"/>
    <n v="11"/>
    <x v="6"/>
    <n v="29"/>
    <n v="7"/>
    <n v="50"/>
    <n v="6.08"/>
    <x v="0"/>
    <x v="0"/>
    <x v="0"/>
  </r>
  <r>
    <s v="US-2014-103226"/>
    <d v="2014-09-23T00:00:00"/>
    <d v="2014-09-29T00:00:00"/>
    <s v="DavidWiener@gmail.com"/>
    <x v="93"/>
    <x v="8"/>
    <x v="852"/>
    <n v="27.18"/>
    <n v="3"/>
    <n v="12.231"/>
    <x v="3"/>
    <n v="9"/>
    <x v="8"/>
    <n v="23"/>
    <n v="6"/>
    <n v="45"/>
    <n v="9.06"/>
    <x v="0"/>
    <x v="0"/>
    <x v="0"/>
  </r>
  <r>
    <s v="CA-2012-121965"/>
    <d v="2012-06-19T00:00:00"/>
    <d v="2012-06-23T00:00:00"/>
    <s v="LoganHaushalter@gmail.com"/>
    <x v="0"/>
    <x v="1"/>
    <x v="853"/>
    <n v="12.56"/>
    <n v="2"/>
    <n v="4.0191999999999997"/>
    <x v="2"/>
    <n v="6"/>
    <x v="0"/>
    <n v="19"/>
    <n v="4"/>
    <n v="32"/>
    <n v="6.28"/>
    <x v="0"/>
    <x v="0"/>
    <x v="0"/>
  </r>
  <r>
    <s v="CA-2012-121965"/>
    <d v="2012-06-19T00:00:00"/>
    <d v="2012-06-23T00:00:00"/>
    <s v="LoganHaushalter@gmail.com"/>
    <x v="0"/>
    <x v="8"/>
    <x v="854"/>
    <n v="6.48"/>
    <n v="1"/>
    <n v="3.1103999999999998"/>
    <x v="2"/>
    <n v="6"/>
    <x v="0"/>
    <n v="19"/>
    <n v="4"/>
    <n v="48"/>
    <n v="6.48"/>
    <x v="0"/>
    <x v="0"/>
    <x v="0"/>
  </r>
  <r>
    <s v="CA-2012-121965"/>
    <d v="2012-06-19T00:00:00"/>
    <d v="2012-06-23T00:00:00"/>
    <s v="LoganHaushalter@gmail.com"/>
    <x v="0"/>
    <x v="12"/>
    <x v="566"/>
    <n v="186.69"/>
    <n v="3"/>
    <n v="87.744299999999996"/>
    <x v="2"/>
    <n v="6"/>
    <x v="0"/>
    <n v="19"/>
    <n v="4"/>
    <n v="47"/>
    <n v="62.23"/>
    <x v="0"/>
    <x v="0"/>
    <x v="0"/>
  </r>
  <r>
    <s v="CA-2013-147137"/>
    <d v="2013-07-05T00:00:00"/>
    <d v="2013-07-07T00:00:00"/>
    <s v="AnnaAndreadi@gmail.com"/>
    <x v="3"/>
    <x v="1"/>
    <x v="855"/>
    <n v="25.4"/>
    <n v="5"/>
    <n v="8.6359999999999992"/>
    <x v="0"/>
    <n v="7"/>
    <x v="5"/>
    <n v="5"/>
    <n v="2"/>
    <n v="34"/>
    <n v="5.08"/>
    <x v="0"/>
    <x v="0"/>
    <x v="0"/>
  </r>
  <r>
    <s v="CA-2013-147137"/>
    <d v="2013-07-05T00:00:00"/>
    <d v="2013-07-07T00:00:00"/>
    <s v="AnnaAndreadi@gmail.com"/>
    <x v="3"/>
    <x v="12"/>
    <x v="856"/>
    <n v="43.96"/>
    <n v="2"/>
    <n v="20.661200000000001"/>
    <x v="0"/>
    <n v="7"/>
    <x v="5"/>
    <n v="5"/>
    <n v="2"/>
    <n v="47"/>
    <n v="21.98"/>
    <x v="0"/>
    <x v="0"/>
    <x v="0"/>
  </r>
  <r>
    <s v="CA-2013-147137"/>
    <d v="2013-07-05T00:00:00"/>
    <d v="2013-07-07T00:00:00"/>
    <s v="AnnaAndreadi@gmail.com"/>
    <x v="3"/>
    <x v="5"/>
    <x v="222"/>
    <n v="27.92"/>
    <n v="4"/>
    <n v="0.55840000000000001"/>
    <x v="0"/>
    <n v="7"/>
    <x v="5"/>
    <n v="5"/>
    <n v="2"/>
    <n v="2"/>
    <n v="6.98"/>
    <x v="0"/>
    <x v="0"/>
    <x v="0"/>
  </r>
  <r>
    <s v="US-2012-146745"/>
    <d v="2012-09-03T00:00:00"/>
    <d v="2012-09-08T00:00:00"/>
    <s v="AnnSteele@gmail.com"/>
    <x v="3"/>
    <x v="9"/>
    <x v="488"/>
    <n v="129.56800000000001"/>
    <n v="2"/>
    <n v="-12.956799999999999"/>
    <x v="2"/>
    <n v="9"/>
    <x v="8"/>
    <n v="3"/>
    <n v="5"/>
    <n v="-10"/>
    <n v="64.784000000000006"/>
    <x v="0"/>
    <x v="1"/>
    <x v="0"/>
  </r>
  <r>
    <s v="US-2012-146745"/>
    <d v="2012-09-03T00:00:00"/>
    <d v="2012-09-08T00:00:00"/>
    <s v="AnnSteele@gmail.com"/>
    <x v="3"/>
    <x v="3"/>
    <x v="28"/>
    <n v="6.3680000000000003"/>
    <n v="2"/>
    <n v="2.1492"/>
    <x v="2"/>
    <n v="9"/>
    <x v="8"/>
    <n v="3"/>
    <n v="5"/>
    <n v="33.75"/>
    <n v="3.1840000000000002"/>
    <x v="0"/>
    <x v="0"/>
    <x v="0"/>
  </r>
  <r>
    <s v="CA-2014-115175"/>
    <d v="2014-08-08T00:00:00"/>
    <d v="2014-08-13T00:00:00"/>
    <s v="MattCollins@gmail.com"/>
    <x v="10"/>
    <x v="8"/>
    <x v="571"/>
    <n v="244.55"/>
    <n v="5"/>
    <n v="114.9385"/>
    <x v="3"/>
    <n v="8"/>
    <x v="3"/>
    <n v="8"/>
    <n v="5"/>
    <n v="47"/>
    <n v="48.91"/>
    <x v="0"/>
    <x v="0"/>
    <x v="1"/>
  </r>
  <r>
    <s v="US-2014-125717"/>
    <d v="2014-09-29T00:00:00"/>
    <d v="2014-10-02T00:00:00"/>
    <s v="DarrinSayre@gmail.com"/>
    <x v="6"/>
    <x v="1"/>
    <x v="167"/>
    <n v="32.776000000000003"/>
    <n v="1"/>
    <n v="3.2776000000000001"/>
    <x v="3"/>
    <n v="9"/>
    <x v="8"/>
    <n v="29"/>
    <n v="3"/>
    <n v="10"/>
    <n v="32.776000000000003"/>
    <x v="0"/>
    <x v="0"/>
    <x v="0"/>
  </r>
  <r>
    <s v="US-2014-125717"/>
    <d v="2014-09-29T00:00:00"/>
    <d v="2014-10-02T00:00:00"/>
    <s v="DarrinSayre@gmail.com"/>
    <x v="6"/>
    <x v="5"/>
    <x v="857"/>
    <n v="147.184"/>
    <n v="2"/>
    <n v="-29.436800000000002"/>
    <x v="3"/>
    <n v="9"/>
    <x v="8"/>
    <n v="29"/>
    <n v="3"/>
    <n v="-20"/>
    <n v="73.591999999999999"/>
    <x v="0"/>
    <x v="1"/>
    <x v="0"/>
  </r>
  <r>
    <s v="US-2014-125717"/>
    <d v="2014-09-29T00:00:00"/>
    <d v="2014-10-02T00:00:00"/>
    <s v="DarrinSayre@gmail.com"/>
    <x v="6"/>
    <x v="7"/>
    <x v="858"/>
    <n v="54.384"/>
    <n v="2"/>
    <n v="1.3595999999999999"/>
    <x v="3"/>
    <n v="9"/>
    <x v="8"/>
    <n v="29"/>
    <n v="3"/>
    <n v="2.5"/>
    <n v="27.192"/>
    <x v="0"/>
    <x v="0"/>
    <x v="0"/>
  </r>
  <r>
    <s v="US-2014-125717"/>
    <d v="2014-09-29T00:00:00"/>
    <d v="2014-10-02T00:00:00"/>
    <s v="DarrinSayre@gmail.com"/>
    <x v="6"/>
    <x v="3"/>
    <x v="503"/>
    <n v="76.775999999999996"/>
    <n v="4"/>
    <n v="-58.861600000000003"/>
    <x v="3"/>
    <n v="9"/>
    <x v="8"/>
    <n v="29"/>
    <n v="3"/>
    <n v="-76.67"/>
    <n v="19.193999999999999"/>
    <x v="0"/>
    <x v="1"/>
    <x v="0"/>
  </r>
  <r>
    <s v="US-2014-125717"/>
    <d v="2014-09-29T00:00:00"/>
    <d v="2014-10-02T00:00:00"/>
    <s v="DarrinSayre@gmail.com"/>
    <x v="6"/>
    <x v="8"/>
    <x v="859"/>
    <n v="14.352"/>
    <n v="3"/>
    <n v="5.2026000000000003"/>
    <x v="3"/>
    <n v="9"/>
    <x v="8"/>
    <n v="29"/>
    <n v="3"/>
    <n v="36.25"/>
    <n v="4.7839999999999998"/>
    <x v="0"/>
    <x v="0"/>
    <x v="0"/>
  </r>
  <r>
    <s v="US-2014-125717"/>
    <d v="2014-09-29T00:00:00"/>
    <d v="2014-10-02T00:00:00"/>
    <s v="DarrinSayre@gmail.com"/>
    <x v="6"/>
    <x v="4"/>
    <x v="717"/>
    <n v="209.792"/>
    <n v="2"/>
    <n v="26.224"/>
    <x v="3"/>
    <n v="9"/>
    <x v="8"/>
    <n v="29"/>
    <n v="3"/>
    <n v="12.5"/>
    <n v="104.896"/>
    <x v="0"/>
    <x v="0"/>
    <x v="0"/>
  </r>
  <r>
    <s v="CA-2012-163895"/>
    <d v="2012-08-07T00:00:00"/>
    <d v="2012-08-11T00:00:00"/>
    <s v="NoelStaavos@gmail.com"/>
    <x v="118"/>
    <x v="3"/>
    <x v="301"/>
    <n v="3.3039999999999998"/>
    <n v="1"/>
    <n v="1.1151"/>
    <x v="2"/>
    <n v="8"/>
    <x v="3"/>
    <n v="7"/>
    <n v="4"/>
    <n v="33.75"/>
    <n v="3.3039999999999998"/>
    <x v="0"/>
    <x v="0"/>
    <x v="0"/>
  </r>
  <r>
    <s v="CA-2013-109365"/>
    <d v="2013-11-04T00:00:00"/>
    <d v="2013-11-09T00:00:00"/>
    <s v="XylonaPreis@gmail.com"/>
    <x v="0"/>
    <x v="10"/>
    <x v="277"/>
    <n v="15.26"/>
    <n v="7"/>
    <n v="5.0358000000000001"/>
    <x v="0"/>
    <n v="11"/>
    <x v="6"/>
    <n v="4"/>
    <n v="5"/>
    <n v="33"/>
    <n v="2.1800000000000002"/>
    <x v="0"/>
    <x v="0"/>
    <x v="0"/>
  </r>
  <r>
    <s v="CA-2013-109365"/>
    <d v="2013-11-04T00:00:00"/>
    <d v="2013-11-09T00:00:00"/>
    <s v="XylonaPreis@gmail.com"/>
    <x v="0"/>
    <x v="4"/>
    <x v="860"/>
    <n v="43.32"/>
    <n v="2"/>
    <n v="14.2956"/>
    <x v="0"/>
    <n v="11"/>
    <x v="6"/>
    <n v="4"/>
    <n v="5"/>
    <n v="33"/>
    <n v="21.66"/>
    <x v="0"/>
    <x v="0"/>
    <x v="0"/>
  </r>
  <r>
    <s v="CA-2013-109365"/>
    <d v="2013-11-04T00:00:00"/>
    <d v="2013-11-09T00:00:00"/>
    <s v="XylonaPreis@gmail.com"/>
    <x v="0"/>
    <x v="3"/>
    <x v="356"/>
    <n v="43.584000000000003"/>
    <n v="12"/>
    <n v="15.799200000000001"/>
    <x v="0"/>
    <n v="11"/>
    <x v="6"/>
    <n v="4"/>
    <n v="5"/>
    <n v="36.25"/>
    <n v="3.6320000000000001"/>
    <x v="0"/>
    <x v="0"/>
    <x v="0"/>
  </r>
  <r>
    <s v="CA-2013-109365"/>
    <d v="2013-11-04T00:00:00"/>
    <d v="2013-11-09T00:00:00"/>
    <s v="XylonaPreis@gmail.com"/>
    <x v="0"/>
    <x v="8"/>
    <x v="861"/>
    <n v="116.28"/>
    <n v="3"/>
    <n v="56.977200000000003"/>
    <x v="0"/>
    <n v="11"/>
    <x v="6"/>
    <n v="4"/>
    <n v="5"/>
    <n v="49"/>
    <n v="38.76"/>
    <x v="0"/>
    <x v="0"/>
    <x v="0"/>
  </r>
  <r>
    <s v="CA-2013-109365"/>
    <d v="2013-11-04T00:00:00"/>
    <d v="2013-11-09T00:00:00"/>
    <s v="XylonaPreis@gmail.com"/>
    <x v="0"/>
    <x v="3"/>
    <x v="221"/>
    <n v="9.2959999999999994"/>
    <n v="2"/>
    <n v="3.0211999999999999"/>
    <x v="0"/>
    <n v="11"/>
    <x v="6"/>
    <n v="4"/>
    <n v="5"/>
    <n v="32.5"/>
    <n v="4.6479999999999997"/>
    <x v="0"/>
    <x v="0"/>
    <x v="0"/>
  </r>
  <r>
    <s v="CA-2013-109365"/>
    <d v="2013-11-04T00:00:00"/>
    <d v="2013-11-09T00:00:00"/>
    <s v="XylonaPreis@gmail.com"/>
    <x v="0"/>
    <x v="8"/>
    <x v="523"/>
    <n v="19.440000000000001"/>
    <n v="3"/>
    <n v="9.3312000000000008"/>
    <x v="0"/>
    <n v="11"/>
    <x v="6"/>
    <n v="4"/>
    <n v="5"/>
    <n v="48"/>
    <n v="6.48"/>
    <x v="0"/>
    <x v="0"/>
    <x v="0"/>
  </r>
  <r>
    <s v="CA-2013-109365"/>
    <d v="2013-11-04T00:00:00"/>
    <d v="2013-11-09T00:00:00"/>
    <s v="XylonaPreis@gmail.com"/>
    <x v="0"/>
    <x v="8"/>
    <x v="393"/>
    <n v="314.55"/>
    <n v="3"/>
    <n v="150.98400000000001"/>
    <x v="0"/>
    <n v="11"/>
    <x v="6"/>
    <n v="4"/>
    <n v="5"/>
    <n v="48"/>
    <n v="104.85"/>
    <x v="0"/>
    <x v="0"/>
    <x v="1"/>
  </r>
  <r>
    <s v="CA-2014-105921"/>
    <d v="2014-08-15T00:00:00"/>
    <d v="2014-08-22T00:00:00"/>
    <s v="JanetMartin@gmail.com"/>
    <x v="0"/>
    <x v="13"/>
    <x v="862"/>
    <n v="418.29599999999999"/>
    <n v="3"/>
    <n v="5.2286999999999999"/>
    <x v="3"/>
    <n v="8"/>
    <x v="3"/>
    <n v="15"/>
    <n v="7"/>
    <n v="1.25"/>
    <n v="139.43199999999999"/>
    <x v="1"/>
    <x v="0"/>
    <x v="1"/>
  </r>
  <r>
    <s v="CA-2014-112753"/>
    <d v="2014-06-19T00:00:00"/>
    <d v="2014-06-24T00:00:00"/>
    <s v="CraigCarreira@gmail.com"/>
    <x v="0"/>
    <x v="8"/>
    <x v="863"/>
    <n v="38.880000000000003"/>
    <n v="6"/>
    <n v="19.051200000000001"/>
    <x v="3"/>
    <n v="6"/>
    <x v="0"/>
    <n v="19"/>
    <n v="5"/>
    <n v="49"/>
    <n v="6.48"/>
    <x v="0"/>
    <x v="0"/>
    <x v="0"/>
  </r>
  <r>
    <s v="CA-2011-103401"/>
    <d v="2011-11-21T00:00:00"/>
    <d v="2011-11-26T00:00:00"/>
    <s v="GeorgiaRosenberg@gmail.com"/>
    <x v="3"/>
    <x v="8"/>
    <x v="864"/>
    <n v="12.96"/>
    <n v="2"/>
    <n v="6.2207999999999997"/>
    <x v="1"/>
    <n v="11"/>
    <x v="6"/>
    <n v="21"/>
    <n v="5"/>
    <n v="48"/>
    <n v="6.48"/>
    <x v="1"/>
    <x v="0"/>
    <x v="0"/>
  </r>
  <r>
    <s v="CA-2013-124814"/>
    <d v="2013-04-11T00:00:00"/>
    <d v="2013-04-17T00:00:00"/>
    <s v="FiliaMcAdams@gmail.com"/>
    <x v="102"/>
    <x v="8"/>
    <x v="865"/>
    <n v="12.96"/>
    <n v="2"/>
    <n v="6.2207999999999997"/>
    <x v="0"/>
    <n v="4"/>
    <x v="10"/>
    <n v="11"/>
    <n v="6"/>
    <n v="48"/>
    <n v="6.48"/>
    <x v="0"/>
    <x v="0"/>
    <x v="0"/>
  </r>
  <r>
    <s v="CA-2013-124814"/>
    <d v="2013-04-11T00:00:00"/>
    <d v="2013-04-17T00:00:00"/>
    <s v="FiliaMcAdams@gmail.com"/>
    <x v="102"/>
    <x v="3"/>
    <x v="637"/>
    <n v="23.2"/>
    <n v="5"/>
    <n v="8.1199999999999992"/>
    <x v="0"/>
    <n v="4"/>
    <x v="10"/>
    <n v="11"/>
    <n v="6"/>
    <n v="35"/>
    <n v="4.6399999999999997"/>
    <x v="0"/>
    <x v="0"/>
    <x v="0"/>
  </r>
  <r>
    <s v="US-2011-138247"/>
    <d v="2011-12-24T00:00:00"/>
    <d v="2011-12-29T00:00:00"/>
    <s v="BenFerrer@gmail.com"/>
    <x v="0"/>
    <x v="6"/>
    <x v="866"/>
    <n v="173.65600000000001"/>
    <n v="7"/>
    <n v="17.365600000000001"/>
    <x v="1"/>
    <n v="12"/>
    <x v="1"/>
    <n v="24"/>
    <n v="5"/>
    <n v="10"/>
    <n v="24.808"/>
    <x v="0"/>
    <x v="0"/>
    <x v="0"/>
  </r>
  <r>
    <s v="US-2011-138247"/>
    <d v="2011-12-24T00:00:00"/>
    <d v="2011-12-29T00:00:00"/>
    <s v="BenFerrer@gmail.com"/>
    <x v="0"/>
    <x v="4"/>
    <x v="867"/>
    <n v="361.96"/>
    <n v="2"/>
    <n v="101.3488"/>
    <x v="1"/>
    <n v="12"/>
    <x v="1"/>
    <n v="24"/>
    <n v="5"/>
    <n v="28"/>
    <n v="180.98"/>
    <x v="0"/>
    <x v="0"/>
    <x v="1"/>
  </r>
  <r>
    <s v="US-2011-138247"/>
    <d v="2011-12-24T00:00:00"/>
    <d v="2011-12-29T00:00:00"/>
    <s v="BenFerrer@gmail.com"/>
    <x v="0"/>
    <x v="7"/>
    <x v="868"/>
    <n v="62.85"/>
    <n v="3"/>
    <n v="13.198499999999999"/>
    <x v="1"/>
    <n v="12"/>
    <x v="1"/>
    <n v="24"/>
    <n v="5"/>
    <n v="21"/>
    <n v="20.95"/>
    <x v="0"/>
    <x v="0"/>
    <x v="0"/>
  </r>
  <r>
    <s v="US-2011-138247"/>
    <d v="2011-12-24T00:00:00"/>
    <d v="2011-12-29T00:00:00"/>
    <s v="BenFerrer@gmail.com"/>
    <x v="0"/>
    <x v="5"/>
    <x v="869"/>
    <n v="20.34"/>
    <n v="1"/>
    <n v="0.2034"/>
    <x v="1"/>
    <n v="12"/>
    <x v="1"/>
    <n v="24"/>
    <n v="5"/>
    <n v="1"/>
    <n v="20.34"/>
    <x v="0"/>
    <x v="0"/>
    <x v="0"/>
  </r>
  <r>
    <s v="US-2011-138247"/>
    <d v="2011-12-24T00:00:00"/>
    <d v="2011-12-29T00:00:00"/>
    <s v="BenFerrer@gmail.com"/>
    <x v="0"/>
    <x v="1"/>
    <x v="870"/>
    <n v="23.99"/>
    <n v="1"/>
    <n v="5.5176999999999996"/>
    <x v="1"/>
    <n v="12"/>
    <x v="1"/>
    <n v="24"/>
    <n v="5"/>
    <n v="23"/>
    <n v="23.99"/>
    <x v="0"/>
    <x v="0"/>
    <x v="0"/>
  </r>
  <r>
    <s v="CA-2014-167003"/>
    <d v="2014-05-24T00:00:00"/>
    <d v="2014-05-30T00:00:00"/>
    <s v="VivekSundaresam@gmail.com"/>
    <x v="0"/>
    <x v="13"/>
    <x v="658"/>
    <n v="171.28800000000001"/>
    <n v="3"/>
    <n v="-6.4233000000000002"/>
    <x v="3"/>
    <n v="5"/>
    <x v="2"/>
    <n v="24"/>
    <n v="6"/>
    <n v="-3.75"/>
    <n v="57.095999999999997"/>
    <x v="1"/>
    <x v="1"/>
    <x v="0"/>
  </r>
  <r>
    <s v="CA-2013-118969"/>
    <d v="2013-10-03T00:00:00"/>
    <d v="2013-10-04T00:00:00"/>
    <s v="LizPreis@gmail.com"/>
    <x v="7"/>
    <x v="3"/>
    <x v="871"/>
    <n v="54.792000000000002"/>
    <n v="6"/>
    <n v="-40.180799999999998"/>
    <x v="0"/>
    <n v="10"/>
    <x v="7"/>
    <n v="3"/>
    <n v="1"/>
    <n v="-73.33"/>
    <n v="9.1319999999999997"/>
    <x v="0"/>
    <x v="1"/>
    <x v="0"/>
  </r>
  <r>
    <s v="US-2013-128678"/>
    <d v="2013-09-16T00:00:00"/>
    <d v="2013-09-21T00:00:00"/>
    <s v="RobBeeghly@gmail.com"/>
    <x v="1"/>
    <x v="8"/>
    <x v="872"/>
    <n v="21.4"/>
    <n v="5"/>
    <n v="10.058"/>
    <x v="0"/>
    <n v="9"/>
    <x v="8"/>
    <n v="16"/>
    <n v="5"/>
    <n v="47"/>
    <n v="4.2799999999999994"/>
    <x v="0"/>
    <x v="0"/>
    <x v="0"/>
  </r>
  <r>
    <s v="US-2013-128678"/>
    <d v="2013-09-16T00:00:00"/>
    <d v="2013-09-21T00:00:00"/>
    <s v="RobBeeghly@gmail.com"/>
    <x v="1"/>
    <x v="3"/>
    <x v="305"/>
    <n v="48.664000000000001"/>
    <n v="7"/>
    <n v="15.815799999999999"/>
    <x v="0"/>
    <n v="9"/>
    <x v="8"/>
    <n v="16"/>
    <n v="5"/>
    <n v="32.5"/>
    <n v="6.952"/>
    <x v="0"/>
    <x v="0"/>
    <x v="0"/>
  </r>
  <r>
    <s v="CA-2013-101385"/>
    <d v="2013-09-26T00:00:00"/>
    <d v="2013-10-02T00:00:00"/>
    <s v="JuliaWest@gmail.com"/>
    <x v="3"/>
    <x v="2"/>
    <x v="873"/>
    <n v="16.559999999999999"/>
    <n v="4"/>
    <n v="6.9551999999999996"/>
    <x v="0"/>
    <n v="9"/>
    <x v="8"/>
    <n v="26"/>
    <n v="6"/>
    <n v="42"/>
    <n v="4.1399999999999997"/>
    <x v="1"/>
    <x v="0"/>
    <x v="0"/>
  </r>
  <r>
    <s v="CA-2014-105445"/>
    <d v="2014-02-21T00:00:00"/>
    <d v="2014-02-26T00:00:00"/>
    <s v="BartPistole@gmail.com"/>
    <x v="28"/>
    <x v="10"/>
    <x v="50"/>
    <n v="9.4320000000000004"/>
    <n v="3"/>
    <n v="3.0653999999999999"/>
    <x v="3"/>
    <n v="2"/>
    <x v="11"/>
    <n v="21"/>
    <n v="5"/>
    <n v="32.5"/>
    <n v="3.1440000000000001"/>
    <x v="0"/>
    <x v="0"/>
    <x v="0"/>
  </r>
  <r>
    <s v="CA-2011-140403"/>
    <d v="2011-10-10T00:00:00"/>
    <d v="2011-10-10T00:00:00"/>
    <s v="TanjaNorvell@gmail.com"/>
    <x v="86"/>
    <x v="9"/>
    <x v="532"/>
    <n v="122.352"/>
    <n v="3"/>
    <n v="13.7646"/>
    <x v="1"/>
    <n v="10"/>
    <x v="7"/>
    <n v="10"/>
    <n v="0"/>
    <n v="11.25"/>
    <n v="40.783999999999999"/>
    <x v="0"/>
    <x v="0"/>
    <x v="0"/>
  </r>
  <r>
    <s v="CA-2011-140403"/>
    <d v="2011-10-10T00:00:00"/>
    <d v="2011-10-10T00:00:00"/>
    <s v="TanjaNorvell@gmail.com"/>
    <x v="86"/>
    <x v="12"/>
    <x v="293"/>
    <n v="15.28"/>
    <n v="2"/>
    <n v="7.4871999999999996"/>
    <x v="1"/>
    <n v="10"/>
    <x v="7"/>
    <n v="10"/>
    <n v="0"/>
    <n v="49"/>
    <n v="7.64"/>
    <x v="0"/>
    <x v="0"/>
    <x v="0"/>
  </r>
  <r>
    <s v="CA-2012-163104"/>
    <d v="2012-03-19T00:00:00"/>
    <d v="2012-03-26T00:00:00"/>
    <s v="MikeCaudle@gmail.com"/>
    <x v="0"/>
    <x v="8"/>
    <x v="198"/>
    <n v="11.96"/>
    <n v="2"/>
    <n v="5.8604000000000003"/>
    <x v="2"/>
    <n v="3"/>
    <x v="9"/>
    <n v="19"/>
    <n v="7"/>
    <n v="49"/>
    <n v="5.98"/>
    <x v="0"/>
    <x v="0"/>
    <x v="0"/>
  </r>
  <r>
    <s v="CA-2014-138464"/>
    <d v="2014-07-09T00:00:00"/>
    <d v="2014-07-13T00:00:00"/>
    <s v="VickyFreymann@gmail.com"/>
    <x v="1"/>
    <x v="1"/>
    <x v="874"/>
    <n v="15.84"/>
    <n v="3"/>
    <n v="4.9104000000000001"/>
    <x v="3"/>
    <n v="7"/>
    <x v="5"/>
    <n v="9"/>
    <n v="4"/>
    <n v="31"/>
    <n v="5.28"/>
    <x v="0"/>
    <x v="0"/>
    <x v="0"/>
  </r>
  <r>
    <s v="CA-2014-138464"/>
    <d v="2014-07-09T00:00:00"/>
    <d v="2014-07-13T00:00:00"/>
    <s v="VickyFreymann@gmail.com"/>
    <x v="1"/>
    <x v="3"/>
    <x v="654"/>
    <n v="86.376000000000005"/>
    <n v="3"/>
    <n v="30.2316"/>
    <x v="3"/>
    <n v="7"/>
    <x v="5"/>
    <n v="9"/>
    <n v="4"/>
    <n v="35"/>
    <n v="28.792000000000002"/>
    <x v="0"/>
    <x v="0"/>
    <x v="0"/>
  </r>
  <r>
    <s v="CA-2014-138464"/>
    <d v="2014-07-09T00:00:00"/>
    <d v="2014-07-13T00:00:00"/>
    <s v="VickyFreymann@gmail.com"/>
    <x v="1"/>
    <x v="2"/>
    <x v="875"/>
    <n v="18.239999999999998"/>
    <n v="3"/>
    <n v="6.2016"/>
    <x v="3"/>
    <n v="7"/>
    <x v="5"/>
    <n v="9"/>
    <n v="4"/>
    <n v="34"/>
    <n v="6.0799999999999992"/>
    <x v="0"/>
    <x v="0"/>
    <x v="0"/>
  </r>
  <r>
    <s v="CA-2014-138464"/>
    <d v="2014-07-09T00:00:00"/>
    <d v="2014-07-13T00:00:00"/>
    <s v="VickyFreymann@gmail.com"/>
    <x v="1"/>
    <x v="2"/>
    <x v="758"/>
    <n v="13.12"/>
    <n v="4"/>
    <n v="4.3296000000000001"/>
    <x v="3"/>
    <n v="7"/>
    <x v="5"/>
    <n v="9"/>
    <n v="4"/>
    <n v="33"/>
    <n v="3.28"/>
    <x v="0"/>
    <x v="0"/>
    <x v="0"/>
  </r>
  <r>
    <s v="US-2011-165862"/>
    <d v="2011-07-13T00:00:00"/>
    <d v="2011-07-17T00:00:00"/>
    <s v="GraceKelly@gmail.com"/>
    <x v="0"/>
    <x v="13"/>
    <x v="876"/>
    <n v="351.21600000000001"/>
    <n v="3"/>
    <n v="4.3902000000000001"/>
    <x v="1"/>
    <n v="7"/>
    <x v="5"/>
    <n v="13"/>
    <n v="4"/>
    <n v="1.25"/>
    <n v="117.072"/>
    <x v="0"/>
    <x v="0"/>
    <x v="1"/>
  </r>
  <r>
    <s v="US-2011-106334"/>
    <d v="2011-12-27T00:00:00"/>
    <d v="2012-01-02T00:00:00"/>
    <s v="JeremyFarry@gmail.com"/>
    <x v="3"/>
    <x v="9"/>
    <x v="105"/>
    <n v="230.28"/>
    <n v="3"/>
    <n v="23.027999999999999"/>
    <x v="1"/>
    <n v="12"/>
    <x v="1"/>
    <n v="27"/>
    <n v="6"/>
    <n v="10"/>
    <n v="76.760000000000005"/>
    <x v="0"/>
    <x v="0"/>
    <x v="1"/>
  </r>
  <r>
    <s v="US-2011-106334"/>
    <d v="2011-12-27T00:00:00"/>
    <d v="2012-01-02T00:00:00"/>
    <s v="JeremyFarry@gmail.com"/>
    <x v="3"/>
    <x v="8"/>
    <x v="199"/>
    <n v="12.84"/>
    <n v="3"/>
    <n v="5.7779999999999996"/>
    <x v="1"/>
    <n v="12"/>
    <x v="1"/>
    <n v="27"/>
    <n v="6"/>
    <n v="45"/>
    <n v="4.28"/>
    <x v="0"/>
    <x v="0"/>
    <x v="0"/>
  </r>
  <r>
    <s v="US-2014-117331"/>
    <d v="2014-10-22T00:00:00"/>
    <d v="2014-10-29T00:00:00"/>
    <s v="NatalieDeCherney@gmail.com"/>
    <x v="62"/>
    <x v="3"/>
    <x v="281"/>
    <n v="8.5589999999999993"/>
    <n v="1"/>
    <n v="-6.5618999999999996"/>
    <x v="3"/>
    <n v="10"/>
    <x v="7"/>
    <n v="22"/>
    <n v="7"/>
    <n v="-76.67"/>
    <n v="8.5589999999999993"/>
    <x v="0"/>
    <x v="1"/>
    <x v="0"/>
  </r>
  <r>
    <s v="CA-2012-118871"/>
    <d v="2012-12-04T00:00:00"/>
    <d v="2012-12-09T00:00:00"/>
    <s v="HarryMarie@gmail.com"/>
    <x v="0"/>
    <x v="12"/>
    <x v="877"/>
    <n v="271.44"/>
    <n v="3"/>
    <n v="122.148"/>
    <x v="2"/>
    <n v="12"/>
    <x v="1"/>
    <n v="4"/>
    <n v="5"/>
    <n v="45"/>
    <n v="90.48"/>
    <x v="0"/>
    <x v="0"/>
    <x v="1"/>
  </r>
  <r>
    <s v="CA-2012-118871"/>
    <d v="2012-12-04T00:00:00"/>
    <d v="2012-12-09T00:00:00"/>
    <s v="HarryMarie@gmail.com"/>
    <x v="0"/>
    <x v="6"/>
    <x v="878"/>
    <n v="110.352"/>
    <n v="3"/>
    <n v="8.2764000000000006"/>
    <x v="2"/>
    <n v="12"/>
    <x v="1"/>
    <n v="4"/>
    <n v="5"/>
    <n v="7.5"/>
    <n v="36.783999999999999"/>
    <x v="0"/>
    <x v="0"/>
    <x v="0"/>
  </r>
  <r>
    <s v="CA-2012-118871"/>
    <d v="2012-12-04T00:00:00"/>
    <d v="2012-12-09T00:00:00"/>
    <s v="HarryMarie@gmail.com"/>
    <x v="0"/>
    <x v="1"/>
    <x v="879"/>
    <n v="36.4"/>
    <n v="5"/>
    <n v="13.832000000000001"/>
    <x v="2"/>
    <n v="12"/>
    <x v="1"/>
    <n v="4"/>
    <n v="5"/>
    <n v="38"/>
    <n v="7.2799999999999994"/>
    <x v="0"/>
    <x v="0"/>
    <x v="0"/>
  </r>
  <r>
    <s v="CA-2011-101175"/>
    <d v="2011-12-09T00:00:00"/>
    <d v="2011-12-14T00:00:00"/>
    <s v="DarioMedina@gmail.com"/>
    <x v="33"/>
    <x v="5"/>
    <x v="880"/>
    <n v="100.70399999999999"/>
    <n v="6"/>
    <n v="-1.2587999999999999"/>
    <x v="1"/>
    <n v="12"/>
    <x v="1"/>
    <n v="9"/>
    <n v="5"/>
    <n v="-1.25"/>
    <n v="16.783999999999999"/>
    <x v="0"/>
    <x v="1"/>
    <x v="0"/>
  </r>
  <r>
    <s v="CA-2011-169460"/>
    <d v="2011-04-19T00:00:00"/>
    <d v="2011-04-21T00:00:00"/>
    <s v="NicoleFjeld@gmail.com"/>
    <x v="10"/>
    <x v="1"/>
    <x v="881"/>
    <n v="76.14"/>
    <n v="3"/>
    <n v="26.649000000000001"/>
    <x v="1"/>
    <n v="4"/>
    <x v="10"/>
    <n v="19"/>
    <n v="2"/>
    <n v="35"/>
    <n v="25.38"/>
    <x v="0"/>
    <x v="0"/>
    <x v="0"/>
  </r>
  <r>
    <s v="CA-2014-126662"/>
    <d v="2014-07-18T00:00:00"/>
    <d v="2014-07-22T00:00:00"/>
    <s v="AlejandroBallentine@gmail.com"/>
    <x v="0"/>
    <x v="16"/>
    <x v="882"/>
    <n v="479.98399999999998"/>
    <n v="2"/>
    <n v="89.997"/>
    <x v="3"/>
    <n v="7"/>
    <x v="5"/>
    <n v="18"/>
    <n v="4"/>
    <n v="18.75"/>
    <n v="239.99199999999999"/>
    <x v="0"/>
    <x v="0"/>
    <x v="1"/>
  </r>
  <r>
    <s v="US-2011-121734"/>
    <d v="2011-04-11T00:00:00"/>
    <d v="2011-04-16T00:00:00"/>
    <s v="SanjitEngle@gmail.com"/>
    <x v="123"/>
    <x v="3"/>
    <x v="469"/>
    <n v="9.5839999999999996"/>
    <n v="1"/>
    <n v="3.3544"/>
    <x v="1"/>
    <n v="4"/>
    <x v="10"/>
    <n v="11"/>
    <n v="5"/>
    <n v="35"/>
    <n v="9.5839999999999996"/>
    <x v="0"/>
    <x v="0"/>
    <x v="0"/>
  </r>
  <r>
    <s v="US-2013-100405"/>
    <d v="2013-08-27T00:00:00"/>
    <d v="2013-08-29T00:00:00"/>
    <s v="TomStivers@gmail.com"/>
    <x v="0"/>
    <x v="2"/>
    <x v="883"/>
    <n v="8.26"/>
    <n v="2"/>
    <n v="3.7995999999999999"/>
    <x v="0"/>
    <n v="8"/>
    <x v="3"/>
    <n v="27"/>
    <n v="2"/>
    <n v="46"/>
    <n v="4.13"/>
    <x v="0"/>
    <x v="0"/>
    <x v="0"/>
  </r>
  <r>
    <s v="US-2014-163790"/>
    <d v="2014-11-03T00:00:00"/>
    <d v="2014-11-05T00:00:00"/>
    <s v="NancyLomonaco@gmail.com"/>
    <x v="124"/>
    <x v="12"/>
    <x v="240"/>
    <n v="76.58"/>
    <n v="7"/>
    <n v="38.29"/>
    <x v="3"/>
    <n v="11"/>
    <x v="6"/>
    <n v="3"/>
    <n v="2"/>
    <n v="50"/>
    <n v="10.94"/>
    <x v="0"/>
    <x v="0"/>
    <x v="0"/>
  </r>
  <r>
    <s v="US-2014-163790"/>
    <d v="2014-11-03T00:00:00"/>
    <d v="2014-11-05T00:00:00"/>
    <s v="NancyLomonaco@gmail.com"/>
    <x v="124"/>
    <x v="2"/>
    <x v="884"/>
    <n v="8.8000000000000007"/>
    <n v="5"/>
    <n v="4.2240000000000002"/>
    <x v="3"/>
    <n v="11"/>
    <x v="6"/>
    <n v="3"/>
    <n v="2"/>
    <n v="48"/>
    <n v="1.76"/>
    <x v="0"/>
    <x v="0"/>
    <x v="0"/>
  </r>
  <r>
    <s v="US-2014-163790"/>
    <d v="2014-11-03T00:00:00"/>
    <d v="2014-11-05T00:00:00"/>
    <s v="NancyLomonaco@gmail.com"/>
    <x v="124"/>
    <x v="10"/>
    <x v="885"/>
    <n v="5.58"/>
    <n v="3"/>
    <n v="0.16739999999999999"/>
    <x v="3"/>
    <n v="11"/>
    <x v="6"/>
    <n v="3"/>
    <n v="2"/>
    <n v="3"/>
    <n v="1.86"/>
    <x v="0"/>
    <x v="0"/>
    <x v="0"/>
  </r>
  <r>
    <s v="US-2014-163790"/>
    <d v="2014-11-03T00:00:00"/>
    <d v="2014-11-05T00:00:00"/>
    <s v="NancyLomonaco@gmail.com"/>
    <x v="124"/>
    <x v="1"/>
    <x v="886"/>
    <n v="25.02"/>
    <n v="3"/>
    <n v="10.5084"/>
    <x v="3"/>
    <n v="11"/>
    <x v="6"/>
    <n v="3"/>
    <n v="2"/>
    <n v="42"/>
    <n v="8.34"/>
    <x v="0"/>
    <x v="0"/>
    <x v="0"/>
  </r>
  <r>
    <s v="US-2014-163790"/>
    <d v="2014-11-03T00:00:00"/>
    <d v="2014-11-05T00:00:00"/>
    <s v="NancyLomonaco@gmail.com"/>
    <x v="124"/>
    <x v="5"/>
    <x v="627"/>
    <n v="452.55"/>
    <n v="7"/>
    <n v="22.627500000000001"/>
    <x v="3"/>
    <n v="11"/>
    <x v="6"/>
    <n v="3"/>
    <n v="2"/>
    <n v="5"/>
    <n v="64.650000000000006"/>
    <x v="0"/>
    <x v="0"/>
    <x v="1"/>
  </r>
  <r>
    <s v="CA-2013-129868"/>
    <d v="2013-12-27T00:00:00"/>
    <d v="2014-01-01T00:00:00"/>
    <s v="MikeCaudle@gmail.com"/>
    <x v="0"/>
    <x v="11"/>
    <x v="516"/>
    <n v="17.760000000000002"/>
    <n v="2"/>
    <n v="4.9728000000000003"/>
    <x v="0"/>
    <n v="12"/>
    <x v="1"/>
    <n v="27"/>
    <n v="5"/>
    <n v="28"/>
    <n v="8.8800000000000008"/>
    <x v="0"/>
    <x v="0"/>
    <x v="0"/>
  </r>
  <r>
    <s v="CA-2013-129868"/>
    <d v="2013-12-27T00:00:00"/>
    <d v="2014-01-01T00:00:00"/>
    <s v="MikeCaudle@gmail.com"/>
    <x v="0"/>
    <x v="6"/>
    <x v="816"/>
    <n v="302.38400000000001"/>
    <n v="2"/>
    <n v="30.238399999999999"/>
    <x v="0"/>
    <n v="12"/>
    <x v="1"/>
    <n v="27"/>
    <n v="5"/>
    <n v="10"/>
    <n v="151.19200000000001"/>
    <x v="0"/>
    <x v="0"/>
    <x v="1"/>
  </r>
  <r>
    <s v="CA-2013-129868"/>
    <d v="2013-12-27T00:00:00"/>
    <d v="2014-01-01T00:00:00"/>
    <s v="MikeCaudle@gmail.com"/>
    <x v="0"/>
    <x v="9"/>
    <x v="887"/>
    <n v="146.352"/>
    <n v="3"/>
    <n v="-5.4882"/>
    <x v="0"/>
    <n v="12"/>
    <x v="1"/>
    <n v="27"/>
    <n v="5"/>
    <n v="-3.75"/>
    <n v="48.783999999999999"/>
    <x v="0"/>
    <x v="1"/>
    <x v="0"/>
  </r>
  <r>
    <s v="CA-2013-129868"/>
    <d v="2013-12-27T00:00:00"/>
    <d v="2014-01-01T00:00:00"/>
    <s v="MikeCaudle@gmail.com"/>
    <x v="0"/>
    <x v="4"/>
    <x v="888"/>
    <n v="7.9"/>
    <n v="2"/>
    <n v="2.0539999999999998"/>
    <x v="0"/>
    <n v="12"/>
    <x v="1"/>
    <n v="27"/>
    <n v="5"/>
    <n v="26"/>
    <n v="3.95"/>
    <x v="0"/>
    <x v="0"/>
    <x v="0"/>
  </r>
  <r>
    <s v="CA-2013-129868"/>
    <d v="2013-12-27T00:00:00"/>
    <d v="2014-01-01T00:00:00"/>
    <s v="MikeCaudle@gmail.com"/>
    <x v="0"/>
    <x v="2"/>
    <x v="207"/>
    <n v="53.97"/>
    <n v="3"/>
    <n v="15.111599999999999"/>
    <x v="0"/>
    <n v="12"/>
    <x v="1"/>
    <n v="27"/>
    <n v="5"/>
    <n v="28"/>
    <n v="17.989999999999998"/>
    <x v="0"/>
    <x v="0"/>
    <x v="0"/>
  </r>
  <r>
    <s v="US-2014-141852"/>
    <d v="2014-11-10T00:00:00"/>
    <d v="2014-11-15T00:00:00"/>
    <s v="JoelEaton@gmail.com"/>
    <x v="49"/>
    <x v="1"/>
    <x v="112"/>
    <n v="47.12"/>
    <n v="8"/>
    <n v="20.732800000000001"/>
    <x v="3"/>
    <n v="11"/>
    <x v="6"/>
    <n v="10"/>
    <n v="5"/>
    <n v="44"/>
    <n v="5.89"/>
    <x v="0"/>
    <x v="0"/>
    <x v="0"/>
  </r>
  <r>
    <s v="CA-2014-145219"/>
    <d v="2014-12-25T00:00:00"/>
    <d v="2014-12-26T00:00:00"/>
    <s v="RobertMarley@gmail.com"/>
    <x v="0"/>
    <x v="3"/>
    <x v="130"/>
    <n v="90.48"/>
    <n v="3"/>
    <n v="33.93"/>
    <x v="3"/>
    <n v="12"/>
    <x v="1"/>
    <n v="25"/>
    <n v="1"/>
    <n v="37.5"/>
    <n v="30.16"/>
    <x v="0"/>
    <x v="0"/>
    <x v="0"/>
  </r>
  <r>
    <s v="CA-2014-168396"/>
    <d v="2014-08-04T00:00:00"/>
    <d v="2014-08-09T00:00:00"/>
    <s v="BruceDegenhardt@gmail.com"/>
    <x v="3"/>
    <x v="0"/>
    <x v="144"/>
    <n v="51.75"/>
    <n v="5"/>
    <n v="24.84"/>
    <x v="3"/>
    <n v="8"/>
    <x v="3"/>
    <n v="4"/>
    <n v="5"/>
    <n v="48"/>
    <n v="10.35"/>
    <x v="0"/>
    <x v="0"/>
    <x v="0"/>
  </r>
  <r>
    <s v="CA-2014-168396"/>
    <d v="2014-08-04T00:00:00"/>
    <d v="2014-08-09T00:00:00"/>
    <s v="BruceDegenhardt@gmail.com"/>
    <x v="3"/>
    <x v="1"/>
    <x v="889"/>
    <n v="123.96"/>
    <n v="3"/>
    <n v="11.1564"/>
    <x v="3"/>
    <n v="8"/>
    <x v="3"/>
    <n v="4"/>
    <n v="5"/>
    <n v="9"/>
    <n v="41.32"/>
    <x v="0"/>
    <x v="0"/>
    <x v="0"/>
  </r>
  <r>
    <s v="CA-2012-130456"/>
    <d v="2012-08-21T00:00:00"/>
    <d v="2012-08-26T00:00:00"/>
    <s v="DavidSmith@gmail.com"/>
    <x v="3"/>
    <x v="5"/>
    <x v="189"/>
    <n v="80.98"/>
    <n v="1"/>
    <n v="3.2391999999999999"/>
    <x v="2"/>
    <n v="8"/>
    <x v="3"/>
    <n v="21"/>
    <n v="5"/>
    <n v="4"/>
    <n v="80.98"/>
    <x v="0"/>
    <x v="0"/>
    <x v="0"/>
  </r>
  <r>
    <s v="CA-2014-116288"/>
    <d v="2014-03-13T00:00:00"/>
    <d v="2014-03-18T00:00:00"/>
    <s v="BillStewart@gmail.com"/>
    <x v="3"/>
    <x v="5"/>
    <x v="189"/>
    <n v="242.94"/>
    <n v="3"/>
    <n v="9.7175999999999991"/>
    <x v="3"/>
    <n v="3"/>
    <x v="9"/>
    <n v="13"/>
    <n v="5"/>
    <n v="4"/>
    <n v="80.98"/>
    <x v="0"/>
    <x v="0"/>
    <x v="1"/>
  </r>
  <r>
    <s v="CA-2014-168228"/>
    <d v="2014-04-28T00:00:00"/>
    <d v="2014-04-30T00:00:00"/>
    <s v="ArthurPrichep@gmail.com"/>
    <x v="0"/>
    <x v="2"/>
    <x v="890"/>
    <n v="123.92"/>
    <n v="4"/>
    <n v="33.458399999999997"/>
    <x v="3"/>
    <n v="4"/>
    <x v="10"/>
    <n v="28"/>
    <n v="2"/>
    <n v="27"/>
    <n v="30.98"/>
    <x v="0"/>
    <x v="0"/>
    <x v="0"/>
  </r>
  <r>
    <s v="CA-2014-168228"/>
    <d v="2014-04-28T00:00:00"/>
    <d v="2014-04-30T00:00:00"/>
    <s v="ArthurPrichep@gmail.com"/>
    <x v="0"/>
    <x v="2"/>
    <x v="883"/>
    <n v="12.39"/>
    <n v="3"/>
    <n v="5.6993999999999998"/>
    <x v="3"/>
    <n v="4"/>
    <x v="10"/>
    <n v="28"/>
    <n v="2"/>
    <n v="46"/>
    <n v="4.13"/>
    <x v="0"/>
    <x v="0"/>
    <x v="0"/>
  </r>
  <r>
    <s v="CA-2014-168228"/>
    <d v="2014-04-28T00:00:00"/>
    <d v="2014-04-30T00:00:00"/>
    <s v="ArthurPrichep@gmail.com"/>
    <x v="0"/>
    <x v="2"/>
    <x v="746"/>
    <n v="47.3"/>
    <n v="2"/>
    <n v="12.298"/>
    <x v="3"/>
    <n v="4"/>
    <x v="10"/>
    <n v="28"/>
    <n v="2"/>
    <n v="26"/>
    <n v="23.65"/>
    <x v="0"/>
    <x v="0"/>
    <x v="0"/>
  </r>
  <r>
    <s v="CA-2014-130141"/>
    <d v="2014-10-23T00:00:00"/>
    <d v="2014-10-25T00:00:00"/>
    <s v="HelenAbelman@gmail.com"/>
    <x v="90"/>
    <x v="3"/>
    <x v="132"/>
    <n v="3.1680000000000001"/>
    <n v="4"/>
    <n v="-2.5344000000000002"/>
    <x v="3"/>
    <n v="10"/>
    <x v="7"/>
    <n v="23"/>
    <n v="2"/>
    <n v="-80"/>
    <n v="0.79200000000000004"/>
    <x v="0"/>
    <x v="1"/>
    <x v="0"/>
  </r>
  <r>
    <s v="CA-2012-147501"/>
    <d v="2012-08-02T00:00:00"/>
    <d v="2012-08-06T00:00:00"/>
    <s v="Corey-Lock@gmail.com"/>
    <x v="1"/>
    <x v="3"/>
    <x v="891"/>
    <n v="6.3680000000000003"/>
    <n v="2"/>
    <n v="2.1492"/>
    <x v="2"/>
    <n v="8"/>
    <x v="3"/>
    <n v="2"/>
    <n v="4"/>
    <n v="33.75"/>
    <n v="3.1840000000000002"/>
    <x v="0"/>
    <x v="0"/>
    <x v="0"/>
  </r>
  <r>
    <s v="CA-2014-129357"/>
    <d v="2014-05-15T00:00:00"/>
    <d v="2014-05-20T00:00:00"/>
    <s v="KenBlack@gmail.com"/>
    <x v="1"/>
    <x v="8"/>
    <x v="892"/>
    <n v="440.19"/>
    <n v="9"/>
    <n v="206.88929999999999"/>
    <x v="3"/>
    <n v="5"/>
    <x v="2"/>
    <n v="15"/>
    <n v="5"/>
    <n v="47"/>
    <n v="48.91"/>
    <x v="0"/>
    <x v="0"/>
    <x v="1"/>
  </r>
  <r>
    <s v="CA-2014-129357"/>
    <d v="2014-05-15T00:00:00"/>
    <d v="2014-05-20T00:00:00"/>
    <s v="KenBlack@gmail.com"/>
    <x v="1"/>
    <x v="11"/>
    <x v="157"/>
    <n v="64.400000000000006"/>
    <n v="5"/>
    <n v="1.9319999999999999"/>
    <x v="3"/>
    <n v="5"/>
    <x v="2"/>
    <n v="15"/>
    <n v="5"/>
    <n v="3"/>
    <n v="12.88"/>
    <x v="0"/>
    <x v="0"/>
    <x v="0"/>
  </r>
  <r>
    <s v="CA-2014-150987"/>
    <d v="2014-04-09T00:00:00"/>
    <d v="2014-04-13T00:00:00"/>
    <s v="AdrianHane@gmail.com"/>
    <x v="3"/>
    <x v="8"/>
    <x v="571"/>
    <n v="244.55"/>
    <n v="5"/>
    <n v="114.9385"/>
    <x v="3"/>
    <n v="4"/>
    <x v="10"/>
    <n v="9"/>
    <n v="4"/>
    <n v="47"/>
    <n v="48.91"/>
    <x v="0"/>
    <x v="0"/>
    <x v="1"/>
  </r>
  <r>
    <s v="CA-2014-150987"/>
    <d v="2014-04-09T00:00:00"/>
    <d v="2014-04-13T00:00:00"/>
    <s v="AdrianHane@gmail.com"/>
    <x v="3"/>
    <x v="8"/>
    <x v="802"/>
    <n v="195.76"/>
    <n v="4"/>
    <n v="97.88"/>
    <x v="3"/>
    <n v="4"/>
    <x v="10"/>
    <n v="9"/>
    <n v="4"/>
    <n v="50"/>
    <n v="48.94"/>
    <x v="0"/>
    <x v="0"/>
    <x v="0"/>
  </r>
  <r>
    <s v="CA-2014-159107"/>
    <d v="2014-06-25T00:00:00"/>
    <d v="2014-06-27T00:00:00"/>
    <s v="KeanThornton@gmail.com"/>
    <x v="3"/>
    <x v="10"/>
    <x v="893"/>
    <n v="2.88"/>
    <n v="1"/>
    <n v="1.3535999999999999"/>
    <x v="3"/>
    <n v="6"/>
    <x v="0"/>
    <n v="25"/>
    <n v="2"/>
    <n v="47"/>
    <n v="2.88"/>
    <x v="0"/>
    <x v="0"/>
    <x v="0"/>
  </r>
  <r>
    <s v="CA-2013-116547"/>
    <d v="2013-01-10T00:00:00"/>
    <d v="2013-01-17T00:00:00"/>
    <s v="KenBlack@gmail.com"/>
    <x v="1"/>
    <x v="1"/>
    <x v="581"/>
    <n v="79.92"/>
    <n v="4"/>
    <n v="34.365600000000001"/>
    <x v="0"/>
    <n v="1"/>
    <x v="4"/>
    <n v="10"/>
    <n v="7"/>
    <n v="43"/>
    <n v="19.98"/>
    <x v="0"/>
    <x v="0"/>
    <x v="0"/>
  </r>
  <r>
    <s v="CA-2013-116547"/>
    <d v="2013-01-10T00:00:00"/>
    <d v="2013-01-17T00:00:00"/>
    <s v="KenBlack@gmail.com"/>
    <x v="1"/>
    <x v="7"/>
    <x v="894"/>
    <n v="69.98"/>
    <n v="2"/>
    <n v="13.296200000000001"/>
    <x v="0"/>
    <n v="1"/>
    <x v="4"/>
    <n v="10"/>
    <n v="7"/>
    <n v="19"/>
    <n v="34.99"/>
    <x v="0"/>
    <x v="0"/>
    <x v="0"/>
  </r>
  <r>
    <s v="CA-2011-114510"/>
    <d v="2011-03-14T00:00:00"/>
    <d v="2011-03-19T00:00:00"/>
    <s v="JasonFortune-@gmail.com"/>
    <x v="125"/>
    <x v="3"/>
    <x v="723"/>
    <n v="33.088000000000001"/>
    <n v="4"/>
    <n v="11.167199999999999"/>
    <x v="1"/>
    <n v="3"/>
    <x v="9"/>
    <n v="14"/>
    <n v="5"/>
    <n v="33.75"/>
    <n v="8.2720000000000002"/>
    <x v="0"/>
    <x v="0"/>
    <x v="0"/>
  </r>
  <r>
    <s v="CA-2011-114510"/>
    <d v="2011-03-14T00:00:00"/>
    <d v="2011-03-19T00:00:00"/>
    <s v="JasonFortune-@gmail.com"/>
    <x v="125"/>
    <x v="5"/>
    <x v="189"/>
    <n v="80.98"/>
    <n v="1"/>
    <n v="3.2391999999999999"/>
    <x v="1"/>
    <n v="3"/>
    <x v="9"/>
    <n v="14"/>
    <n v="5"/>
    <n v="4"/>
    <n v="80.98"/>
    <x v="0"/>
    <x v="0"/>
    <x v="0"/>
  </r>
  <r>
    <s v="CA-2011-114510"/>
    <d v="2011-03-14T00:00:00"/>
    <d v="2011-03-19T00:00:00"/>
    <s v="JasonFortune-@gmail.com"/>
    <x v="125"/>
    <x v="7"/>
    <x v="895"/>
    <n v="82.8"/>
    <n v="12"/>
    <n v="6.6239999999999997"/>
    <x v="1"/>
    <n v="3"/>
    <x v="9"/>
    <n v="14"/>
    <n v="5"/>
    <n v="8"/>
    <n v="6.8999999999999986"/>
    <x v="0"/>
    <x v="0"/>
    <x v="0"/>
  </r>
  <r>
    <s v="CA-2011-114510"/>
    <d v="2011-03-14T00:00:00"/>
    <d v="2011-03-19T00:00:00"/>
    <s v="JasonFortune-@gmail.com"/>
    <x v="125"/>
    <x v="5"/>
    <x v="50"/>
    <n v="21.36"/>
    <n v="2"/>
    <n v="5.7671999999999999"/>
    <x v="1"/>
    <n v="3"/>
    <x v="9"/>
    <n v="14"/>
    <n v="5"/>
    <n v="27"/>
    <n v="10.68"/>
    <x v="0"/>
    <x v="0"/>
    <x v="0"/>
  </r>
  <r>
    <s v="CA-2011-114510"/>
    <d v="2011-03-14T00:00:00"/>
    <d v="2011-03-19T00:00:00"/>
    <s v="JasonFortune-@gmail.com"/>
    <x v="125"/>
    <x v="3"/>
    <x v="748"/>
    <n v="62.048000000000002"/>
    <n v="2"/>
    <n v="20.165600000000001"/>
    <x v="1"/>
    <n v="3"/>
    <x v="9"/>
    <n v="14"/>
    <n v="5"/>
    <n v="32.5"/>
    <n v="31.024000000000001"/>
    <x v="0"/>
    <x v="0"/>
    <x v="0"/>
  </r>
  <r>
    <s v="CA-2011-138681"/>
    <d v="2011-12-20T00:00:00"/>
    <d v="2011-12-22T00:00:00"/>
    <s v="CarolTriggs@gmail.com"/>
    <x v="24"/>
    <x v="1"/>
    <x v="595"/>
    <n v="51.968000000000004"/>
    <n v="2"/>
    <n v="10.393599999999999"/>
    <x v="1"/>
    <n v="12"/>
    <x v="1"/>
    <n v="20"/>
    <n v="2"/>
    <n v="20"/>
    <n v="25.984000000000002"/>
    <x v="0"/>
    <x v="0"/>
    <x v="0"/>
  </r>
  <r>
    <s v="CA-2011-138681"/>
    <d v="2011-12-20T00:00:00"/>
    <d v="2011-12-22T00:00:00"/>
    <s v="CarolTriggs@gmail.com"/>
    <x v="24"/>
    <x v="7"/>
    <x v="66"/>
    <n v="71.975999999999999"/>
    <n v="3"/>
    <n v="21.5928"/>
    <x v="1"/>
    <n v="12"/>
    <x v="1"/>
    <n v="20"/>
    <n v="2"/>
    <n v="30"/>
    <n v="23.992000000000001"/>
    <x v="0"/>
    <x v="0"/>
    <x v="0"/>
  </r>
  <r>
    <s v="CA-2011-138681"/>
    <d v="2011-12-20T00:00:00"/>
    <d v="2011-12-22T00:00:00"/>
    <s v="CarolTriggs@gmail.com"/>
    <x v="24"/>
    <x v="9"/>
    <x v="896"/>
    <n v="242.352"/>
    <n v="3"/>
    <n v="-42.4116"/>
    <x v="1"/>
    <n v="12"/>
    <x v="1"/>
    <n v="20"/>
    <n v="2"/>
    <n v="-17.5"/>
    <n v="80.784000000000006"/>
    <x v="0"/>
    <x v="1"/>
    <x v="1"/>
  </r>
  <r>
    <s v="CA-2011-138681"/>
    <d v="2011-12-20T00:00:00"/>
    <d v="2011-12-22T00:00:00"/>
    <s v="CarolTriggs@gmail.com"/>
    <x v="24"/>
    <x v="8"/>
    <x v="588"/>
    <n v="221.92"/>
    <n v="5"/>
    <n v="77.671999999999997"/>
    <x v="1"/>
    <n v="12"/>
    <x v="1"/>
    <n v="20"/>
    <n v="2"/>
    <n v="35"/>
    <n v="44.384"/>
    <x v="0"/>
    <x v="0"/>
    <x v="1"/>
  </r>
  <r>
    <s v="CA-2011-138681"/>
    <d v="2011-12-20T00:00:00"/>
    <d v="2011-12-22T00:00:00"/>
    <s v="CarolTriggs@gmail.com"/>
    <x v="24"/>
    <x v="8"/>
    <x v="897"/>
    <n v="8.4480000000000004"/>
    <n v="2"/>
    <n v="2.64"/>
    <x v="1"/>
    <n v="12"/>
    <x v="1"/>
    <n v="20"/>
    <n v="2"/>
    <n v="31.25"/>
    <n v="4.2240000000000002"/>
    <x v="0"/>
    <x v="0"/>
    <x v="0"/>
  </r>
  <r>
    <s v="CA-2014-138149"/>
    <d v="2014-06-30T00:00:00"/>
    <d v="2014-07-01T00:00:00"/>
    <s v="WilliamBrown@gmail.com"/>
    <x v="0"/>
    <x v="5"/>
    <x v="29"/>
    <n v="130.71"/>
    <n v="3"/>
    <n v="39.213000000000001"/>
    <x v="3"/>
    <n v="6"/>
    <x v="0"/>
    <n v="30"/>
    <n v="1"/>
    <n v="30"/>
    <n v="43.57"/>
    <x v="0"/>
    <x v="0"/>
    <x v="0"/>
  </r>
  <r>
    <s v="CA-2014-138149"/>
    <d v="2014-06-30T00:00:00"/>
    <d v="2014-07-01T00:00:00"/>
    <s v="WilliamBrown@gmail.com"/>
    <x v="0"/>
    <x v="2"/>
    <x v="898"/>
    <n v="11.68"/>
    <n v="2"/>
    <n v="3.0367999999999999"/>
    <x v="3"/>
    <n v="6"/>
    <x v="0"/>
    <n v="30"/>
    <n v="1"/>
    <n v="26"/>
    <n v="5.84"/>
    <x v="0"/>
    <x v="0"/>
    <x v="0"/>
  </r>
  <r>
    <s v="CA-2014-138149"/>
    <d v="2014-06-30T00:00:00"/>
    <d v="2014-07-01T00:00:00"/>
    <s v="WilliamBrown@gmail.com"/>
    <x v="0"/>
    <x v="7"/>
    <x v="452"/>
    <n v="62.31"/>
    <n v="3"/>
    <n v="22.4316"/>
    <x v="3"/>
    <n v="6"/>
    <x v="0"/>
    <n v="30"/>
    <n v="1"/>
    <n v="36"/>
    <n v="20.77"/>
    <x v="0"/>
    <x v="0"/>
    <x v="0"/>
  </r>
  <r>
    <s v="CA-2014-121643"/>
    <d v="2014-05-19T00:00:00"/>
    <d v="2014-05-21T00:00:00"/>
    <s v="AdrianBarton@gmail.com"/>
    <x v="5"/>
    <x v="6"/>
    <x v="899"/>
    <n v="344.70400000000001"/>
    <n v="2"/>
    <n v="38.779200000000003"/>
    <x v="3"/>
    <n v="5"/>
    <x v="2"/>
    <n v="19"/>
    <n v="2"/>
    <n v="11.25"/>
    <n v="172.352"/>
    <x v="0"/>
    <x v="0"/>
    <x v="1"/>
  </r>
  <r>
    <s v="US-2012-122910"/>
    <d v="2012-05-12T00:00:00"/>
    <d v="2012-05-16T00:00:00"/>
    <s v="LarryTron@gmail.com"/>
    <x v="28"/>
    <x v="6"/>
    <x v="388"/>
    <n v="201.584"/>
    <n v="2"/>
    <n v="20.1584"/>
    <x v="2"/>
    <n v="5"/>
    <x v="2"/>
    <n v="12"/>
    <n v="4"/>
    <n v="10"/>
    <n v="100.792"/>
    <x v="0"/>
    <x v="0"/>
    <x v="0"/>
  </r>
  <r>
    <s v="CA-2012-109736"/>
    <d v="2012-10-10T00:00:00"/>
    <d v="2012-10-11T00:00:00"/>
    <s v="DennyJoy@gmail.com"/>
    <x v="3"/>
    <x v="8"/>
    <x v="164"/>
    <n v="45.36"/>
    <n v="7"/>
    <n v="21.7728"/>
    <x v="2"/>
    <n v="10"/>
    <x v="7"/>
    <n v="10"/>
    <n v="1"/>
    <n v="48"/>
    <n v="6.48"/>
    <x v="0"/>
    <x v="0"/>
    <x v="0"/>
  </r>
  <r>
    <s v="CA-2012-142601"/>
    <d v="2012-04-18T00:00:00"/>
    <d v="2012-04-20T00:00:00"/>
    <s v="DeanraEno@gmail.com"/>
    <x v="0"/>
    <x v="8"/>
    <x v="900"/>
    <n v="61.96"/>
    <n v="2"/>
    <n v="27.882000000000001"/>
    <x v="2"/>
    <n v="4"/>
    <x v="10"/>
    <n v="18"/>
    <n v="2"/>
    <n v="45"/>
    <n v="30.98"/>
    <x v="0"/>
    <x v="0"/>
    <x v="0"/>
  </r>
  <r>
    <s v="US-2014-135230"/>
    <d v="2014-09-02T00:00:00"/>
    <d v="2014-09-08T00:00:00"/>
    <s v="ChristineKargatis@gmail.com"/>
    <x v="1"/>
    <x v="2"/>
    <x v="50"/>
    <n v="7.58"/>
    <n v="1"/>
    <n v="2.9561999999999999"/>
    <x v="3"/>
    <n v="9"/>
    <x v="8"/>
    <n v="2"/>
    <n v="6"/>
    <n v="39"/>
    <n v="7.58"/>
    <x v="0"/>
    <x v="0"/>
    <x v="0"/>
  </r>
  <r>
    <s v="CA-2011-123323"/>
    <d v="2011-11-07T00:00:00"/>
    <d v="2011-11-12T00:00:00"/>
    <s v="LenaHernandez@gmail.com"/>
    <x v="3"/>
    <x v="3"/>
    <x v="314"/>
    <n v="123.14400000000001"/>
    <n v="7"/>
    <n v="46.179000000000002"/>
    <x v="1"/>
    <n v="11"/>
    <x v="6"/>
    <n v="7"/>
    <n v="5"/>
    <n v="37.5"/>
    <n v="17.591999999999999"/>
    <x v="1"/>
    <x v="0"/>
    <x v="0"/>
  </r>
  <r>
    <s v="US-2012-103996"/>
    <d v="2012-03-29T00:00:00"/>
    <d v="2012-03-31T00:00:00"/>
    <s v="RichardBierner@gmail.com"/>
    <x v="16"/>
    <x v="8"/>
    <x v="33"/>
    <n v="212.64"/>
    <n v="6"/>
    <n v="99.940799999999996"/>
    <x v="2"/>
    <n v="3"/>
    <x v="9"/>
    <n v="29"/>
    <n v="2"/>
    <n v="47"/>
    <n v="35.44"/>
    <x v="0"/>
    <x v="0"/>
    <x v="0"/>
  </r>
  <r>
    <s v="US-2012-103996"/>
    <d v="2012-03-29T00:00:00"/>
    <d v="2012-03-31T00:00:00"/>
    <s v="RichardBierner@gmail.com"/>
    <x v="16"/>
    <x v="8"/>
    <x v="901"/>
    <n v="9.8699999999999992"/>
    <n v="3"/>
    <n v="4.5401999999999996"/>
    <x v="2"/>
    <n v="3"/>
    <x v="9"/>
    <n v="29"/>
    <n v="2"/>
    <n v="46"/>
    <n v="3.29"/>
    <x v="0"/>
    <x v="0"/>
    <x v="0"/>
  </r>
  <r>
    <s v="US-2012-103996"/>
    <d v="2012-03-29T00:00:00"/>
    <d v="2012-03-31T00:00:00"/>
    <s v="RichardBierner@gmail.com"/>
    <x v="16"/>
    <x v="7"/>
    <x v="444"/>
    <n v="53.25"/>
    <n v="3"/>
    <n v="20.767499999999998"/>
    <x v="2"/>
    <n v="3"/>
    <x v="9"/>
    <n v="29"/>
    <n v="2"/>
    <n v="39"/>
    <n v="17.75"/>
    <x v="0"/>
    <x v="0"/>
    <x v="0"/>
  </r>
  <r>
    <s v="US-2012-103996"/>
    <d v="2012-03-29T00:00:00"/>
    <d v="2012-03-31T00:00:00"/>
    <s v="RichardBierner@gmail.com"/>
    <x v="16"/>
    <x v="1"/>
    <x v="902"/>
    <n v="19.920000000000002"/>
    <n v="3"/>
    <n v="9.5616000000000003"/>
    <x v="2"/>
    <n v="3"/>
    <x v="9"/>
    <n v="29"/>
    <n v="2"/>
    <n v="48"/>
    <n v="6.6400000000000006"/>
    <x v="0"/>
    <x v="0"/>
    <x v="0"/>
  </r>
  <r>
    <s v="CA-2012-105725"/>
    <d v="2012-02-18T00:00:00"/>
    <d v="2012-02-24T00:00:00"/>
    <s v="GuyThornton@gmail.com"/>
    <x v="21"/>
    <x v="0"/>
    <x v="341"/>
    <n v="61.06"/>
    <n v="2"/>
    <n v="28.087599999999998"/>
    <x v="2"/>
    <n v="2"/>
    <x v="11"/>
    <n v="18"/>
    <n v="6"/>
    <n v="46"/>
    <n v="30.53"/>
    <x v="0"/>
    <x v="0"/>
    <x v="0"/>
  </r>
  <r>
    <s v="CA-2012-105725"/>
    <d v="2012-02-18T00:00:00"/>
    <d v="2012-02-24T00:00:00"/>
    <s v="GuyThornton@gmail.com"/>
    <x v="21"/>
    <x v="13"/>
    <x v="903"/>
    <n v="35.543999999999997"/>
    <n v="1"/>
    <n v="-0.88859999999999995"/>
    <x v="2"/>
    <n v="2"/>
    <x v="11"/>
    <n v="18"/>
    <n v="6"/>
    <n v="-2.5"/>
    <n v="35.543999999999997"/>
    <x v="0"/>
    <x v="1"/>
    <x v="0"/>
  </r>
  <r>
    <s v="CA-2014-164364"/>
    <d v="2014-11-13T00:00:00"/>
    <d v="2014-11-17T00:00:00"/>
    <s v="ChristineSundaresam@gmail.com"/>
    <x v="1"/>
    <x v="0"/>
    <x v="904"/>
    <n v="9.9600000000000009"/>
    <n v="2"/>
    <n v="4.5815999999999999"/>
    <x v="3"/>
    <n v="11"/>
    <x v="6"/>
    <n v="13"/>
    <n v="4"/>
    <n v="46"/>
    <n v="4.9800000000000004"/>
    <x v="0"/>
    <x v="0"/>
    <x v="0"/>
  </r>
  <r>
    <s v="CA-2014-164364"/>
    <d v="2014-11-13T00:00:00"/>
    <d v="2014-11-17T00:00:00"/>
    <s v="ChristineSundaresam@gmail.com"/>
    <x v="1"/>
    <x v="2"/>
    <x v="905"/>
    <n v="9.2100000000000009"/>
    <n v="3"/>
    <n v="2.3025000000000002"/>
    <x v="3"/>
    <n v="11"/>
    <x v="6"/>
    <n v="13"/>
    <n v="4"/>
    <n v="25"/>
    <n v="3.07"/>
    <x v="0"/>
    <x v="0"/>
    <x v="0"/>
  </r>
  <r>
    <s v="CA-2014-164364"/>
    <d v="2014-11-13T00:00:00"/>
    <d v="2014-11-17T00:00:00"/>
    <s v="ChristineSundaresam@gmail.com"/>
    <x v="1"/>
    <x v="11"/>
    <x v="906"/>
    <n v="27.93"/>
    <n v="3"/>
    <n v="8.0997000000000003"/>
    <x v="3"/>
    <n v="11"/>
    <x v="6"/>
    <n v="13"/>
    <n v="4"/>
    <n v="29"/>
    <n v="9.31"/>
    <x v="0"/>
    <x v="0"/>
    <x v="0"/>
  </r>
  <r>
    <s v="CA-2013-120005"/>
    <d v="2013-03-04T00:00:00"/>
    <d v="2013-03-04T00:00:00"/>
    <s v="TheresaSwint@gmail.com"/>
    <x v="3"/>
    <x v="11"/>
    <x v="751"/>
    <n v="25.35"/>
    <n v="3"/>
    <n v="7.6050000000000004"/>
    <x v="0"/>
    <n v="3"/>
    <x v="9"/>
    <n v="4"/>
    <n v="0"/>
    <n v="30"/>
    <n v="8.4500000000000011"/>
    <x v="0"/>
    <x v="0"/>
    <x v="0"/>
  </r>
  <r>
    <s v="CA-2013-120005"/>
    <d v="2013-03-04T00:00:00"/>
    <d v="2013-03-04T00:00:00"/>
    <s v="TheresaSwint@gmail.com"/>
    <x v="3"/>
    <x v="1"/>
    <x v="813"/>
    <n v="35.28"/>
    <n v="3"/>
    <n v="11.995200000000001"/>
    <x v="0"/>
    <n v="3"/>
    <x v="9"/>
    <n v="4"/>
    <n v="0"/>
    <n v="34"/>
    <n v="11.76"/>
    <x v="0"/>
    <x v="0"/>
    <x v="0"/>
  </r>
  <r>
    <s v="CA-2013-123526"/>
    <d v="2013-12-25T00:00:00"/>
    <d v="2013-12-26T00:00:00"/>
    <s v="BenjaminVenier@gmail.com"/>
    <x v="1"/>
    <x v="8"/>
    <x v="307"/>
    <n v="33.4"/>
    <n v="5"/>
    <n v="16.032"/>
    <x v="0"/>
    <n v="12"/>
    <x v="1"/>
    <n v="25"/>
    <n v="1"/>
    <n v="48"/>
    <n v="6.68"/>
    <x v="1"/>
    <x v="0"/>
    <x v="0"/>
  </r>
  <r>
    <s v="CA-2011-112851"/>
    <d v="2011-09-17T00:00:00"/>
    <d v="2011-09-21T00:00:00"/>
    <s v="NickRadford@gmail.com"/>
    <x v="126"/>
    <x v="12"/>
    <x v="907"/>
    <n v="182.94"/>
    <n v="3"/>
    <n v="85.981800000000007"/>
    <x v="1"/>
    <n v="9"/>
    <x v="8"/>
    <n v="17"/>
    <n v="4"/>
    <n v="47"/>
    <n v="60.98"/>
    <x v="1"/>
    <x v="0"/>
    <x v="0"/>
  </r>
  <r>
    <s v="CA-2014-123701"/>
    <d v="2014-11-25T00:00:00"/>
    <d v="2014-11-28T00:00:00"/>
    <s v="PatrickGardner@gmail.com"/>
    <x v="3"/>
    <x v="2"/>
    <x v="908"/>
    <n v="27.76"/>
    <n v="4"/>
    <n v="9.9936000000000007"/>
    <x v="3"/>
    <n v="11"/>
    <x v="6"/>
    <n v="25"/>
    <n v="3"/>
    <n v="36"/>
    <n v="6.94"/>
    <x v="0"/>
    <x v="0"/>
    <x v="0"/>
  </r>
  <r>
    <s v="US-2013-114888"/>
    <d v="2013-09-20T00:00:00"/>
    <d v="2013-09-25T00:00:00"/>
    <s v="ChuckClark@gmail.com"/>
    <x v="3"/>
    <x v="3"/>
    <x v="186"/>
    <n v="11.952"/>
    <n v="3"/>
    <n v="4.1832000000000003"/>
    <x v="0"/>
    <n v="9"/>
    <x v="8"/>
    <n v="20"/>
    <n v="5"/>
    <n v="35"/>
    <n v="3.984"/>
    <x v="0"/>
    <x v="0"/>
    <x v="0"/>
  </r>
  <r>
    <s v="US-2013-114888"/>
    <d v="2013-09-20T00:00:00"/>
    <d v="2013-09-25T00:00:00"/>
    <s v="ChuckClark@gmail.com"/>
    <x v="3"/>
    <x v="11"/>
    <x v="909"/>
    <n v="6.24"/>
    <n v="3"/>
    <n v="1.8720000000000001"/>
    <x v="0"/>
    <n v="9"/>
    <x v="8"/>
    <n v="20"/>
    <n v="5"/>
    <n v="30"/>
    <n v="2.08"/>
    <x v="0"/>
    <x v="0"/>
    <x v="0"/>
  </r>
  <r>
    <s v="CA-2014-108091"/>
    <d v="2014-11-17T00:00:00"/>
    <d v="2014-11-22T00:00:00"/>
    <s v="EileenKiefer@gmail.com"/>
    <x v="56"/>
    <x v="2"/>
    <x v="898"/>
    <n v="23.36"/>
    <n v="4"/>
    <n v="6.0735999999999999"/>
    <x v="3"/>
    <n v="11"/>
    <x v="6"/>
    <n v="17"/>
    <n v="5"/>
    <n v="26"/>
    <n v="5.84"/>
    <x v="0"/>
    <x v="0"/>
    <x v="0"/>
  </r>
  <r>
    <s v="CA-2012-104346"/>
    <d v="2012-12-11T00:00:00"/>
    <d v="2012-12-16T00:00:00"/>
    <s v="IreneMaddox@gmail.com"/>
    <x v="19"/>
    <x v="2"/>
    <x v="910"/>
    <n v="13.12"/>
    <n v="5"/>
    <n v="1.1479999999999999"/>
    <x v="2"/>
    <n v="12"/>
    <x v="1"/>
    <n v="11"/>
    <n v="5"/>
    <n v="8.75"/>
    <n v="2.6240000000000001"/>
    <x v="0"/>
    <x v="0"/>
    <x v="0"/>
  </r>
  <r>
    <s v="CA-2012-104346"/>
    <d v="2012-12-11T00:00:00"/>
    <d v="2012-12-16T00:00:00"/>
    <s v="IreneMaddox@gmail.com"/>
    <x v="19"/>
    <x v="14"/>
    <x v="911"/>
    <n v="69.575999999999993"/>
    <n v="4"/>
    <n v="-143.79040000000001"/>
    <x v="2"/>
    <n v="12"/>
    <x v="1"/>
    <n v="11"/>
    <n v="5"/>
    <n v="-206.67"/>
    <n v="17.393999999999998"/>
    <x v="0"/>
    <x v="1"/>
    <x v="0"/>
  </r>
  <r>
    <s v="CA-2012-104346"/>
    <d v="2012-12-11T00:00:00"/>
    <d v="2012-12-16T00:00:00"/>
    <s v="IreneMaddox@gmail.com"/>
    <x v="19"/>
    <x v="2"/>
    <x v="271"/>
    <n v="4.2240000000000002"/>
    <n v="3"/>
    <n v="0.47520000000000001"/>
    <x v="2"/>
    <n v="12"/>
    <x v="1"/>
    <n v="11"/>
    <n v="5"/>
    <n v="11.25"/>
    <n v="1.4079999999999999"/>
    <x v="0"/>
    <x v="0"/>
    <x v="0"/>
  </r>
  <r>
    <s v="CA-2012-104346"/>
    <d v="2012-12-11T00:00:00"/>
    <d v="2012-12-16T00:00:00"/>
    <s v="IreneMaddox@gmail.com"/>
    <x v="19"/>
    <x v="7"/>
    <x v="912"/>
    <n v="58.08"/>
    <n v="4"/>
    <n v="-6.5339999999999998"/>
    <x v="2"/>
    <n v="12"/>
    <x v="1"/>
    <n v="11"/>
    <n v="5"/>
    <n v="-11.25"/>
    <n v="14.52"/>
    <x v="0"/>
    <x v="1"/>
    <x v="0"/>
  </r>
  <r>
    <s v="CA-2012-104346"/>
    <d v="2012-12-11T00:00:00"/>
    <d v="2012-12-16T00:00:00"/>
    <s v="IreneMaddox@gmail.com"/>
    <x v="19"/>
    <x v="1"/>
    <x v="913"/>
    <n v="52.415999999999997"/>
    <n v="9"/>
    <n v="15.069599999999999"/>
    <x v="2"/>
    <n v="12"/>
    <x v="1"/>
    <n v="11"/>
    <n v="5"/>
    <n v="28.75"/>
    <n v="5.8239999999999998"/>
    <x v="0"/>
    <x v="0"/>
    <x v="0"/>
  </r>
  <r>
    <s v="CA-2012-104346"/>
    <d v="2012-12-11T00:00:00"/>
    <d v="2012-12-16T00:00:00"/>
    <s v="IreneMaddox@gmail.com"/>
    <x v="19"/>
    <x v="1"/>
    <x v="914"/>
    <n v="54.92"/>
    <n v="5"/>
    <n v="10.984"/>
    <x v="2"/>
    <n v="12"/>
    <x v="1"/>
    <n v="11"/>
    <n v="5"/>
    <n v="20"/>
    <n v="10.984"/>
    <x v="0"/>
    <x v="0"/>
    <x v="0"/>
  </r>
  <r>
    <s v="CA-2012-104346"/>
    <d v="2012-12-11T00:00:00"/>
    <d v="2012-12-16T00:00:00"/>
    <s v="IreneMaddox@gmail.com"/>
    <x v="19"/>
    <x v="13"/>
    <x v="556"/>
    <n v="364.95"/>
    <n v="5"/>
    <n v="-248.166"/>
    <x v="2"/>
    <n v="12"/>
    <x v="1"/>
    <n v="11"/>
    <n v="5"/>
    <n v="-68"/>
    <n v="72.989999999999995"/>
    <x v="0"/>
    <x v="1"/>
    <x v="1"/>
  </r>
  <r>
    <s v="CA-2012-104346"/>
    <d v="2012-12-11T00:00:00"/>
    <d v="2012-12-16T00:00:00"/>
    <s v="IreneMaddox@gmail.com"/>
    <x v="19"/>
    <x v="8"/>
    <x v="915"/>
    <n v="85.055999999999997"/>
    <n v="3"/>
    <n v="28.706399999999999"/>
    <x v="2"/>
    <n v="12"/>
    <x v="1"/>
    <n v="11"/>
    <n v="5"/>
    <n v="33.75"/>
    <n v="28.352"/>
    <x v="0"/>
    <x v="0"/>
    <x v="0"/>
  </r>
  <r>
    <s v="CA-2012-104346"/>
    <d v="2012-12-11T00:00:00"/>
    <d v="2012-12-16T00:00:00"/>
    <s v="IreneMaddox@gmail.com"/>
    <x v="19"/>
    <x v="8"/>
    <x v="916"/>
    <n v="27.696000000000002"/>
    <n v="3"/>
    <n v="9.6936"/>
    <x v="2"/>
    <n v="12"/>
    <x v="1"/>
    <n v="11"/>
    <n v="5"/>
    <n v="35"/>
    <n v="9.2320000000000011"/>
    <x v="0"/>
    <x v="0"/>
    <x v="0"/>
  </r>
  <r>
    <s v="CA-2012-144722"/>
    <d v="2012-03-16T00:00:00"/>
    <d v="2012-03-23T00:00:00"/>
    <s v="MonicaFederle@gmail.com"/>
    <x v="0"/>
    <x v="1"/>
    <x v="806"/>
    <n v="43.13"/>
    <n v="1"/>
    <n v="18.114599999999999"/>
    <x v="2"/>
    <n v="3"/>
    <x v="9"/>
    <n v="16"/>
    <n v="7"/>
    <n v="42"/>
    <n v="43.13"/>
    <x v="1"/>
    <x v="0"/>
    <x v="0"/>
  </r>
  <r>
    <s v="CA-2012-137708"/>
    <d v="2012-11-22T00:00:00"/>
    <d v="2012-11-25T00:00:00"/>
    <s v="NathanGelder@gmail.com"/>
    <x v="0"/>
    <x v="8"/>
    <x v="405"/>
    <n v="37.94"/>
    <n v="2"/>
    <n v="18.211200000000002"/>
    <x v="2"/>
    <n v="11"/>
    <x v="6"/>
    <n v="22"/>
    <n v="3"/>
    <n v="48"/>
    <n v="18.97"/>
    <x v="0"/>
    <x v="0"/>
    <x v="0"/>
  </r>
  <r>
    <s v="CA-2012-137708"/>
    <d v="2012-11-22T00:00:00"/>
    <d v="2012-11-25T00:00:00"/>
    <s v="NathanGelder@gmail.com"/>
    <x v="0"/>
    <x v="8"/>
    <x v="678"/>
    <n v="42.8"/>
    <n v="10"/>
    <n v="19.260000000000002"/>
    <x v="2"/>
    <n v="11"/>
    <x v="6"/>
    <n v="22"/>
    <n v="3"/>
    <n v="45"/>
    <n v="4.2799999999999994"/>
    <x v="0"/>
    <x v="0"/>
    <x v="0"/>
  </r>
  <r>
    <s v="CA-2012-137708"/>
    <d v="2012-11-22T00:00:00"/>
    <d v="2012-11-25T00:00:00"/>
    <s v="NathanGelder@gmail.com"/>
    <x v="0"/>
    <x v="5"/>
    <x v="917"/>
    <n v="33.630000000000003"/>
    <n v="3"/>
    <n v="10.089"/>
    <x v="2"/>
    <n v="11"/>
    <x v="6"/>
    <n v="22"/>
    <n v="3"/>
    <n v="30"/>
    <n v="11.21"/>
    <x v="0"/>
    <x v="0"/>
    <x v="0"/>
  </r>
  <r>
    <s v="CA-2013-111696"/>
    <d v="2013-05-09T00:00:00"/>
    <d v="2013-05-11T00:00:00"/>
    <s v="TrudyBrown@gmail.com"/>
    <x v="0"/>
    <x v="8"/>
    <x v="49"/>
    <n v="17.940000000000001"/>
    <n v="3"/>
    <n v="8.0730000000000004"/>
    <x v="0"/>
    <n v="5"/>
    <x v="2"/>
    <n v="9"/>
    <n v="2"/>
    <n v="45"/>
    <n v="5.98"/>
    <x v="0"/>
    <x v="0"/>
    <x v="0"/>
  </r>
  <r>
    <s v="CA-2013-134222"/>
    <d v="2013-07-11T00:00:00"/>
    <d v="2013-07-12T00:00:00"/>
    <s v="NickZandusky@gmail.com"/>
    <x v="127"/>
    <x v="3"/>
    <x v="131"/>
    <n v="44.856000000000002"/>
    <n v="6"/>
    <n v="-35.884799999999998"/>
    <x v="0"/>
    <n v="7"/>
    <x v="5"/>
    <n v="11"/>
    <n v="1"/>
    <n v="-80"/>
    <n v="7.476"/>
    <x v="0"/>
    <x v="1"/>
    <x v="0"/>
  </r>
  <r>
    <s v="US-2014-136707"/>
    <d v="2014-11-13T00:00:00"/>
    <d v="2014-11-16T00:00:00"/>
    <s v="JimEpp@gmail.com"/>
    <x v="0"/>
    <x v="3"/>
    <x v="918"/>
    <n v="14.016"/>
    <n v="4"/>
    <n v="4.9055999999999997"/>
    <x v="3"/>
    <n v="11"/>
    <x v="6"/>
    <n v="13"/>
    <n v="3"/>
    <n v="35"/>
    <n v="3.504"/>
    <x v="0"/>
    <x v="0"/>
    <x v="0"/>
  </r>
  <r>
    <s v="CA-2014-167661"/>
    <d v="2014-10-06T00:00:00"/>
    <d v="2014-10-11T00:00:00"/>
    <s v="MikePelletier@gmail.com"/>
    <x v="3"/>
    <x v="3"/>
    <x v="471"/>
    <n v="39.92"/>
    <n v="5"/>
    <n v="13.473000000000001"/>
    <x v="3"/>
    <n v="10"/>
    <x v="7"/>
    <n v="6"/>
    <n v="5"/>
    <n v="33.75"/>
    <n v="7.984"/>
    <x v="0"/>
    <x v="0"/>
    <x v="0"/>
  </r>
  <r>
    <s v="CA-2014-167661"/>
    <d v="2014-10-06T00:00:00"/>
    <d v="2014-10-11T00:00:00"/>
    <s v="MikePelletier@gmail.com"/>
    <x v="3"/>
    <x v="8"/>
    <x v="618"/>
    <n v="61.96"/>
    <n v="2"/>
    <n v="27.882000000000001"/>
    <x v="3"/>
    <n v="10"/>
    <x v="7"/>
    <n v="6"/>
    <n v="5"/>
    <n v="45"/>
    <n v="30.98"/>
    <x v="0"/>
    <x v="0"/>
    <x v="0"/>
  </r>
  <r>
    <s v="CA-2014-167661"/>
    <d v="2014-10-06T00:00:00"/>
    <d v="2014-10-11T00:00:00"/>
    <s v="MikePelletier@gmail.com"/>
    <x v="3"/>
    <x v="3"/>
    <x v="256"/>
    <n v="19.936"/>
    <n v="4"/>
    <n v="7.2267999999999999"/>
    <x v="3"/>
    <n v="10"/>
    <x v="7"/>
    <n v="6"/>
    <n v="5"/>
    <n v="36.25"/>
    <n v="4.984"/>
    <x v="0"/>
    <x v="0"/>
    <x v="0"/>
  </r>
  <r>
    <s v="US-2011-128685"/>
    <d v="2011-04-04T00:00:00"/>
    <d v="2011-04-05T00:00:00"/>
    <s v="MaryZewe@gmail.com"/>
    <x v="0"/>
    <x v="3"/>
    <x v="85"/>
    <n v="7.1840000000000002"/>
    <n v="2"/>
    <n v="2.2450000000000001"/>
    <x v="1"/>
    <n v="4"/>
    <x v="10"/>
    <n v="4"/>
    <n v="1"/>
    <n v="31.25"/>
    <n v="3.5920000000000001"/>
    <x v="0"/>
    <x v="0"/>
    <x v="0"/>
  </r>
  <r>
    <s v="CA-2011-164469"/>
    <d v="2011-06-25T00:00:00"/>
    <d v="2011-06-27T00:00:00"/>
    <s v="GraceKelly@gmail.com"/>
    <x v="35"/>
    <x v="6"/>
    <x v="919"/>
    <n v="263.95999999999998"/>
    <n v="5"/>
    <n v="19.797000000000001"/>
    <x v="1"/>
    <n v="6"/>
    <x v="0"/>
    <n v="25"/>
    <n v="2"/>
    <n v="7.5"/>
    <n v="52.791999999999987"/>
    <x v="0"/>
    <x v="0"/>
    <x v="1"/>
  </r>
  <r>
    <s v="CA-2011-164469"/>
    <d v="2011-06-25T00:00:00"/>
    <d v="2011-06-27T00:00:00"/>
    <s v="GraceKelly@gmail.com"/>
    <x v="35"/>
    <x v="2"/>
    <x v="920"/>
    <n v="71.632000000000005"/>
    <n v="11"/>
    <n v="17.908000000000001"/>
    <x v="1"/>
    <n v="6"/>
    <x v="0"/>
    <n v="25"/>
    <n v="2"/>
    <n v="25"/>
    <n v="6.5119999999999996"/>
    <x v="0"/>
    <x v="0"/>
    <x v="0"/>
  </r>
  <r>
    <s v="CA-2011-164469"/>
    <d v="2011-06-25T00:00:00"/>
    <d v="2011-06-27T00:00:00"/>
    <s v="GraceKelly@gmail.com"/>
    <x v="35"/>
    <x v="2"/>
    <x v="921"/>
    <n v="9.3279999999999994"/>
    <n v="1"/>
    <n v="0.81620000000000004"/>
    <x v="1"/>
    <n v="6"/>
    <x v="0"/>
    <n v="25"/>
    <n v="2"/>
    <n v="8.75"/>
    <n v="9.3279999999999994"/>
    <x v="0"/>
    <x v="0"/>
    <x v="0"/>
  </r>
  <r>
    <s v="CA-2011-107818"/>
    <d v="2011-09-08T00:00:00"/>
    <d v="2011-09-14T00:00:00"/>
    <s v="MarcCrier@gmail.com"/>
    <x v="128"/>
    <x v="2"/>
    <x v="422"/>
    <n v="5.88"/>
    <n v="2"/>
    <n v="2.6459999999999999"/>
    <x v="1"/>
    <n v="9"/>
    <x v="8"/>
    <n v="8"/>
    <n v="6"/>
    <n v="45"/>
    <n v="2.94"/>
    <x v="0"/>
    <x v="0"/>
    <x v="0"/>
  </r>
  <r>
    <s v="CA-2011-107818"/>
    <d v="2011-09-08T00:00:00"/>
    <d v="2011-09-14T00:00:00"/>
    <s v="MarcCrier@gmail.com"/>
    <x v="128"/>
    <x v="2"/>
    <x v="922"/>
    <n v="303.83999999999997"/>
    <n v="8"/>
    <n v="91.152000000000001"/>
    <x v="1"/>
    <n v="9"/>
    <x v="8"/>
    <n v="8"/>
    <n v="6"/>
    <n v="30"/>
    <n v="37.979999999999997"/>
    <x v="0"/>
    <x v="0"/>
    <x v="1"/>
  </r>
  <r>
    <s v="CA-2011-107818"/>
    <d v="2011-09-08T00:00:00"/>
    <d v="2011-09-14T00:00:00"/>
    <s v="MarcCrier@gmail.com"/>
    <x v="128"/>
    <x v="5"/>
    <x v="189"/>
    <n v="485.88"/>
    <n v="6"/>
    <n v="19.435199999999998"/>
    <x v="1"/>
    <n v="9"/>
    <x v="8"/>
    <n v="8"/>
    <n v="6"/>
    <n v="4"/>
    <n v="80.98"/>
    <x v="0"/>
    <x v="0"/>
    <x v="1"/>
  </r>
  <r>
    <s v="CA-2011-113320"/>
    <d v="2011-12-12T00:00:00"/>
    <d v="2011-12-15T00:00:00"/>
    <s v="LoganHaushalter@gmail.com"/>
    <x v="52"/>
    <x v="1"/>
    <x v="360"/>
    <n v="12.54"/>
    <n v="3"/>
    <n v="4.5144000000000002"/>
    <x v="1"/>
    <n v="12"/>
    <x v="1"/>
    <n v="12"/>
    <n v="3"/>
    <n v="36"/>
    <n v="4.18"/>
    <x v="0"/>
    <x v="0"/>
    <x v="0"/>
  </r>
  <r>
    <s v="CA-2011-113320"/>
    <d v="2011-12-12T00:00:00"/>
    <d v="2011-12-15T00:00:00"/>
    <s v="LoganHaushalter@gmail.com"/>
    <x v="52"/>
    <x v="5"/>
    <x v="923"/>
    <n v="8.94"/>
    <n v="3"/>
    <n v="0.62580000000000002"/>
    <x v="1"/>
    <n v="12"/>
    <x v="1"/>
    <n v="12"/>
    <n v="3"/>
    <n v="7"/>
    <n v="2.98"/>
    <x v="0"/>
    <x v="0"/>
    <x v="0"/>
  </r>
  <r>
    <s v="CA-2011-113320"/>
    <d v="2011-12-12T00:00:00"/>
    <d v="2011-12-15T00:00:00"/>
    <s v="LoganHaushalter@gmail.com"/>
    <x v="52"/>
    <x v="1"/>
    <x v="38"/>
    <n v="9.24"/>
    <n v="3"/>
    <n v="4.4352"/>
    <x v="1"/>
    <n v="12"/>
    <x v="1"/>
    <n v="12"/>
    <n v="3"/>
    <n v="48"/>
    <n v="3.08"/>
    <x v="0"/>
    <x v="0"/>
    <x v="0"/>
  </r>
  <r>
    <s v="CA-2012-137526"/>
    <d v="2012-01-13T00:00:00"/>
    <d v="2012-01-17T00:00:00"/>
    <s v="PhilipBrown@gmail.com"/>
    <x v="0"/>
    <x v="3"/>
    <x v="225"/>
    <n v="70.007999999999996"/>
    <n v="3"/>
    <n v="24.502800000000001"/>
    <x v="2"/>
    <n v="1"/>
    <x v="4"/>
    <n v="13"/>
    <n v="4"/>
    <n v="35"/>
    <n v="23.335999999999999"/>
    <x v="0"/>
    <x v="0"/>
    <x v="0"/>
  </r>
  <r>
    <s v="CA-2012-137526"/>
    <d v="2012-01-13T00:00:00"/>
    <d v="2012-01-17T00:00:00"/>
    <s v="PhilipBrown@gmail.com"/>
    <x v="0"/>
    <x v="1"/>
    <x v="480"/>
    <n v="77.599999999999994"/>
    <n v="4"/>
    <n v="38.024000000000001"/>
    <x v="2"/>
    <n v="1"/>
    <x v="4"/>
    <n v="13"/>
    <n v="4"/>
    <n v="49"/>
    <n v="19.399999999999999"/>
    <x v="0"/>
    <x v="0"/>
    <x v="0"/>
  </r>
  <r>
    <s v="CA-2012-137526"/>
    <d v="2012-01-13T00:00:00"/>
    <d v="2012-01-17T00:00:00"/>
    <s v="PhilipBrown@gmail.com"/>
    <x v="0"/>
    <x v="1"/>
    <x v="924"/>
    <n v="464.85"/>
    <n v="9"/>
    <n v="92.97"/>
    <x v="2"/>
    <n v="1"/>
    <x v="4"/>
    <n v="13"/>
    <n v="4"/>
    <n v="20"/>
    <n v="51.650000000000013"/>
    <x v="0"/>
    <x v="0"/>
    <x v="1"/>
  </r>
  <r>
    <s v="CA-2014-122490"/>
    <d v="2014-11-14T00:00:00"/>
    <d v="2014-11-19T00:00:00"/>
    <s v="TedTrevino@gmail.com"/>
    <x v="1"/>
    <x v="5"/>
    <x v="925"/>
    <n v="344.91"/>
    <n v="3"/>
    <n v="10.347300000000001"/>
    <x v="3"/>
    <n v="11"/>
    <x v="6"/>
    <n v="14"/>
    <n v="5"/>
    <n v="3"/>
    <n v="114.97"/>
    <x v="0"/>
    <x v="0"/>
    <x v="1"/>
  </r>
  <r>
    <s v="CA-2014-122490"/>
    <d v="2014-11-14T00:00:00"/>
    <d v="2014-11-19T00:00:00"/>
    <s v="TedTrevino@gmail.com"/>
    <x v="1"/>
    <x v="0"/>
    <x v="550"/>
    <n v="8.64"/>
    <n v="3"/>
    <n v="4.2336"/>
    <x v="3"/>
    <n v="11"/>
    <x v="6"/>
    <n v="14"/>
    <n v="5"/>
    <n v="49"/>
    <n v="2.88"/>
    <x v="0"/>
    <x v="0"/>
    <x v="0"/>
  </r>
  <r>
    <s v="CA-2014-104080"/>
    <d v="2014-03-09T00:00:00"/>
    <d v="2014-03-16T00:00:00"/>
    <s v="AlanHwang@gmail.com"/>
    <x v="104"/>
    <x v="3"/>
    <x v="926"/>
    <n v="171.2"/>
    <n v="5"/>
    <n v="64.2"/>
    <x v="3"/>
    <n v="3"/>
    <x v="9"/>
    <n v="9"/>
    <n v="7"/>
    <n v="37.5"/>
    <n v="34.239999999999988"/>
    <x v="0"/>
    <x v="0"/>
    <x v="0"/>
  </r>
  <r>
    <s v="CA-2014-104080"/>
    <d v="2014-03-09T00:00:00"/>
    <d v="2014-03-16T00:00:00"/>
    <s v="AlanHwang@gmail.com"/>
    <x v="104"/>
    <x v="2"/>
    <x v="927"/>
    <n v="3.36"/>
    <n v="2"/>
    <n v="0.87360000000000004"/>
    <x v="3"/>
    <n v="3"/>
    <x v="9"/>
    <n v="9"/>
    <n v="7"/>
    <n v="26"/>
    <n v="1.68"/>
    <x v="0"/>
    <x v="0"/>
    <x v="0"/>
  </r>
  <r>
    <s v="CA-2013-135776"/>
    <d v="2013-12-24T00:00:00"/>
    <d v="2013-12-31T00:00:00"/>
    <s v="EdwardHooks@gmail.com"/>
    <x v="1"/>
    <x v="2"/>
    <x v="135"/>
    <n v="8.82"/>
    <n v="3"/>
    <n v="2.5577999999999999"/>
    <x v="0"/>
    <n v="12"/>
    <x v="1"/>
    <n v="24"/>
    <n v="7"/>
    <n v="29"/>
    <n v="2.94"/>
    <x v="0"/>
    <x v="0"/>
    <x v="0"/>
  </r>
  <r>
    <s v="CA-2013-135776"/>
    <d v="2013-12-24T00:00:00"/>
    <d v="2013-12-31T00:00:00"/>
    <s v="EdwardHooks@gmail.com"/>
    <x v="1"/>
    <x v="8"/>
    <x v="481"/>
    <n v="37.94"/>
    <n v="2"/>
    <n v="18.211200000000002"/>
    <x v="0"/>
    <n v="12"/>
    <x v="1"/>
    <n v="24"/>
    <n v="7"/>
    <n v="48"/>
    <n v="18.97"/>
    <x v="0"/>
    <x v="0"/>
    <x v="0"/>
  </r>
  <r>
    <s v="CA-2013-135776"/>
    <d v="2013-12-24T00:00:00"/>
    <d v="2013-12-31T00:00:00"/>
    <s v="EdwardHooks@gmail.com"/>
    <x v="1"/>
    <x v="2"/>
    <x v="928"/>
    <n v="4.2"/>
    <n v="2"/>
    <n v="1.1759999999999999"/>
    <x v="0"/>
    <n v="12"/>
    <x v="1"/>
    <n v="24"/>
    <n v="7"/>
    <n v="28"/>
    <n v="2.1"/>
    <x v="0"/>
    <x v="0"/>
    <x v="0"/>
  </r>
  <r>
    <s v="CA-2013-135776"/>
    <d v="2013-12-24T00:00:00"/>
    <d v="2013-12-31T00:00:00"/>
    <s v="EdwardHooks@gmail.com"/>
    <x v="1"/>
    <x v="5"/>
    <x v="116"/>
    <n v="227.28"/>
    <n v="2"/>
    <n v="2.2728000000000002"/>
    <x v="0"/>
    <n v="12"/>
    <x v="1"/>
    <n v="24"/>
    <n v="7"/>
    <n v="1"/>
    <n v="113.64"/>
    <x v="0"/>
    <x v="0"/>
    <x v="1"/>
  </r>
  <r>
    <s v="CA-2013-135776"/>
    <d v="2013-12-24T00:00:00"/>
    <d v="2013-12-31T00:00:00"/>
    <s v="EdwardHooks@gmail.com"/>
    <x v="1"/>
    <x v="8"/>
    <x v="41"/>
    <n v="47.9"/>
    <n v="1"/>
    <n v="22.992000000000001"/>
    <x v="0"/>
    <n v="12"/>
    <x v="1"/>
    <n v="24"/>
    <n v="7"/>
    <n v="48"/>
    <n v="47.9"/>
    <x v="0"/>
    <x v="0"/>
    <x v="0"/>
  </r>
  <r>
    <s v="CA-2013-135776"/>
    <d v="2013-12-24T00:00:00"/>
    <d v="2013-12-31T00:00:00"/>
    <s v="EdwardHooks@gmail.com"/>
    <x v="1"/>
    <x v="12"/>
    <x v="50"/>
    <n v="61.96"/>
    <n v="2"/>
    <n v="30.360399999999998"/>
    <x v="0"/>
    <n v="12"/>
    <x v="1"/>
    <n v="24"/>
    <n v="7"/>
    <n v="49"/>
    <n v="30.98"/>
    <x v="0"/>
    <x v="0"/>
    <x v="0"/>
  </r>
  <r>
    <s v="CA-2013-130484"/>
    <d v="2013-08-23T00:00:00"/>
    <d v="2013-08-28T00:00:00"/>
    <s v="SheriGordon@gmail.com"/>
    <x v="106"/>
    <x v="3"/>
    <x v="462"/>
    <n v="26.352"/>
    <n v="8"/>
    <n v="-18.446400000000001"/>
    <x v="0"/>
    <n v="8"/>
    <x v="3"/>
    <n v="23"/>
    <n v="5"/>
    <n v="-70"/>
    <n v="3.294"/>
    <x v="0"/>
    <x v="1"/>
    <x v="0"/>
  </r>
  <r>
    <s v="CA-2014-120936"/>
    <d v="2014-12-18T00:00:00"/>
    <d v="2014-12-22T00:00:00"/>
    <s v="ChristineAbelman@gmail.com"/>
    <x v="104"/>
    <x v="5"/>
    <x v="929"/>
    <n v="481.32"/>
    <n v="4"/>
    <n v="125.14319999999999"/>
    <x v="3"/>
    <n v="12"/>
    <x v="1"/>
    <n v="18"/>
    <n v="4"/>
    <n v="26"/>
    <n v="120.33"/>
    <x v="0"/>
    <x v="0"/>
    <x v="1"/>
  </r>
  <r>
    <s v="CA-2014-120936"/>
    <d v="2014-12-18T00:00:00"/>
    <d v="2014-12-22T00:00:00"/>
    <s v="ChristineAbelman@gmail.com"/>
    <x v="104"/>
    <x v="11"/>
    <x v="930"/>
    <n v="13.98"/>
    <n v="1"/>
    <n v="3.6347999999999998"/>
    <x v="3"/>
    <n v="12"/>
    <x v="1"/>
    <n v="18"/>
    <n v="4"/>
    <n v="26"/>
    <n v="13.98"/>
    <x v="0"/>
    <x v="0"/>
    <x v="0"/>
  </r>
  <r>
    <s v="CA-2012-161830"/>
    <d v="2012-09-24T00:00:00"/>
    <d v="2012-09-26T00:00:00"/>
    <s v="MaxEngle@gmail.com"/>
    <x v="1"/>
    <x v="2"/>
    <x v="283"/>
    <n v="35.96"/>
    <n v="2"/>
    <n v="10.4284"/>
    <x v="2"/>
    <n v="9"/>
    <x v="8"/>
    <n v="24"/>
    <n v="2"/>
    <n v="29"/>
    <n v="17.98"/>
    <x v="0"/>
    <x v="0"/>
    <x v="0"/>
  </r>
  <r>
    <s v="CA-2012-161830"/>
    <d v="2012-09-24T00:00:00"/>
    <d v="2012-09-26T00:00:00"/>
    <s v="MaxEngle@gmail.com"/>
    <x v="1"/>
    <x v="3"/>
    <x v="256"/>
    <n v="14.952"/>
    <n v="3"/>
    <n v="5.4200999999999997"/>
    <x v="2"/>
    <n v="9"/>
    <x v="8"/>
    <n v="24"/>
    <n v="2"/>
    <n v="36.25"/>
    <n v="4.984"/>
    <x v="0"/>
    <x v="0"/>
    <x v="0"/>
  </r>
  <r>
    <s v="CA-2014-143651"/>
    <d v="2014-03-26T00:00:00"/>
    <d v="2014-03-31T00:00:00"/>
    <s v="FiliaMcAdams@gmail.com"/>
    <x v="1"/>
    <x v="2"/>
    <x v="931"/>
    <n v="23.1"/>
    <n v="2"/>
    <n v="6.93"/>
    <x v="3"/>
    <n v="3"/>
    <x v="9"/>
    <n v="26"/>
    <n v="5"/>
    <n v="30"/>
    <n v="11.55"/>
    <x v="0"/>
    <x v="0"/>
    <x v="0"/>
  </r>
  <r>
    <s v="CA-2012-106978"/>
    <d v="2012-09-28T00:00:00"/>
    <d v="2012-10-04T00:00:00"/>
    <s v="ZuschussCarroll@gmail.com"/>
    <x v="6"/>
    <x v="12"/>
    <x v="676"/>
    <n v="12.536"/>
    <n v="1"/>
    <n v="4.2309000000000001"/>
    <x v="2"/>
    <n v="9"/>
    <x v="8"/>
    <n v="28"/>
    <n v="6"/>
    <n v="33.75"/>
    <n v="12.536"/>
    <x v="0"/>
    <x v="0"/>
    <x v="0"/>
  </r>
  <r>
    <s v="CA-2012-106978"/>
    <d v="2012-09-28T00:00:00"/>
    <d v="2012-10-04T00:00:00"/>
    <s v="ZuschussCarroll@gmail.com"/>
    <x v="6"/>
    <x v="3"/>
    <x v="241"/>
    <n v="1.08"/>
    <n v="2"/>
    <n v="-0.79200000000000004"/>
    <x v="2"/>
    <n v="9"/>
    <x v="8"/>
    <n v="28"/>
    <n v="6"/>
    <n v="-73.33"/>
    <n v="0.54"/>
    <x v="0"/>
    <x v="1"/>
    <x v="0"/>
  </r>
  <r>
    <s v="CA-2012-106978"/>
    <d v="2012-09-28T00:00:00"/>
    <d v="2012-10-04T00:00:00"/>
    <s v="ZuschussCarroll@gmail.com"/>
    <x v="6"/>
    <x v="10"/>
    <x v="50"/>
    <n v="4.5119999999999996"/>
    <n v="3"/>
    <n v="0.84599999999999997"/>
    <x v="2"/>
    <n v="9"/>
    <x v="8"/>
    <n v="28"/>
    <n v="6"/>
    <n v="18.75"/>
    <n v="1.504"/>
    <x v="0"/>
    <x v="0"/>
    <x v="0"/>
  </r>
  <r>
    <s v="CA-2012-155124"/>
    <d v="2012-03-15T00:00:00"/>
    <d v="2012-03-21T00:00:00"/>
    <s v="KarenSeio@gmail.com"/>
    <x v="129"/>
    <x v="6"/>
    <x v="932"/>
    <n v="16.776"/>
    <n v="3"/>
    <n v="1.6776"/>
    <x v="2"/>
    <n v="3"/>
    <x v="9"/>
    <n v="15"/>
    <n v="6"/>
    <n v="10"/>
    <n v="5.5919999999999996"/>
    <x v="1"/>
    <x v="0"/>
    <x v="0"/>
  </r>
  <r>
    <s v="CA-2011-157147"/>
    <d v="2011-01-14T00:00:00"/>
    <d v="2011-01-19T00:00:00"/>
    <s v="BrianDahlen@gmail.com"/>
    <x v="3"/>
    <x v="14"/>
    <x v="933"/>
    <n v="333.99900000000002"/>
    <n v="3"/>
    <n v="3.9293999999999998"/>
    <x v="1"/>
    <n v="1"/>
    <x v="4"/>
    <n v="14"/>
    <n v="5"/>
    <n v="1.18"/>
    <n v="111.333"/>
    <x v="0"/>
    <x v="0"/>
    <x v="1"/>
  </r>
  <r>
    <s v="CA-2011-157147"/>
    <d v="2011-01-14T00:00:00"/>
    <d v="2011-01-19T00:00:00"/>
    <s v="BrianDahlen@gmail.com"/>
    <x v="3"/>
    <x v="2"/>
    <x v="362"/>
    <n v="19.899999999999999"/>
    <n v="5"/>
    <n v="6.5670000000000002"/>
    <x v="1"/>
    <n v="1"/>
    <x v="4"/>
    <n v="14"/>
    <n v="5"/>
    <n v="33"/>
    <n v="3.98"/>
    <x v="0"/>
    <x v="0"/>
    <x v="0"/>
  </r>
  <r>
    <s v="CA-2013-151372"/>
    <d v="2013-09-06T00:00:00"/>
    <d v="2013-09-07T00:00:00"/>
    <s v="JosephHolt@gmail.com"/>
    <x v="103"/>
    <x v="8"/>
    <x v="934"/>
    <n v="96.08"/>
    <n v="2"/>
    <n v="46.118400000000001"/>
    <x v="0"/>
    <n v="9"/>
    <x v="8"/>
    <n v="6"/>
    <n v="1"/>
    <n v="48"/>
    <n v="48.04"/>
    <x v="0"/>
    <x v="0"/>
    <x v="0"/>
  </r>
  <r>
    <s v="CA-2013-151372"/>
    <d v="2013-09-06T00:00:00"/>
    <d v="2013-09-07T00:00:00"/>
    <s v="JosephHolt@gmail.com"/>
    <x v="103"/>
    <x v="3"/>
    <x v="384"/>
    <n v="11.68"/>
    <n v="2"/>
    <n v="3.9420000000000002"/>
    <x v="0"/>
    <n v="9"/>
    <x v="8"/>
    <n v="6"/>
    <n v="1"/>
    <n v="33.75"/>
    <n v="5.84"/>
    <x v="0"/>
    <x v="0"/>
    <x v="0"/>
  </r>
  <r>
    <s v="CA-2013-151372"/>
    <d v="2013-09-06T00:00:00"/>
    <d v="2013-09-07T00:00:00"/>
    <s v="JosephHolt@gmail.com"/>
    <x v="103"/>
    <x v="10"/>
    <x v="935"/>
    <n v="4.3600000000000003"/>
    <n v="2"/>
    <n v="1.7876000000000001"/>
    <x v="0"/>
    <n v="9"/>
    <x v="8"/>
    <n v="6"/>
    <n v="1"/>
    <n v="41"/>
    <n v="2.1800000000000002"/>
    <x v="0"/>
    <x v="0"/>
    <x v="0"/>
  </r>
  <r>
    <s v="CA-2011-102085"/>
    <d v="2011-10-04T00:00:00"/>
    <d v="2011-10-09T00:00:00"/>
    <s v="JoyDaniels@gmail.com"/>
    <x v="1"/>
    <x v="0"/>
    <x v="936"/>
    <n v="29.24"/>
    <n v="4"/>
    <n v="13.742800000000001"/>
    <x v="1"/>
    <n v="10"/>
    <x v="7"/>
    <n v="4"/>
    <n v="5"/>
    <n v="47"/>
    <n v="7.31"/>
    <x v="1"/>
    <x v="0"/>
    <x v="0"/>
  </r>
  <r>
    <s v="CA-2014-107125"/>
    <d v="2014-11-28T00:00:00"/>
    <d v="2014-12-03T00:00:00"/>
    <s v="BillDonatelli@gmail.com"/>
    <x v="0"/>
    <x v="3"/>
    <x v="173"/>
    <n v="117.488"/>
    <n v="7"/>
    <n v="41.120800000000003"/>
    <x v="3"/>
    <n v="11"/>
    <x v="6"/>
    <n v="28"/>
    <n v="5"/>
    <n v="35"/>
    <n v="16.783999999999999"/>
    <x v="0"/>
    <x v="0"/>
    <x v="0"/>
  </r>
  <r>
    <s v="CA-2014-107125"/>
    <d v="2014-11-28T00:00:00"/>
    <d v="2014-12-03T00:00:00"/>
    <s v="BillDonatelli@gmail.com"/>
    <x v="0"/>
    <x v="1"/>
    <x v="853"/>
    <n v="18.84"/>
    <n v="3"/>
    <n v="6.0288000000000004"/>
    <x v="3"/>
    <n v="11"/>
    <x v="6"/>
    <n v="28"/>
    <n v="5"/>
    <n v="32"/>
    <n v="6.28"/>
    <x v="0"/>
    <x v="0"/>
    <x v="0"/>
  </r>
  <r>
    <s v="CA-2014-117926"/>
    <d v="2014-12-09T00:00:00"/>
    <d v="2014-12-13T00:00:00"/>
    <s v="AlanSchoenberger@gmail.com"/>
    <x v="3"/>
    <x v="4"/>
    <x v="937"/>
    <n v="69.48"/>
    <n v="1"/>
    <n v="20.844000000000001"/>
    <x v="3"/>
    <n v="12"/>
    <x v="1"/>
    <n v="9"/>
    <n v="4"/>
    <n v="30"/>
    <n v="69.48"/>
    <x v="0"/>
    <x v="0"/>
    <x v="0"/>
  </r>
  <r>
    <s v="CA-2011-160262"/>
    <d v="2011-06-09T00:00:00"/>
    <d v="2011-06-13T00:00:00"/>
    <s v="ThomasSeio@gmail.com"/>
    <x v="70"/>
    <x v="2"/>
    <x v="217"/>
    <n v="18.059999999999999"/>
    <n v="7"/>
    <n v="4.6955999999999998"/>
    <x v="1"/>
    <n v="6"/>
    <x v="0"/>
    <n v="9"/>
    <n v="4"/>
    <n v="26"/>
    <n v="2.58"/>
    <x v="0"/>
    <x v="0"/>
    <x v="0"/>
  </r>
  <r>
    <s v="CA-2011-160262"/>
    <d v="2011-06-09T00:00:00"/>
    <d v="2011-06-13T00:00:00"/>
    <s v="ThomasSeio@gmail.com"/>
    <x v="70"/>
    <x v="8"/>
    <x v="938"/>
    <n v="79.14"/>
    <n v="3"/>
    <n v="36.404400000000003"/>
    <x v="1"/>
    <n v="6"/>
    <x v="0"/>
    <n v="9"/>
    <n v="4"/>
    <n v="46"/>
    <n v="26.38"/>
    <x v="0"/>
    <x v="0"/>
    <x v="0"/>
  </r>
  <r>
    <s v="CA-2011-160262"/>
    <d v="2011-06-09T00:00:00"/>
    <d v="2011-06-13T00:00:00"/>
    <s v="ThomasSeio@gmail.com"/>
    <x v="70"/>
    <x v="1"/>
    <x v="634"/>
    <n v="37.4"/>
    <n v="2"/>
    <n v="14.212"/>
    <x v="1"/>
    <n v="6"/>
    <x v="0"/>
    <n v="9"/>
    <n v="4"/>
    <n v="38"/>
    <n v="18.7"/>
    <x v="0"/>
    <x v="0"/>
    <x v="0"/>
  </r>
  <r>
    <s v="CA-2013-166226"/>
    <d v="2013-11-19T00:00:00"/>
    <d v="2013-11-23T00:00:00"/>
    <s v="TracyCollins@gmail.com"/>
    <x v="0"/>
    <x v="6"/>
    <x v="939"/>
    <n v="61.192"/>
    <n v="1"/>
    <n v="6.1192000000000002"/>
    <x v="0"/>
    <n v="11"/>
    <x v="6"/>
    <n v="19"/>
    <n v="4"/>
    <n v="10"/>
    <n v="61.192"/>
    <x v="0"/>
    <x v="0"/>
    <x v="0"/>
  </r>
  <r>
    <s v="CA-2013-166226"/>
    <d v="2013-11-19T00:00:00"/>
    <d v="2013-11-23T00:00:00"/>
    <s v="TracyCollins@gmail.com"/>
    <x v="0"/>
    <x v="4"/>
    <x v="708"/>
    <n v="67.84"/>
    <n v="1"/>
    <n v="18.316800000000001"/>
    <x v="0"/>
    <n v="11"/>
    <x v="6"/>
    <n v="19"/>
    <n v="4"/>
    <n v="27"/>
    <n v="67.84"/>
    <x v="0"/>
    <x v="0"/>
    <x v="0"/>
  </r>
  <r>
    <s v="CA-2011-156587"/>
    <d v="2011-03-07T00:00:00"/>
    <d v="2011-03-08T00:00:00"/>
    <s v="AaronBergman@gmail.com"/>
    <x v="1"/>
    <x v="9"/>
    <x v="940"/>
    <n v="48.712000000000003"/>
    <n v="1"/>
    <n v="5.4801000000000002"/>
    <x v="1"/>
    <n v="3"/>
    <x v="9"/>
    <n v="7"/>
    <n v="1"/>
    <n v="11.25"/>
    <n v="48.712000000000003"/>
    <x v="0"/>
    <x v="0"/>
    <x v="0"/>
  </r>
  <r>
    <s v="CA-2011-156587"/>
    <d v="2011-03-07T00:00:00"/>
    <d v="2011-03-08T00:00:00"/>
    <s v="AaronBergman@gmail.com"/>
    <x v="1"/>
    <x v="2"/>
    <x v="70"/>
    <n v="17.940000000000001"/>
    <n v="3"/>
    <n v="4.6643999999999997"/>
    <x v="1"/>
    <n v="3"/>
    <x v="9"/>
    <n v="7"/>
    <n v="1"/>
    <n v="26"/>
    <n v="5.98"/>
    <x v="0"/>
    <x v="0"/>
    <x v="0"/>
  </r>
  <r>
    <s v="CA-2011-156587"/>
    <d v="2011-03-07T00:00:00"/>
    <d v="2011-03-08T00:00:00"/>
    <s v="AaronBergman@gmail.com"/>
    <x v="1"/>
    <x v="5"/>
    <x v="286"/>
    <n v="242.94"/>
    <n v="3"/>
    <n v="4.8587999999999996"/>
    <x v="1"/>
    <n v="3"/>
    <x v="9"/>
    <n v="7"/>
    <n v="1"/>
    <n v="2"/>
    <n v="80.98"/>
    <x v="0"/>
    <x v="0"/>
    <x v="1"/>
  </r>
  <r>
    <s v="CA-2013-164896"/>
    <d v="2013-11-08T00:00:00"/>
    <d v="2013-11-13T00:00:00"/>
    <s v="PenelopeSewall@gmail.com"/>
    <x v="49"/>
    <x v="8"/>
    <x v="590"/>
    <n v="12.9"/>
    <n v="2"/>
    <n v="6.3209999999999997"/>
    <x v="0"/>
    <n v="11"/>
    <x v="6"/>
    <n v="8"/>
    <n v="5"/>
    <n v="49"/>
    <n v="6.45"/>
    <x v="0"/>
    <x v="0"/>
    <x v="0"/>
  </r>
  <r>
    <s v="CA-2011-160066"/>
    <d v="2011-11-16T00:00:00"/>
    <d v="2011-11-22T00:00:00"/>
    <s v="AdamHart@gmail.com"/>
    <x v="27"/>
    <x v="0"/>
    <x v="941"/>
    <n v="5.22"/>
    <n v="2"/>
    <n v="2.4011999999999998"/>
    <x v="1"/>
    <n v="11"/>
    <x v="6"/>
    <n v="16"/>
    <n v="6"/>
    <n v="46"/>
    <n v="2.61"/>
    <x v="0"/>
    <x v="0"/>
    <x v="0"/>
  </r>
  <r>
    <s v="CA-2013-109925"/>
    <d v="2013-11-07T00:00:00"/>
    <d v="2013-11-11T00:00:00"/>
    <s v="IreneMaddox@gmail.com"/>
    <x v="16"/>
    <x v="5"/>
    <x v="396"/>
    <n v="84.84"/>
    <n v="3"/>
    <n v="22.9068"/>
    <x v="0"/>
    <n v="11"/>
    <x v="6"/>
    <n v="7"/>
    <n v="4"/>
    <n v="27"/>
    <n v="28.28"/>
    <x v="0"/>
    <x v="0"/>
    <x v="0"/>
  </r>
  <r>
    <s v="CA-2013-149279"/>
    <d v="2013-04-25T00:00:00"/>
    <d v="2013-04-29T00:00:00"/>
    <s v="CraigLeslie@gmail.com"/>
    <x v="19"/>
    <x v="8"/>
    <x v="145"/>
    <n v="15.552"/>
    <n v="3"/>
    <n v="5.4432"/>
    <x v="0"/>
    <n v="4"/>
    <x v="10"/>
    <n v="25"/>
    <n v="4"/>
    <n v="35"/>
    <n v="5.1840000000000002"/>
    <x v="0"/>
    <x v="0"/>
    <x v="0"/>
  </r>
  <r>
    <s v="CA-2013-149279"/>
    <d v="2013-04-25T00:00:00"/>
    <d v="2013-04-29T00:00:00"/>
    <s v="CraigLeslie@gmail.com"/>
    <x v="19"/>
    <x v="3"/>
    <x v="942"/>
    <n v="3.1080000000000001"/>
    <n v="2"/>
    <n v="-2.1756000000000002"/>
    <x v="0"/>
    <n v="4"/>
    <x v="10"/>
    <n v="25"/>
    <n v="4"/>
    <n v="-70"/>
    <n v="1.554"/>
    <x v="0"/>
    <x v="1"/>
    <x v="0"/>
  </r>
  <r>
    <s v="CA-2014-107321"/>
    <d v="2014-09-01T00:00:00"/>
    <d v="2014-09-05T00:00:00"/>
    <s v="ArthurWiediger@gmail.com"/>
    <x v="3"/>
    <x v="3"/>
    <x v="943"/>
    <n v="6.6719999999999997"/>
    <n v="3"/>
    <n v="2.1684000000000001"/>
    <x v="3"/>
    <n v="9"/>
    <x v="8"/>
    <n v="1"/>
    <n v="4"/>
    <n v="32.5"/>
    <n v="2.2240000000000002"/>
    <x v="0"/>
    <x v="0"/>
    <x v="0"/>
  </r>
  <r>
    <s v="CA-2013-129238"/>
    <d v="2013-01-31T00:00:00"/>
    <d v="2013-02-04T00:00:00"/>
    <s v="SampleCompanyA@gmail.com"/>
    <x v="0"/>
    <x v="6"/>
    <x v="944"/>
    <n v="109.592"/>
    <n v="1"/>
    <n v="8.2194000000000003"/>
    <x v="0"/>
    <n v="1"/>
    <x v="4"/>
    <n v="31"/>
    <n v="4"/>
    <n v="7.5"/>
    <n v="109.592"/>
    <x v="0"/>
    <x v="0"/>
    <x v="0"/>
  </r>
  <r>
    <s v="CA-2013-129238"/>
    <d v="2013-01-31T00:00:00"/>
    <d v="2013-02-04T00:00:00"/>
    <s v="SampleCompanyA@gmail.com"/>
    <x v="0"/>
    <x v="8"/>
    <x v="50"/>
    <n v="56.7"/>
    <n v="5"/>
    <n v="27.783000000000001"/>
    <x v="0"/>
    <n v="1"/>
    <x v="4"/>
    <n v="31"/>
    <n v="4"/>
    <n v="49"/>
    <n v="11.34"/>
    <x v="0"/>
    <x v="0"/>
    <x v="0"/>
  </r>
  <r>
    <s v="CA-2014-159688"/>
    <d v="2014-05-08T00:00:00"/>
    <d v="2014-05-13T00:00:00"/>
    <s v="AdamBellavance@gmail.com"/>
    <x v="0"/>
    <x v="7"/>
    <x v="945"/>
    <n v="79.989999999999995"/>
    <n v="1"/>
    <n v="28.796399999999998"/>
    <x v="3"/>
    <n v="5"/>
    <x v="2"/>
    <n v="8"/>
    <n v="5"/>
    <n v="36"/>
    <n v="79.989999999999995"/>
    <x v="0"/>
    <x v="0"/>
    <x v="0"/>
  </r>
  <r>
    <s v="CA-2013-155033"/>
    <d v="2013-10-08T00:00:00"/>
    <d v="2013-10-13T00:00:00"/>
    <s v="CindyChapman@gmail.com"/>
    <x v="0"/>
    <x v="8"/>
    <x v="946"/>
    <n v="10.56"/>
    <n v="2"/>
    <n v="5.0688000000000004"/>
    <x v="0"/>
    <n v="10"/>
    <x v="7"/>
    <n v="8"/>
    <n v="5"/>
    <n v="48"/>
    <n v="5.28"/>
    <x v="0"/>
    <x v="0"/>
    <x v="0"/>
  </r>
  <r>
    <s v="US-2014-139647"/>
    <d v="2014-05-12T00:00:00"/>
    <d v="2014-05-14T00:00:00"/>
    <s v="ToddSumrall@gmail.com"/>
    <x v="7"/>
    <x v="14"/>
    <x v="298"/>
    <n v="209.97900000000001"/>
    <n v="7"/>
    <n v="-356.96429999999998"/>
    <x v="3"/>
    <n v="5"/>
    <x v="2"/>
    <n v="12"/>
    <n v="2"/>
    <n v="-170"/>
    <n v="29.997"/>
    <x v="0"/>
    <x v="1"/>
    <x v="0"/>
  </r>
  <r>
    <s v="CA-2011-127558"/>
    <d v="2011-11-15T00:00:00"/>
    <d v="2011-11-18T00:00:00"/>
    <s v="ShahidShariari@gmail.com"/>
    <x v="0"/>
    <x v="1"/>
    <x v="947"/>
    <n v="10.11"/>
    <n v="3"/>
    <n v="3.2351999999999999"/>
    <x v="1"/>
    <n v="11"/>
    <x v="6"/>
    <n v="15"/>
    <n v="3"/>
    <n v="32"/>
    <n v="3.37"/>
    <x v="0"/>
    <x v="0"/>
    <x v="0"/>
  </r>
  <r>
    <s v="CA-2011-127558"/>
    <d v="2011-11-15T00:00:00"/>
    <d v="2011-11-18T00:00:00"/>
    <s v="ShahidShariari@gmail.com"/>
    <x v="0"/>
    <x v="11"/>
    <x v="948"/>
    <n v="20.46"/>
    <n v="2"/>
    <n v="5.3196000000000003"/>
    <x v="1"/>
    <n v="11"/>
    <x v="6"/>
    <n v="15"/>
    <n v="3"/>
    <n v="26"/>
    <n v="10.23"/>
    <x v="0"/>
    <x v="0"/>
    <x v="0"/>
  </r>
  <r>
    <s v="CA-2013-133795"/>
    <d v="2013-12-19T00:00:00"/>
    <d v="2013-12-25T00:00:00"/>
    <s v="JeremyEllison@gmail.com"/>
    <x v="16"/>
    <x v="7"/>
    <x v="424"/>
    <n v="72.64"/>
    <n v="2"/>
    <n v="21.792000000000002"/>
    <x v="0"/>
    <n v="12"/>
    <x v="1"/>
    <n v="19"/>
    <n v="6"/>
    <n v="30"/>
    <n v="36.32"/>
    <x v="0"/>
    <x v="0"/>
    <x v="0"/>
  </r>
  <r>
    <s v="CA-2013-133795"/>
    <d v="2013-12-19T00:00:00"/>
    <d v="2013-12-25T00:00:00"/>
    <s v="JeremyEllison@gmail.com"/>
    <x v="16"/>
    <x v="1"/>
    <x v="949"/>
    <n v="39.92"/>
    <n v="4"/>
    <n v="11.1776"/>
    <x v="0"/>
    <n v="12"/>
    <x v="1"/>
    <n v="19"/>
    <n v="6"/>
    <n v="28"/>
    <n v="9.98"/>
    <x v="0"/>
    <x v="0"/>
    <x v="0"/>
  </r>
  <r>
    <s v="CA-2014-139304"/>
    <d v="2014-01-30T00:00:00"/>
    <d v="2014-02-03T00:00:00"/>
    <s v="VivekGonzalez@gmail.com"/>
    <x v="3"/>
    <x v="2"/>
    <x v="950"/>
    <n v="8.34"/>
    <n v="3"/>
    <n v="2.1684000000000001"/>
    <x v="3"/>
    <n v="1"/>
    <x v="4"/>
    <n v="30"/>
    <n v="4"/>
    <n v="26"/>
    <n v="2.78"/>
    <x v="0"/>
    <x v="0"/>
    <x v="0"/>
  </r>
  <r>
    <s v="CA-2014-139304"/>
    <d v="2014-01-30T00:00:00"/>
    <d v="2014-02-03T00:00:00"/>
    <s v="VivekGonzalez@gmail.com"/>
    <x v="3"/>
    <x v="11"/>
    <x v="951"/>
    <n v="8.57"/>
    <n v="1"/>
    <n v="2.2282000000000002"/>
    <x v="3"/>
    <n v="1"/>
    <x v="4"/>
    <n v="30"/>
    <n v="4"/>
    <n v="26"/>
    <n v="8.57"/>
    <x v="0"/>
    <x v="0"/>
    <x v="0"/>
  </r>
  <r>
    <s v="CA-2014-139304"/>
    <d v="2014-01-30T00:00:00"/>
    <d v="2014-02-03T00:00:00"/>
    <s v="VivekGonzalez@gmail.com"/>
    <x v="3"/>
    <x v="3"/>
    <x v="126"/>
    <n v="119.616"/>
    <n v="8"/>
    <n v="40.370399999999997"/>
    <x v="3"/>
    <n v="1"/>
    <x v="4"/>
    <n v="30"/>
    <n v="4"/>
    <n v="33.75"/>
    <n v="14.952"/>
    <x v="0"/>
    <x v="0"/>
    <x v="0"/>
  </r>
  <r>
    <s v="CA-2011-169803"/>
    <d v="2011-04-06T00:00:00"/>
    <d v="2011-04-12T00:00:00"/>
    <s v="ScottCohen@gmail.com"/>
    <x v="1"/>
    <x v="7"/>
    <x v="211"/>
    <n v="33.9"/>
    <n v="2"/>
    <n v="2.0339999999999998"/>
    <x v="1"/>
    <n v="4"/>
    <x v="10"/>
    <n v="6"/>
    <n v="6"/>
    <n v="6"/>
    <n v="16.95"/>
    <x v="0"/>
    <x v="0"/>
    <x v="0"/>
  </r>
  <r>
    <s v="CA-2013-158694"/>
    <d v="2013-11-11T00:00:00"/>
    <d v="2013-11-14T00:00:00"/>
    <s v="ArianneIrving@gmail.com"/>
    <x v="0"/>
    <x v="8"/>
    <x v="952"/>
    <n v="67.709999999999994"/>
    <n v="3"/>
    <n v="32.500799999999998"/>
    <x v="0"/>
    <n v="11"/>
    <x v="6"/>
    <n v="11"/>
    <n v="3"/>
    <n v="48"/>
    <n v="22.57"/>
    <x v="0"/>
    <x v="0"/>
    <x v="0"/>
  </r>
  <r>
    <s v="CA-2013-158694"/>
    <d v="2013-11-11T00:00:00"/>
    <d v="2013-11-14T00:00:00"/>
    <s v="ArianneIrving@gmail.com"/>
    <x v="0"/>
    <x v="4"/>
    <x v="953"/>
    <n v="129.91999999999999"/>
    <n v="4"/>
    <n v="38.975999999999999"/>
    <x v="0"/>
    <n v="11"/>
    <x v="6"/>
    <n v="11"/>
    <n v="3"/>
    <n v="30"/>
    <n v="32.479999999999997"/>
    <x v="0"/>
    <x v="0"/>
    <x v="0"/>
  </r>
  <r>
    <s v="CA-2013-158694"/>
    <d v="2013-11-11T00:00:00"/>
    <d v="2013-11-14T00:00:00"/>
    <s v="ArianneIrving@gmail.com"/>
    <x v="0"/>
    <x v="1"/>
    <x v="954"/>
    <n v="467.46"/>
    <n v="9"/>
    <n v="191.65860000000001"/>
    <x v="0"/>
    <n v="11"/>
    <x v="6"/>
    <n v="11"/>
    <n v="3"/>
    <n v="41"/>
    <n v="51.94"/>
    <x v="0"/>
    <x v="0"/>
    <x v="1"/>
  </r>
  <r>
    <s v="CA-2013-158694"/>
    <d v="2013-11-11T00:00:00"/>
    <d v="2013-11-14T00:00:00"/>
    <s v="ArianneIrving@gmail.com"/>
    <x v="0"/>
    <x v="8"/>
    <x v="955"/>
    <n v="61.4"/>
    <n v="5"/>
    <n v="28.858000000000001"/>
    <x v="0"/>
    <n v="11"/>
    <x v="6"/>
    <n v="11"/>
    <n v="3"/>
    <n v="47"/>
    <n v="12.28"/>
    <x v="0"/>
    <x v="0"/>
    <x v="0"/>
  </r>
  <r>
    <s v="CA-2013-158694"/>
    <d v="2013-11-11T00:00:00"/>
    <d v="2013-11-14T00:00:00"/>
    <s v="ArianneIrving@gmail.com"/>
    <x v="0"/>
    <x v="3"/>
    <x v="285"/>
    <n v="5.1840000000000002"/>
    <n v="3"/>
    <n v="1.8144"/>
    <x v="0"/>
    <n v="11"/>
    <x v="6"/>
    <n v="11"/>
    <n v="3"/>
    <n v="35"/>
    <n v="1.728"/>
    <x v="0"/>
    <x v="0"/>
    <x v="0"/>
  </r>
  <r>
    <s v="CA-2013-158694"/>
    <d v="2013-11-11T00:00:00"/>
    <d v="2013-11-14T00:00:00"/>
    <s v="ArianneIrving@gmail.com"/>
    <x v="0"/>
    <x v="2"/>
    <x v="821"/>
    <n v="14.7"/>
    <n v="5"/>
    <n v="3.9689999999999999"/>
    <x v="0"/>
    <n v="11"/>
    <x v="6"/>
    <n v="11"/>
    <n v="3"/>
    <n v="27"/>
    <n v="2.94"/>
    <x v="0"/>
    <x v="0"/>
    <x v="0"/>
  </r>
  <r>
    <s v="CA-2012-150511"/>
    <d v="2012-09-18T00:00:00"/>
    <d v="2012-09-24T00:00:00"/>
    <s v="AdamBellavance@gmail.com"/>
    <x v="25"/>
    <x v="8"/>
    <x v="525"/>
    <n v="18.54"/>
    <n v="2"/>
    <n v="8.7138000000000009"/>
    <x v="2"/>
    <n v="9"/>
    <x v="8"/>
    <n v="18"/>
    <n v="6"/>
    <n v="47"/>
    <n v="9.27"/>
    <x v="0"/>
    <x v="0"/>
    <x v="0"/>
  </r>
  <r>
    <s v="CA-2012-162166"/>
    <d v="2012-09-08T00:00:00"/>
    <d v="2012-09-11T00:00:00"/>
    <s v="NeomaMurray@gmail.com"/>
    <x v="130"/>
    <x v="8"/>
    <x v="956"/>
    <n v="26.4"/>
    <n v="5"/>
    <n v="11.88"/>
    <x v="2"/>
    <n v="9"/>
    <x v="8"/>
    <n v="8"/>
    <n v="3"/>
    <n v="45"/>
    <n v="5.2799999999999994"/>
    <x v="0"/>
    <x v="0"/>
    <x v="0"/>
  </r>
  <r>
    <s v="CA-2012-162166"/>
    <d v="2012-09-08T00:00:00"/>
    <d v="2012-09-11T00:00:00"/>
    <s v="NeomaMurray@gmail.com"/>
    <x v="130"/>
    <x v="5"/>
    <x v="222"/>
    <n v="41.88"/>
    <n v="6"/>
    <n v="0.83760000000000001"/>
    <x v="2"/>
    <n v="9"/>
    <x v="8"/>
    <n v="8"/>
    <n v="3"/>
    <n v="2"/>
    <n v="6.98"/>
    <x v="0"/>
    <x v="0"/>
    <x v="0"/>
  </r>
  <r>
    <s v="CA-2014-160934"/>
    <d v="2014-01-16T00:00:00"/>
    <d v="2014-01-20T00:00:00"/>
    <s v="TonjaTurnell@gmail.com"/>
    <x v="0"/>
    <x v="2"/>
    <x v="957"/>
    <n v="21.4"/>
    <n v="5"/>
    <n v="6.2060000000000004"/>
    <x v="3"/>
    <n v="1"/>
    <x v="4"/>
    <n v="16"/>
    <n v="4"/>
    <n v="29"/>
    <n v="4.2799999999999994"/>
    <x v="0"/>
    <x v="0"/>
    <x v="0"/>
  </r>
  <r>
    <s v="CA-2012-145485"/>
    <d v="2012-11-05T00:00:00"/>
    <d v="2012-11-05T00:00:00"/>
    <s v="JustinMacKendrick@gmail.com"/>
    <x v="3"/>
    <x v="5"/>
    <x v="485"/>
    <n v="62.8"/>
    <n v="4"/>
    <n v="15.7"/>
    <x v="2"/>
    <n v="11"/>
    <x v="6"/>
    <n v="5"/>
    <n v="0"/>
    <n v="25"/>
    <n v="15.7"/>
    <x v="0"/>
    <x v="0"/>
    <x v="0"/>
  </r>
  <r>
    <s v="CA-2014-151071"/>
    <d v="2014-04-26T00:00:00"/>
    <d v="2014-04-30T00:00:00"/>
    <s v="MickBrown@gmail.com"/>
    <x v="0"/>
    <x v="3"/>
    <x v="305"/>
    <n v="13.904"/>
    <n v="2"/>
    <n v="4.5187999999999997"/>
    <x v="3"/>
    <n v="4"/>
    <x v="10"/>
    <n v="26"/>
    <n v="4"/>
    <n v="32.5"/>
    <n v="6.952"/>
    <x v="0"/>
    <x v="0"/>
    <x v="0"/>
  </r>
  <r>
    <s v="US-2014-133312"/>
    <d v="2014-11-26T00:00:00"/>
    <d v="2014-11-30T00:00:00"/>
    <s v="BradleyDrucker@gmail.com"/>
    <x v="3"/>
    <x v="14"/>
    <x v="958"/>
    <n v="359.49900000000002"/>
    <n v="3"/>
    <n v="-29.605799999999999"/>
    <x v="3"/>
    <n v="11"/>
    <x v="6"/>
    <n v="26"/>
    <n v="4"/>
    <n v="-8.24"/>
    <n v="119.833"/>
    <x v="0"/>
    <x v="1"/>
    <x v="1"/>
  </r>
  <r>
    <s v="US-2014-133312"/>
    <d v="2014-11-26T00:00:00"/>
    <d v="2014-11-30T00:00:00"/>
    <s v="BradleyDrucker@gmail.com"/>
    <x v="3"/>
    <x v="5"/>
    <x v="142"/>
    <n v="10.48"/>
    <n v="1"/>
    <n v="2.8296000000000001"/>
    <x v="3"/>
    <n v="11"/>
    <x v="6"/>
    <n v="26"/>
    <n v="4"/>
    <n v="27"/>
    <n v="10.48"/>
    <x v="0"/>
    <x v="0"/>
    <x v="0"/>
  </r>
  <r>
    <s v="CA-2014-132738"/>
    <d v="2014-08-05T00:00:00"/>
    <d v="2014-08-08T00:00:00"/>
    <s v="HarryMarie@gmail.com"/>
    <x v="131"/>
    <x v="8"/>
    <x v="959"/>
    <n v="7.968"/>
    <n v="2"/>
    <n v="2.8883999999999999"/>
    <x v="3"/>
    <n v="8"/>
    <x v="3"/>
    <n v="5"/>
    <n v="3"/>
    <n v="36.25"/>
    <n v="3.984"/>
    <x v="0"/>
    <x v="0"/>
    <x v="0"/>
  </r>
  <r>
    <s v="CA-2014-132738"/>
    <d v="2014-08-05T00:00:00"/>
    <d v="2014-08-08T00:00:00"/>
    <s v="HarryMarie@gmail.com"/>
    <x v="131"/>
    <x v="12"/>
    <x v="759"/>
    <n v="8.7840000000000007"/>
    <n v="1"/>
    <n v="3.1842000000000001"/>
    <x v="3"/>
    <n v="8"/>
    <x v="3"/>
    <n v="5"/>
    <n v="3"/>
    <n v="36.25"/>
    <n v="8.7840000000000007"/>
    <x v="0"/>
    <x v="0"/>
    <x v="0"/>
  </r>
  <r>
    <s v="CA-2014-156720"/>
    <d v="2014-12-31T00:00:00"/>
    <d v="2015-01-04T00:00:00"/>
    <s v="JillMatthias@gmail.com"/>
    <x v="131"/>
    <x v="10"/>
    <x v="960"/>
    <n v="3.024"/>
    <n v="3"/>
    <n v="-0.6048"/>
    <x v="3"/>
    <n v="12"/>
    <x v="1"/>
    <n v="31"/>
    <n v="4"/>
    <n v="-20"/>
    <n v="1.008"/>
    <x v="0"/>
    <x v="1"/>
    <x v="0"/>
  </r>
  <r>
    <s v="CA-2012-141936"/>
    <d v="2012-08-07T00:00:00"/>
    <d v="2012-08-12T00:00:00"/>
    <s v="ParhenaNorris@gmail.com"/>
    <x v="102"/>
    <x v="3"/>
    <x v="961"/>
    <n v="19.152000000000001"/>
    <n v="3"/>
    <n v="6.4638"/>
    <x v="2"/>
    <n v="8"/>
    <x v="3"/>
    <n v="7"/>
    <n v="5"/>
    <n v="33.75"/>
    <n v="6.3840000000000003"/>
    <x v="1"/>
    <x v="0"/>
    <x v="0"/>
  </r>
  <r>
    <s v="CA-2013-150658"/>
    <d v="2013-11-18T00:00:00"/>
    <d v="2013-11-23T00:00:00"/>
    <s v="MaribethSchnelling@gmail.com"/>
    <x v="11"/>
    <x v="3"/>
    <x v="85"/>
    <n v="10.776"/>
    <n v="3"/>
    <n v="3.3675000000000002"/>
    <x v="0"/>
    <n v="11"/>
    <x v="6"/>
    <n v="18"/>
    <n v="5"/>
    <n v="31.25"/>
    <n v="3.5920000000000001"/>
    <x v="0"/>
    <x v="0"/>
    <x v="0"/>
  </r>
  <r>
    <s v="CA-2014-146626"/>
    <d v="2014-12-30T00:00:00"/>
    <d v="2015-01-06T00:00:00"/>
    <s v="BenPeterman@gmail.com"/>
    <x v="104"/>
    <x v="1"/>
    <x v="962"/>
    <n v="101.12"/>
    <n v="8"/>
    <n v="37.414400000000001"/>
    <x v="3"/>
    <n v="12"/>
    <x v="1"/>
    <n v="30"/>
    <n v="7"/>
    <n v="37"/>
    <n v="12.64"/>
    <x v="0"/>
    <x v="0"/>
    <x v="0"/>
  </r>
  <r>
    <s v="CA-2013-151323"/>
    <d v="2013-10-24T00:00:00"/>
    <d v="2013-10-29T00:00:00"/>
    <s v="AlejandroBallentine@gmail.com"/>
    <x v="1"/>
    <x v="10"/>
    <x v="243"/>
    <n v="17.05"/>
    <n v="5"/>
    <n v="8.1839999999999993"/>
    <x v="0"/>
    <n v="10"/>
    <x v="7"/>
    <n v="24"/>
    <n v="5"/>
    <n v="48"/>
    <n v="3.41"/>
    <x v="0"/>
    <x v="0"/>
    <x v="0"/>
  </r>
  <r>
    <s v="CA-2012-146696"/>
    <d v="2012-12-14T00:00:00"/>
    <d v="2012-12-19T00:00:00"/>
    <s v="RickDuston@gmail.com"/>
    <x v="16"/>
    <x v="3"/>
    <x v="963"/>
    <n v="8.0960000000000001"/>
    <n v="2"/>
    <n v="2.7324000000000002"/>
    <x v="2"/>
    <n v="12"/>
    <x v="1"/>
    <n v="14"/>
    <n v="5"/>
    <n v="33.75"/>
    <n v="4.048"/>
    <x v="0"/>
    <x v="0"/>
    <x v="0"/>
  </r>
  <r>
    <s v="CA-2012-154886"/>
    <d v="2012-11-08T00:00:00"/>
    <d v="2012-11-12T00:00:00"/>
    <s v="ShaunWeien@gmail.com"/>
    <x v="3"/>
    <x v="7"/>
    <x v="71"/>
    <n v="119.9"/>
    <n v="2"/>
    <n v="43.164000000000001"/>
    <x v="2"/>
    <n v="11"/>
    <x v="6"/>
    <n v="8"/>
    <n v="4"/>
    <n v="36"/>
    <n v="59.95"/>
    <x v="0"/>
    <x v="0"/>
    <x v="0"/>
  </r>
  <r>
    <s v="CA-2014-161333"/>
    <d v="2014-02-03T00:00:00"/>
    <d v="2014-02-08T00:00:00"/>
    <s v="JohnLee@gmail.com"/>
    <x v="0"/>
    <x v="1"/>
    <x v="423"/>
    <n v="86.26"/>
    <n v="2"/>
    <n v="29.328399999999998"/>
    <x v="3"/>
    <n v="2"/>
    <x v="11"/>
    <n v="3"/>
    <n v="5"/>
    <n v="34"/>
    <n v="43.13"/>
    <x v="0"/>
    <x v="0"/>
    <x v="0"/>
  </r>
  <r>
    <s v="CA-2014-161333"/>
    <d v="2014-02-03T00:00:00"/>
    <d v="2014-02-08T00:00:00"/>
    <s v="JohnLee@gmail.com"/>
    <x v="0"/>
    <x v="5"/>
    <x v="745"/>
    <n v="139.04"/>
    <n v="4"/>
    <n v="38.931199999999997"/>
    <x v="3"/>
    <n v="2"/>
    <x v="11"/>
    <n v="3"/>
    <n v="5"/>
    <n v="28"/>
    <n v="34.76"/>
    <x v="0"/>
    <x v="0"/>
    <x v="0"/>
  </r>
  <r>
    <s v="CA-2014-161333"/>
    <d v="2014-02-03T00:00:00"/>
    <d v="2014-02-08T00:00:00"/>
    <s v="JohnLee@gmail.com"/>
    <x v="0"/>
    <x v="4"/>
    <x v="506"/>
    <n v="46.8"/>
    <n v="4"/>
    <n v="16.38"/>
    <x v="3"/>
    <n v="2"/>
    <x v="11"/>
    <n v="3"/>
    <n v="5"/>
    <n v="35"/>
    <n v="11.7"/>
    <x v="0"/>
    <x v="0"/>
    <x v="0"/>
  </r>
  <r>
    <s v="CA-2014-128734"/>
    <d v="2014-12-25T00:00:00"/>
    <d v="2015-01-01T00:00:00"/>
    <s v="JamesLanier@gmail.com"/>
    <x v="132"/>
    <x v="1"/>
    <x v="964"/>
    <n v="8.5440000000000005"/>
    <n v="4"/>
    <n v="1.9224000000000001"/>
    <x v="3"/>
    <n v="12"/>
    <x v="1"/>
    <n v="25"/>
    <n v="7"/>
    <n v="22.5"/>
    <n v="2.1360000000000001"/>
    <x v="0"/>
    <x v="0"/>
    <x v="0"/>
  </r>
  <r>
    <s v="CA-2014-125101"/>
    <d v="2014-03-07T00:00:00"/>
    <d v="2014-03-11T00:00:00"/>
    <s v="SallyHughsby@gmail.com"/>
    <x v="3"/>
    <x v="5"/>
    <x v="633"/>
    <n v="67.78"/>
    <n v="2"/>
    <n v="16.945"/>
    <x v="3"/>
    <n v="3"/>
    <x v="9"/>
    <n v="7"/>
    <n v="4"/>
    <n v="25"/>
    <n v="33.89"/>
    <x v="0"/>
    <x v="0"/>
    <x v="0"/>
  </r>
  <r>
    <s v="CA-2014-169929"/>
    <d v="2014-09-26T00:00:00"/>
    <d v="2014-09-29T00:00:00"/>
    <s v="LukeSchmidt@gmail.com"/>
    <x v="133"/>
    <x v="5"/>
    <x v="823"/>
    <n v="39.9"/>
    <n v="5"/>
    <n v="10.374000000000001"/>
    <x v="3"/>
    <n v="9"/>
    <x v="8"/>
    <n v="26"/>
    <n v="3"/>
    <n v="26"/>
    <n v="7.98"/>
    <x v="0"/>
    <x v="0"/>
    <x v="0"/>
  </r>
  <r>
    <s v="CA-2012-156146"/>
    <d v="2012-10-26T00:00:00"/>
    <d v="2012-10-30T00:00:00"/>
    <s v="AndrewGjertsen@gmail.com"/>
    <x v="81"/>
    <x v="6"/>
    <x v="965"/>
    <n v="105.584"/>
    <n v="2"/>
    <n v="9.2385999999999999"/>
    <x v="2"/>
    <n v="10"/>
    <x v="7"/>
    <n v="26"/>
    <n v="4"/>
    <n v="8.75"/>
    <n v="52.792000000000002"/>
    <x v="0"/>
    <x v="0"/>
    <x v="0"/>
  </r>
  <r>
    <s v="CA-2012-156146"/>
    <d v="2012-10-26T00:00:00"/>
    <d v="2012-10-30T00:00:00"/>
    <s v="AndrewGjertsen@gmail.com"/>
    <x v="81"/>
    <x v="6"/>
    <x v="966"/>
    <n v="68.72"/>
    <n v="2"/>
    <n v="-14.603"/>
    <x v="2"/>
    <n v="10"/>
    <x v="7"/>
    <n v="26"/>
    <n v="4"/>
    <n v="-21.25"/>
    <n v="34.36"/>
    <x v="0"/>
    <x v="1"/>
    <x v="0"/>
  </r>
  <r>
    <s v="CA-2012-161627"/>
    <d v="2012-07-06T00:00:00"/>
    <d v="2012-07-11T00:00:00"/>
    <s v="SarahJordon@gmail.com"/>
    <x v="59"/>
    <x v="9"/>
    <x v="967"/>
    <n v="170.352"/>
    <n v="3"/>
    <n v="-17.0352"/>
    <x v="2"/>
    <n v="7"/>
    <x v="5"/>
    <n v="6"/>
    <n v="5"/>
    <n v="-10"/>
    <n v="56.783999999999999"/>
    <x v="0"/>
    <x v="1"/>
    <x v="0"/>
  </r>
  <r>
    <s v="CA-2012-107741"/>
    <d v="2012-03-08T00:00:00"/>
    <d v="2012-03-10T00:00:00"/>
    <s v="FredChung@gmail.com"/>
    <x v="97"/>
    <x v="2"/>
    <x v="620"/>
    <n v="3.4079999999999999"/>
    <n v="1"/>
    <n v="0.89459999999999995"/>
    <x v="2"/>
    <n v="3"/>
    <x v="9"/>
    <n v="8"/>
    <n v="2"/>
    <n v="26.25"/>
    <n v="3.4079999999999999"/>
    <x v="0"/>
    <x v="0"/>
    <x v="0"/>
  </r>
  <r>
    <s v="CA-2013-148908"/>
    <d v="2013-11-06T00:00:00"/>
    <d v="2013-11-09T00:00:00"/>
    <s v="JosephHolt@gmail.com"/>
    <x v="3"/>
    <x v="3"/>
    <x v="454"/>
    <n v="53.247999999999998"/>
    <n v="2"/>
    <n v="19.968"/>
    <x v="0"/>
    <n v="11"/>
    <x v="6"/>
    <n v="6"/>
    <n v="3"/>
    <n v="37.5"/>
    <n v="26.623999999999999"/>
    <x v="0"/>
    <x v="0"/>
    <x v="0"/>
  </r>
  <r>
    <s v="US-2012-120502"/>
    <d v="2012-04-13T00:00:00"/>
    <d v="2012-04-19T00:00:00"/>
    <s v="BillTyler@gmail.com"/>
    <x v="0"/>
    <x v="1"/>
    <x v="468"/>
    <n v="37.68"/>
    <n v="2"/>
    <n v="15.8256"/>
    <x v="2"/>
    <n v="4"/>
    <x v="10"/>
    <n v="13"/>
    <n v="6"/>
    <n v="42"/>
    <n v="18.84"/>
    <x v="0"/>
    <x v="0"/>
    <x v="0"/>
  </r>
  <r>
    <s v="US-2012-120502"/>
    <d v="2012-04-13T00:00:00"/>
    <d v="2012-04-19T00:00:00"/>
    <s v="BillTyler@gmail.com"/>
    <x v="0"/>
    <x v="6"/>
    <x v="968"/>
    <n v="258.57600000000002"/>
    <n v="2"/>
    <n v="19.3932"/>
    <x v="2"/>
    <n v="4"/>
    <x v="10"/>
    <n v="13"/>
    <n v="6"/>
    <n v="7.5"/>
    <n v="129.28800000000001"/>
    <x v="0"/>
    <x v="0"/>
    <x v="1"/>
  </r>
  <r>
    <s v="US-2012-120502"/>
    <d v="2012-04-13T00:00:00"/>
    <d v="2012-04-19T00:00:00"/>
    <s v="BillTyler@gmail.com"/>
    <x v="0"/>
    <x v="4"/>
    <x v="336"/>
    <n v="75.84"/>
    <n v="2"/>
    <n v="29.5776"/>
    <x v="2"/>
    <n v="4"/>
    <x v="10"/>
    <n v="13"/>
    <n v="6"/>
    <n v="39"/>
    <n v="37.92"/>
    <x v="0"/>
    <x v="0"/>
    <x v="0"/>
  </r>
  <r>
    <s v="US-2014-141943"/>
    <d v="2014-05-06T00:00:00"/>
    <d v="2014-05-10T00:00:00"/>
    <s v="DarrenKoutras@gmail.com"/>
    <x v="3"/>
    <x v="12"/>
    <x v="969"/>
    <n v="23.16"/>
    <n v="2"/>
    <n v="11.58"/>
    <x v="3"/>
    <n v="5"/>
    <x v="2"/>
    <n v="6"/>
    <n v="4"/>
    <n v="50"/>
    <n v="11.58"/>
    <x v="0"/>
    <x v="0"/>
    <x v="0"/>
  </r>
  <r>
    <s v="CA-2011-159709"/>
    <d v="2011-05-10T00:00:00"/>
    <d v="2011-05-15T00:00:00"/>
    <s v="ArianneIrving@gmail.com"/>
    <x v="68"/>
    <x v="12"/>
    <x v="970"/>
    <n v="158.13"/>
    <n v="3"/>
    <n v="77.483699999999999"/>
    <x v="1"/>
    <n v="5"/>
    <x v="2"/>
    <n v="10"/>
    <n v="5"/>
    <n v="49"/>
    <n v="52.71"/>
    <x v="0"/>
    <x v="0"/>
    <x v="0"/>
  </r>
  <r>
    <s v="CA-2011-159709"/>
    <d v="2011-05-10T00:00:00"/>
    <d v="2011-05-15T00:00:00"/>
    <s v="ArianneIrving@gmail.com"/>
    <x v="68"/>
    <x v="6"/>
    <x v="971"/>
    <n v="43.6"/>
    <n v="5"/>
    <n v="4.3600000000000003"/>
    <x v="1"/>
    <n v="5"/>
    <x v="2"/>
    <n v="10"/>
    <n v="5"/>
    <n v="10"/>
    <n v="8.7200000000000006"/>
    <x v="0"/>
    <x v="0"/>
    <x v="0"/>
  </r>
  <r>
    <s v="CA-2012-142454"/>
    <d v="2012-08-15T00:00:00"/>
    <d v="2012-08-19T00:00:00"/>
    <s v="RichardEichhorn@gmail.com"/>
    <x v="52"/>
    <x v="1"/>
    <x v="773"/>
    <n v="104.23"/>
    <n v="7"/>
    <n v="28.142099999999999"/>
    <x v="2"/>
    <n v="8"/>
    <x v="3"/>
    <n v="15"/>
    <n v="4"/>
    <n v="27"/>
    <n v="14.89"/>
    <x v="0"/>
    <x v="0"/>
    <x v="0"/>
  </r>
  <r>
    <s v="CA-2012-142454"/>
    <d v="2012-08-15T00:00:00"/>
    <d v="2012-08-19T00:00:00"/>
    <s v="RichardEichhorn@gmail.com"/>
    <x v="52"/>
    <x v="5"/>
    <x v="493"/>
    <n v="70.260000000000005"/>
    <n v="3"/>
    <n v="18.970199999999998"/>
    <x v="2"/>
    <n v="8"/>
    <x v="3"/>
    <n v="15"/>
    <n v="4"/>
    <n v="27"/>
    <n v="23.42"/>
    <x v="0"/>
    <x v="0"/>
    <x v="0"/>
  </r>
  <r>
    <s v="CA-2013-145898"/>
    <d v="2013-09-27T00:00:00"/>
    <d v="2013-09-27T00:00:00"/>
    <s v="ChuckMagee@gmail.com"/>
    <x v="12"/>
    <x v="5"/>
    <x v="136"/>
    <n v="51.45"/>
    <n v="3"/>
    <n v="13.891500000000001"/>
    <x v="0"/>
    <n v="9"/>
    <x v="8"/>
    <n v="27"/>
    <n v="0"/>
    <n v="27"/>
    <n v="17.149999999999999"/>
    <x v="0"/>
    <x v="0"/>
    <x v="0"/>
  </r>
  <r>
    <s v="CA-2013-145898"/>
    <d v="2013-09-27T00:00:00"/>
    <d v="2013-09-27T00:00:00"/>
    <s v="ChuckMagee@gmail.com"/>
    <x v="12"/>
    <x v="0"/>
    <x v="416"/>
    <n v="7.83"/>
    <n v="3"/>
    <n v="3.6017999999999999"/>
    <x v="0"/>
    <n v="9"/>
    <x v="8"/>
    <n v="27"/>
    <n v="0"/>
    <n v="46"/>
    <n v="2.61"/>
    <x v="0"/>
    <x v="0"/>
    <x v="0"/>
  </r>
  <r>
    <s v="CA-2013-145898"/>
    <d v="2013-09-27T00:00:00"/>
    <d v="2013-09-27T00:00:00"/>
    <s v="ChuckMagee@gmail.com"/>
    <x v="12"/>
    <x v="2"/>
    <x v="851"/>
    <n v="35.4"/>
    <n v="5"/>
    <n v="13.452"/>
    <x v="0"/>
    <n v="9"/>
    <x v="8"/>
    <n v="27"/>
    <n v="0"/>
    <n v="38"/>
    <n v="7.08"/>
    <x v="0"/>
    <x v="0"/>
    <x v="0"/>
  </r>
  <r>
    <s v="CA-2013-145898"/>
    <d v="2013-09-27T00:00:00"/>
    <d v="2013-09-27T00:00:00"/>
    <s v="ChuckMagee@gmail.com"/>
    <x v="12"/>
    <x v="8"/>
    <x v="137"/>
    <n v="29.9"/>
    <n v="5"/>
    <n v="13.455"/>
    <x v="0"/>
    <n v="9"/>
    <x v="8"/>
    <n v="27"/>
    <n v="0"/>
    <n v="45"/>
    <n v="5.98"/>
    <x v="0"/>
    <x v="0"/>
    <x v="0"/>
  </r>
  <r>
    <s v="CA-2014-134635"/>
    <d v="2014-04-16T00:00:00"/>
    <d v="2014-04-18T00:00:00"/>
    <s v="NoelStaavos@gmail.com"/>
    <x v="0"/>
    <x v="8"/>
    <x v="45"/>
    <n v="79.14"/>
    <n v="3"/>
    <n v="36.404400000000003"/>
    <x v="3"/>
    <n v="4"/>
    <x v="10"/>
    <n v="16"/>
    <n v="2"/>
    <n v="46"/>
    <n v="26.38"/>
    <x v="0"/>
    <x v="0"/>
    <x v="0"/>
  </r>
  <r>
    <s v="US-2014-109582"/>
    <d v="2014-09-13T00:00:00"/>
    <d v="2014-09-18T00:00:00"/>
    <s v="JohnMurray@gmail.com"/>
    <x v="0"/>
    <x v="8"/>
    <x v="447"/>
    <n v="166.44"/>
    <n v="3"/>
    <n v="79.891199999999998"/>
    <x v="3"/>
    <n v="9"/>
    <x v="8"/>
    <n v="13"/>
    <n v="5"/>
    <n v="48"/>
    <n v="55.48"/>
    <x v="0"/>
    <x v="0"/>
    <x v="0"/>
  </r>
  <r>
    <s v="US-2011-147648"/>
    <d v="2011-11-26T00:00:00"/>
    <d v="2011-12-01T00:00:00"/>
    <s v="LindsayShagiari@gmail.com"/>
    <x v="3"/>
    <x v="8"/>
    <x v="972"/>
    <n v="81.98"/>
    <n v="2"/>
    <n v="40.170200000000001"/>
    <x v="1"/>
    <n v="11"/>
    <x v="6"/>
    <n v="26"/>
    <n v="5"/>
    <n v="49"/>
    <n v="40.99"/>
    <x v="0"/>
    <x v="0"/>
    <x v="0"/>
  </r>
  <r>
    <s v="CA-2014-124436"/>
    <d v="2014-03-20T00:00:00"/>
    <d v="2014-03-23T00:00:00"/>
    <s v="SueAnnReed@gmail.com"/>
    <x v="57"/>
    <x v="3"/>
    <x v="973"/>
    <n v="14.624000000000001"/>
    <n v="2"/>
    <n v="5.1184000000000003"/>
    <x v="3"/>
    <n v="3"/>
    <x v="9"/>
    <n v="20"/>
    <n v="3"/>
    <n v="35"/>
    <n v="7.3120000000000003"/>
    <x v="0"/>
    <x v="0"/>
    <x v="0"/>
  </r>
  <r>
    <s v="CA-2014-124436"/>
    <d v="2014-03-20T00:00:00"/>
    <d v="2014-03-23T00:00:00"/>
    <s v="SueAnnReed@gmail.com"/>
    <x v="57"/>
    <x v="1"/>
    <x v="974"/>
    <n v="30.93"/>
    <n v="1"/>
    <n v="12.6813"/>
    <x v="3"/>
    <n v="3"/>
    <x v="9"/>
    <n v="20"/>
    <n v="3"/>
    <n v="41"/>
    <n v="30.93"/>
    <x v="0"/>
    <x v="0"/>
    <x v="0"/>
  </r>
  <r>
    <s v="CA-2014-124436"/>
    <d v="2014-03-20T00:00:00"/>
    <d v="2014-03-23T00:00:00"/>
    <s v="SueAnnReed@gmail.com"/>
    <x v="57"/>
    <x v="3"/>
    <x v="817"/>
    <n v="27.495999999999999"/>
    <n v="7"/>
    <n v="9.2798999999999996"/>
    <x v="3"/>
    <n v="3"/>
    <x v="9"/>
    <n v="20"/>
    <n v="3"/>
    <n v="33.75"/>
    <n v="3.9279999999999999"/>
    <x v="0"/>
    <x v="0"/>
    <x v="0"/>
  </r>
  <r>
    <s v="CA-2014-131037"/>
    <d v="2014-08-23T00:00:00"/>
    <d v="2014-08-24T00:00:00"/>
    <s v="TonyMolinari@gmail.com"/>
    <x v="3"/>
    <x v="13"/>
    <x v="975"/>
    <n v="210.00800000000001"/>
    <n v="1"/>
    <n v="2.6251000000000002"/>
    <x v="3"/>
    <n v="8"/>
    <x v="3"/>
    <n v="23"/>
    <n v="1"/>
    <n v="1.25"/>
    <n v="210.00800000000001"/>
    <x v="1"/>
    <x v="0"/>
    <x v="0"/>
  </r>
  <r>
    <s v="CA-2013-116561"/>
    <d v="2013-09-12T00:00:00"/>
    <d v="2013-09-18T00:00:00"/>
    <s v="EugeneBarchas@gmail.com"/>
    <x v="10"/>
    <x v="5"/>
    <x v="976"/>
    <n v="332.94"/>
    <n v="3"/>
    <n v="6.6588000000000003"/>
    <x v="0"/>
    <n v="9"/>
    <x v="8"/>
    <n v="12"/>
    <n v="6"/>
    <n v="2"/>
    <n v="110.98"/>
    <x v="0"/>
    <x v="0"/>
    <x v="1"/>
  </r>
  <r>
    <s v="CA-2013-116561"/>
    <d v="2013-09-12T00:00:00"/>
    <d v="2013-09-18T00:00:00"/>
    <s v="EugeneBarchas@gmail.com"/>
    <x v="10"/>
    <x v="3"/>
    <x v="131"/>
    <n v="39.872"/>
    <n v="2"/>
    <n v="12.958399999999999"/>
    <x v="0"/>
    <n v="9"/>
    <x v="8"/>
    <n v="12"/>
    <n v="6"/>
    <n v="32.5"/>
    <n v="19.936"/>
    <x v="0"/>
    <x v="0"/>
    <x v="0"/>
  </r>
  <r>
    <s v="CA-2013-110730"/>
    <d v="2013-09-24T00:00:00"/>
    <d v="2013-09-27T00:00:00"/>
    <s v="CandaceMcMahon@gmail.com"/>
    <x v="1"/>
    <x v="11"/>
    <x v="977"/>
    <n v="13.68"/>
    <n v="2"/>
    <n v="3.6936"/>
    <x v="0"/>
    <n v="9"/>
    <x v="8"/>
    <n v="24"/>
    <n v="3"/>
    <n v="27"/>
    <n v="6.84"/>
    <x v="0"/>
    <x v="0"/>
    <x v="0"/>
  </r>
  <r>
    <s v="CA-2013-156265"/>
    <d v="2013-08-03T00:00:00"/>
    <d v="2013-08-05T00:00:00"/>
    <s v="BarryFranzÃ¶sisch@gmail.com"/>
    <x v="0"/>
    <x v="13"/>
    <x v="978"/>
    <n v="136.464"/>
    <n v="2"/>
    <n v="15.3522"/>
    <x v="0"/>
    <n v="8"/>
    <x v="3"/>
    <n v="3"/>
    <n v="2"/>
    <n v="11.25"/>
    <n v="68.231999999999999"/>
    <x v="0"/>
    <x v="0"/>
    <x v="0"/>
  </r>
  <r>
    <s v="CA-2013-156265"/>
    <d v="2013-08-03T00:00:00"/>
    <d v="2013-08-05T00:00:00"/>
    <s v="BarryFranzÃ¶sisch@gmail.com"/>
    <x v="0"/>
    <x v="6"/>
    <x v="59"/>
    <n v="333.57600000000002"/>
    <n v="3"/>
    <n v="33.357599999999998"/>
    <x v="0"/>
    <n v="8"/>
    <x v="3"/>
    <n v="3"/>
    <n v="2"/>
    <n v="10"/>
    <n v="111.19199999999999"/>
    <x v="0"/>
    <x v="0"/>
    <x v="1"/>
  </r>
  <r>
    <s v="CA-2013-156265"/>
    <d v="2013-08-03T00:00:00"/>
    <d v="2013-08-05T00:00:00"/>
    <s v="BarryFranzÃ¶sisch@gmail.com"/>
    <x v="0"/>
    <x v="3"/>
    <x v="979"/>
    <n v="12.544"/>
    <n v="2"/>
    <n v="4.7039999999999997"/>
    <x v="0"/>
    <n v="8"/>
    <x v="3"/>
    <n v="3"/>
    <n v="2"/>
    <n v="37.5"/>
    <n v="6.2720000000000002"/>
    <x v="0"/>
    <x v="0"/>
    <x v="0"/>
  </r>
  <r>
    <s v="US-2014-110989"/>
    <d v="2014-11-04T00:00:00"/>
    <d v="2014-11-06T00:00:00"/>
    <s v="EvaJacobs@gmail.com"/>
    <x v="1"/>
    <x v="7"/>
    <x v="730"/>
    <n v="43.5"/>
    <n v="3"/>
    <n v="10.875"/>
    <x v="3"/>
    <n v="11"/>
    <x v="6"/>
    <n v="4"/>
    <n v="2"/>
    <n v="25"/>
    <n v="14.5"/>
    <x v="0"/>
    <x v="0"/>
    <x v="0"/>
  </r>
  <r>
    <s v="US-2011-131982"/>
    <d v="2011-03-07T00:00:00"/>
    <d v="2011-03-11T00:00:00"/>
    <s v="NoraPelletier@gmail.com"/>
    <x v="25"/>
    <x v="3"/>
    <x v="980"/>
    <n v="107.648"/>
    <n v="2"/>
    <n v="33.64"/>
    <x v="1"/>
    <n v="3"/>
    <x v="9"/>
    <n v="7"/>
    <n v="4"/>
    <n v="31.25"/>
    <n v="53.823999999999998"/>
    <x v="0"/>
    <x v="0"/>
    <x v="0"/>
  </r>
  <r>
    <s v="US-2014-114034"/>
    <d v="2014-01-04T00:00:00"/>
    <d v="2014-01-09T00:00:00"/>
    <s v="DelfinaLatchford@gmail.com"/>
    <x v="83"/>
    <x v="8"/>
    <x v="735"/>
    <n v="38.880000000000003"/>
    <n v="6"/>
    <n v="18.662400000000002"/>
    <x v="3"/>
    <n v="1"/>
    <x v="4"/>
    <n v="4"/>
    <n v="5"/>
    <n v="48"/>
    <n v="6.48"/>
    <x v="1"/>
    <x v="0"/>
    <x v="0"/>
  </r>
  <r>
    <s v="US-2014-115595"/>
    <d v="2014-10-10T00:00:00"/>
    <d v="2014-10-12T00:00:00"/>
    <s v="XylonaPreis@gmail.com"/>
    <x v="0"/>
    <x v="8"/>
    <x v="981"/>
    <n v="35.200000000000003"/>
    <n v="5"/>
    <n v="16.544"/>
    <x v="3"/>
    <n v="10"/>
    <x v="7"/>
    <n v="10"/>
    <n v="2"/>
    <n v="47"/>
    <n v="7.0400000000000009"/>
    <x v="0"/>
    <x v="0"/>
    <x v="0"/>
  </r>
  <r>
    <s v="CA-2014-147452"/>
    <d v="2014-10-01T00:00:00"/>
    <d v="2014-10-04T00:00:00"/>
    <s v="CariSayre@gmail.com"/>
    <x v="1"/>
    <x v="8"/>
    <x v="690"/>
    <n v="11.76"/>
    <n v="2"/>
    <n v="5.7624000000000004"/>
    <x v="3"/>
    <n v="10"/>
    <x v="7"/>
    <n v="1"/>
    <n v="3"/>
    <n v="49"/>
    <n v="5.88"/>
    <x v="0"/>
    <x v="0"/>
    <x v="0"/>
  </r>
  <r>
    <s v="CA-2014-147452"/>
    <d v="2014-10-01T00:00:00"/>
    <d v="2014-10-04T00:00:00"/>
    <s v="CariSayre@gmail.com"/>
    <x v="1"/>
    <x v="8"/>
    <x v="982"/>
    <n v="167.94"/>
    <n v="3"/>
    <n v="82.290599999999998"/>
    <x v="3"/>
    <n v="10"/>
    <x v="7"/>
    <n v="1"/>
    <n v="3"/>
    <n v="49"/>
    <n v="55.98"/>
    <x v="0"/>
    <x v="0"/>
    <x v="0"/>
  </r>
  <r>
    <s v="CA-2014-147452"/>
    <d v="2014-10-01T00:00:00"/>
    <d v="2014-10-04T00:00:00"/>
    <s v="CariSayre@gmail.com"/>
    <x v="1"/>
    <x v="4"/>
    <x v="983"/>
    <n v="3.89"/>
    <n v="1"/>
    <n v="1.0114000000000001"/>
    <x v="3"/>
    <n v="10"/>
    <x v="7"/>
    <n v="1"/>
    <n v="3"/>
    <n v="26"/>
    <n v="3.89"/>
    <x v="0"/>
    <x v="0"/>
    <x v="0"/>
  </r>
  <r>
    <s v="CA-2014-144484"/>
    <d v="2014-09-12T00:00:00"/>
    <d v="2014-09-12T00:00:00"/>
    <s v="CassandraBrandow@gmail.com"/>
    <x v="3"/>
    <x v="1"/>
    <x v="984"/>
    <n v="32.36"/>
    <n v="4"/>
    <n v="11.6496"/>
    <x v="3"/>
    <n v="9"/>
    <x v="8"/>
    <n v="12"/>
    <n v="0"/>
    <n v="36"/>
    <n v="8.09"/>
    <x v="0"/>
    <x v="0"/>
    <x v="0"/>
  </r>
  <r>
    <s v="CA-2014-144484"/>
    <d v="2014-09-12T00:00:00"/>
    <d v="2014-09-12T00:00:00"/>
    <s v="CassandraBrandow@gmail.com"/>
    <x v="3"/>
    <x v="4"/>
    <x v="729"/>
    <n v="406.6"/>
    <n v="5"/>
    <n v="113.848"/>
    <x v="3"/>
    <n v="9"/>
    <x v="8"/>
    <n v="12"/>
    <n v="0"/>
    <n v="28"/>
    <n v="81.320000000000007"/>
    <x v="0"/>
    <x v="0"/>
    <x v="1"/>
  </r>
  <r>
    <s v="CA-2014-125913"/>
    <d v="2014-01-17T00:00:00"/>
    <d v="2014-01-17T00:00:00"/>
    <s v="JackO'Briant@gmail.com"/>
    <x v="0"/>
    <x v="1"/>
    <x v="1"/>
    <n v="27.92"/>
    <n v="4"/>
    <n v="8.0968"/>
    <x v="3"/>
    <n v="1"/>
    <x v="4"/>
    <n v="17"/>
    <n v="0"/>
    <n v="29"/>
    <n v="6.98"/>
    <x v="0"/>
    <x v="0"/>
    <x v="0"/>
  </r>
  <r>
    <s v="CA-2014-125913"/>
    <d v="2014-01-17T00:00:00"/>
    <d v="2014-01-17T00:00:00"/>
    <s v="JackO'Briant@gmail.com"/>
    <x v="0"/>
    <x v="13"/>
    <x v="658"/>
    <n v="399.67200000000003"/>
    <n v="7"/>
    <n v="-14.9877"/>
    <x v="3"/>
    <n v="1"/>
    <x v="4"/>
    <n v="17"/>
    <n v="0"/>
    <n v="-3.75"/>
    <n v="57.095999999999997"/>
    <x v="0"/>
    <x v="1"/>
    <x v="1"/>
  </r>
  <r>
    <s v="CA-2011-133424"/>
    <d v="2011-03-30T00:00:00"/>
    <d v="2011-04-04T00:00:00"/>
    <s v="Dorrisliebe@gmail.com"/>
    <x v="1"/>
    <x v="5"/>
    <x v="778"/>
    <n v="15.84"/>
    <n v="3"/>
    <n v="0"/>
    <x v="1"/>
    <n v="3"/>
    <x v="9"/>
    <n v="30"/>
    <n v="5"/>
    <n v="0"/>
    <n v="5.28"/>
    <x v="0"/>
    <x v="0"/>
    <x v="0"/>
  </r>
  <r>
    <s v="CA-2011-133424"/>
    <d v="2011-03-30T00:00:00"/>
    <d v="2011-04-04T00:00:00"/>
    <s v="Dorrisliebe@gmail.com"/>
    <x v="1"/>
    <x v="0"/>
    <x v="325"/>
    <n v="44.4"/>
    <n v="3"/>
    <n v="22.2"/>
    <x v="1"/>
    <n v="3"/>
    <x v="9"/>
    <n v="30"/>
    <n v="5"/>
    <n v="50"/>
    <n v="14.8"/>
    <x v="0"/>
    <x v="0"/>
    <x v="0"/>
  </r>
  <r>
    <s v="CA-2014-105991"/>
    <d v="2014-05-06T00:00:00"/>
    <d v="2014-05-07T00:00:00"/>
    <s v="LisaHazard@gmail.com"/>
    <x v="28"/>
    <x v="12"/>
    <x v="247"/>
    <n v="21.24"/>
    <n v="9"/>
    <n v="7.4340000000000002"/>
    <x v="3"/>
    <n v="5"/>
    <x v="2"/>
    <n v="6"/>
    <n v="1"/>
    <n v="35"/>
    <n v="2.36"/>
    <x v="0"/>
    <x v="0"/>
    <x v="0"/>
  </r>
  <r>
    <s v="CA-2014-105991"/>
    <d v="2014-05-06T00:00:00"/>
    <d v="2014-05-07T00:00:00"/>
    <s v="LisaHazard@gmail.com"/>
    <x v="28"/>
    <x v="3"/>
    <x v="28"/>
    <n v="9.5519999999999996"/>
    <n v="8"/>
    <n v="-7.3231999999999999"/>
    <x v="3"/>
    <n v="5"/>
    <x v="2"/>
    <n v="6"/>
    <n v="1"/>
    <n v="-76.67"/>
    <n v="1.194"/>
    <x v="0"/>
    <x v="1"/>
    <x v="0"/>
  </r>
  <r>
    <s v="CA-2014-105991"/>
    <d v="2014-05-06T00:00:00"/>
    <d v="2014-05-07T00:00:00"/>
    <s v="LisaHazard@gmail.com"/>
    <x v="28"/>
    <x v="14"/>
    <x v="298"/>
    <n v="89.991"/>
    <n v="3"/>
    <n v="-152.9847"/>
    <x v="3"/>
    <n v="5"/>
    <x v="2"/>
    <n v="6"/>
    <n v="1"/>
    <n v="-170"/>
    <n v="29.997"/>
    <x v="0"/>
    <x v="1"/>
    <x v="0"/>
  </r>
  <r>
    <s v="US-2014-136784"/>
    <d v="2014-05-01T00:00:00"/>
    <d v="2014-05-06T00:00:00"/>
    <s v="AlanDominguez@gmail.com"/>
    <x v="3"/>
    <x v="8"/>
    <x v="421"/>
    <n v="163.96"/>
    <n v="4"/>
    <n v="80.340400000000002"/>
    <x v="3"/>
    <n v="5"/>
    <x v="2"/>
    <n v="1"/>
    <n v="5"/>
    <n v="49"/>
    <n v="40.99"/>
    <x v="0"/>
    <x v="0"/>
    <x v="0"/>
  </r>
  <r>
    <s v="CA-2013-106656"/>
    <d v="2013-09-24T00:00:00"/>
    <d v="2013-09-27T00:00:00"/>
    <s v="DarrinVanHuff@gmail.com"/>
    <x v="16"/>
    <x v="12"/>
    <x v="56"/>
    <n v="4.08"/>
    <n v="2"/>
    <n v="1.9176"/>
    <x v="0"/>
    <n v="9"/>
    <x v="8"/>
    <n v="24"/>
    <n v="3"/>
    <n v="47"/>
    <n v="2.04"/>
    <x v="0"/>
    <x v="0"/>
    <x v="0"/>
  </r>
  <r>
    <s v="CA-2013-106656"/>
    <d v="2013-09-24T00:00:00"/>
    <d v="2013-09-27T00:00:00"/>
    <s v="DarrinVanHuff@gmail.com"/>
    <x v="16"/>
    <x v="0"/>
    <x v="985"/>
    <n v="18.899999999999999"/>
    <n v="3"/>
    <n v="8.6940000000000008"/>
    <x v="0"/>
    <n v="9"/>
    <x v="8"/>
    <n v="24"/>
    <n v="3"/>
    <n v="46"/>
    <n v="6.3"/>
    <x v="0"/>
    <x v="0"/>
    <x v="0"/>
  </r>
  <r>
    <s v="CA-2014-137876"/>
    <d v="2014-05-01T00:00:00"/>
    <d v="2014-05-06T00:00:00"/>
    <s v="DonJones@gmail.com"/>
    <x v="3"/>
    <x v="1"/>
    <x v="986"/>
    <n v="64.959999999999994"/>
    <n v="2"/>
    <n v="21.436800000000002"/>
    <x v="3"/>
    <n v="5"/>
    <x v="2"/>
    <n v="1"/>
    <n v="5"/>
    <n v="33"/>
    <n v="32.479999999999997"/>
    <x v="0"/>
    <x v="0"/>
    <x v="0"/>
  </r>
  <r>
    <s v="CA-2014-137876"/>
    <d v="2014-05-01T00:00:00"/>
    <d v="2014-05-06T00:00:00"/>
    <s v="DonJones@gmail.com"/>
    <x v="3"/>
    <x v="12"/>
    <x v="293"/>
    <n v="30.56"/>
    <n v="4"/>
    <n v="14.974399999999999"/>
    <x v="3"/>
    <n v="5"/>
    <x v="2"/>
    <n v="1"/>
    <n v="5"/>
    <n v="49"/>
    <n v="7.64"/>
    <x v="0"/>
    <x v="0"/>
    <x v="0"/>
  </r>
  <r>
    <s v="CA-2012-119508"/>
    <d v="2012-12-04T00:00:00"/>
    <d v="2012-12-09T00:00:00"/>
    <s v="TracyZic@gmail.com"/>
    <x v="116"/>
    <x v="2"/>
    <x v="439"/>
    <n v="16.899999999999999"/>
    <n v="5"/>
    <n v="6.2530000000000001"/>
    <x v="2"/>
    <n v="12"/>
    <x v="1"/>
    <n v="4"/>
    <n v="5"/>
    <n v="37"/>
    <n v="3.38"/>
    <x v="0"/>
    <x v="0"/>
    <x v="0"/>
  </r>
  <r>
    <s v="CA-2012-119508"/>
    <d v="2012-12-04T00:00:00"/>
    <d v="2012-12-09T00:00:00"/>
    <s v="TracyZic@gmail.com"/>
    <x v="116"/>
    <x v="1"/>
    <x v="360"/>
    <n v="25.08"/>
    <n v="6"/>
    <n v="9.0288000000000004"/>
    <x v="2"/>
    <n v="12"/>
    <x v="1"/>
    <n v="4"/>
    <n v="5"/>
    <n v="36"/>
    <n v="4.18"/>
    <x v="0"/>
    <x v="0"/>
    <x v="0"/>
  </r>
  <r>
    <s v="CA-2011-130813"/>
    <d v="2011-01-07T00:00:00"/>
    <d v="2011-01-09T00:00:00"/>
    <s v="LycorisSaunders@gmail.com"/>
    <x v="0"/>
    <x v="8"/>
    <x v="163"/>
    <n v="19.440000000000001"/>
    <n v="3"/>
    <n v="9.3312000000000008"/>
    <x v="1"/>
    <n v="1"/>
    <x v="4"/>
    <n v="7"/>
    <n v="2"/>
    <n v="48"/>
    <n v="6.48"/>
    <x v="1"/>
    <x v="0"/>
    <x v="0"/>
  </r>
  <r>
    <s v="CA-2012-169278"/>
    <d v="2012-05-21T00:00:00"/>
    <d v="2012-05-25T00:00:00"/>
    <s v="MichelleEllison@gmail.com"/>
    <x v="1"/>
    <x v="3"/>
    <x v="214"/>
    <n v="26.975999999999999"/>
    <n v="4"/>
    <n v="8.7672000000000008"/>
    <x v="2"/>
    <n v="5"/>
    <x v="2"/>
    <n v="21"/>
    <n v="4"/>
    <n v="32.5"/>
    <n v="6.7439999999999998"/>
    <x v="0"/>
    <x v="0"/>
    <x v="0"/>
  </r>
  <r>
    <s v="CA-2014-111577"/>
    <d v="2014-10-17T00:00:00"/>
    <d v="2014-10-22T00:00:00"/>
    <s v="AnthonyJacobs@gmail.com"/>
    <x v="9"/>
    <x v="8"/>
    <x v="584"/>
    <n v="307.77600000000001"/>
    <n v="7"/>
    <n v="111.5688"/>
    <x v="3"/>
    <n v="10"/>
    <x v="7"/>
    <n v="17"/>
    <n v="5"/>
    <n v="36.25"/>
    <n v="43.968000000000004"/>
    <x v="0"/>
    <x v="0"/>
    <x v="1"/>
  </r>
  <r>
    <s v="CA-2014-108539"/>
    <d v="2014-03-22T00:00:00"/>
    <d v="2014-03-24T00:00:00"/>
    <s v="StevenCartwright@gmail.com"/>
    <x v="0"/>
    <x v="3"/>
    <x v="356"/>
    <n v="10.896000000000001"/>
    <n v="3"/>
    <n v="3.9498000000000002"/>
    <x v="3"/>
    <n v="3"/>
    <x v="9"/>
    <n v="22"/>
    <n v="2"/>
    <n v="36.25"/>
    <n v="3.6320000000000001"/>
    <x v="0"/>
    <x v="0"/>
    <x v="0"/>
  </r>
  <r>
    <s v="CA-2014-108539"/>
    <d v="2014-03-22T00:00:00"/>
    <d v="2014-03-24T00:00:00"/>
    <s v="StevenCartwright@gmail.com"/>
    <x v="0"/>
    <x v="3"/>
    <x v="987"/>
    <n v="8.5440000000000005"/>
    <n v="2"/>
    <n v="2.8835999999999999"/>
    <x v="3"/>
    <n v="3"/>
    <x v="9"/>
    <n v="22"/>
    <n v="2"/>
    <n v="33.75"/>
    <n v="4.2720000000000002"/>
    <x v="0"/>
    <x v="0"/>
    <x v="0"/>
  </r>
  <r>
    <s v="CA-2011-113768"/>
    <d v="2011-05-13T00:00:00"/>
    <d v="2011-05-19T00:00:00"/>
    <s v="AaronHawkins@gmail.com"/>
    <x v="0"/>
    <x v="9"/>
    <x v="988"/>
    <n v="279.45600000000002"/>
    <n v="6"/>
    <n v="20.959199999999999"/>
    <x v="1"/>
    <n v="5"/>
    <x v="2"/>
    <n v="13"/>
    <n v="6"/>
    <n v="7.5"/>
    <n v="46.576000000000001"/>
    <x v="0"/>
    <x v="0"/>
    <x v="1"/>
  </r>
  <r>
    <s v="CA-2011-113768"/>
    <d v="2011-05-13T00:00:00"/>
    <d v="2011-05-19T00:00:00"/>
    <s v="AaronHawkins@gmail.com"/>
    <x v="0"/>
    <x v="8"/>
    <x v="989"/>
    <n v="8"/>
    <n v="2"/>
    <n v="3.84"/>
    <x v="1"/>
    <n v="5"/>
    <x v="2"/>
    <n v="13"/>
    <n v="6"/>
    <n v="48"/>
    <n v="4"/>
    <x v="0"/>
    <x v="0"/>
    <x v="0"/>
  </r>
  <r>
    <s v="CA-2013-138037"/>
    <d v="2013-09-30T00:00:00"/>
    <d v="2013-10-04T00:00:00"/>
    <s v="AndyReiter@gmail.com"/>
    <x v="3"/>
    <x v="3"/>
    <x v="517"/>
    <n v="27.24"/>
    <n v="5"/>
    <n v="9.5340000000000007"/>
    <x v="0"/>
    <n v="9"/>
    <x v="8"/>
    <n v="30"/>
    <n v="4"/>
    <n v="35"/>
    <n v="5.4480000000000004"/>
    <x v="0"/>
    <x v="0"/>
    <x v="0"/>
  </r>
  <r>
    <s v="CA-2011-150490"/>
    <d v="2011-08-05T00:00:00"/>
    <d v="2011-08-11T00:00:00"/>
    <s v="SoniaSunley@gmail.com"/>
    <x v="3"/>
    <x v="7"/>
    <x v="695"/>
    <n v="16.36"/>
    <n v="1"/>
    <n v="1.6359999999999999"/>
    <x v="1"/>
    <n v="8"/>
    <x v="3"/>
    <n v="5"/>
    <n v="6"/>
    <n v="10"/>
    <n v="16.36"/>
    <x v="0"/>
    <x v="0"/>
    <x v="0"/>
  </r>
  <r>
    <s v="CA-2011-150490"/>
    <d v="2011-08-05T00:00:00"/>
    <d v="2011-08-11T00:00:00"/>
    <s v="SoniaSunley@gmail.com"/>
    <x v="3"/>
    <x v="5"/>
    <x v="990"/>
    <n v="15.78"/>
    <n v="2"/>
    <n v="0.63119999999999998"/>
    <x v="1"/>
    <n v="8"/>
    <x v="3"/>
    <n v="5"/>
    <n v="6"/>
    <n v="4"/>
    <n v="7.89"/>
    <x v="0"/>
    <x v="0"/>
    <x v="0"/>
  </r>
  <r>
    <s v="CA-2011-150490"/>
    <d v="2011-08-05T00:00:00"/>
    <d v="2011-08-11T00:00:00"/>
    <s v="SoniaSunley@gmail.com"/>
    <x v="3"/>
    <x v="2"/>
    <x v="991"/>
    <n v="45.98"/>
    <n v="2"/>
    <n v="12.8744"/>
    <x v="1"/>
    <n v="8"/>
    <x v="3"/>
    <n v="5"/>
    <n v="6"/>
    <n v="28"/>
    <n v="22.99"/>
    <x v="0"/>
    <x v="0"/>
    <x v="0"/>
  </r>
  <r>
    <s v="CA-2011-123477"/>
    <d v="2011-01-19T00:00:00"/>
    <d v="2011-01-22T00:00:00"/>
    <s v="DavidWiener@gmail.com"/>
    <x v="77"/>
    <x v="4"/>
    <x v="502"/>
    <n v="64.864000000000004"/>
    <n v="4"/>
    <n v="6.4863999999999997"/>
    <x v="1"/>
    <n v="1"/>
    <x v="4"/>
    <n v="19"/>
    <n v="3"/>
    <n v="10"/>
    <n v="16.216000000000001"/>
    <x v="0"/>
    <x v="0"/>
    <x v="0"/>
  </r>
  <r>
    <s v="CA-2014-158071"/>
    <d v="2014-06-11T00:00:00"/>
    <d v="2014-06-16T00:00:00"/>
    <s v="BillDonatelli@gmail.com"/>
    <x v="1"/>
    <x v="6"/>
    <x v="236"/>
    <n v="88.775999999999996"/>
    <n v="3"/>
    <n v="7.7679"/>
    <x v="3"/>
    <n v="6"/>
    <x v="0"/>
    <n v="11"/>
    <n v="5"/>
    <n v="8.75"/>
    <n v="29.591999999999999"/>
    <x v="0"/>
    <x v="0"/>
    <x v="0"/>
  </r>
  <r>
    <s v="CA-2014-158071"/>
    <d v="2014-06-11T00:00:00"/>
    <d v="2014-06-16T00:00:00"/>
    <s v="BillDonatelli@gmail.com"/>
    <x v="1"/>
    <x v="0"/>
    <x v="597"/>
    <n v="11.56"/>
    <n v="4"/>
    <n v="5.4332000000000003"/>
    <x v="3"/>
    <n v="6"/>
    <x v="0"/>
    <n v="11"/>
    <n v="5"/>
    <n v="47"/>
    <n v="2.89"/>
    <x v="0"/>
    <x v="0"/>
    <x v="0"/>
  </r>
  <r>
    <s v="CA-2014-158071"/>
    <d v="2014-06-11T00:00:00"/>
    <d v="2014-06-16T00:00:00"/>
    <s v="BillDonatelli@gmail.com"/>
    <x v="1"/>
    <x v="5"/>
    <x v="992"/>
    <n v="15.58"/>
    <n v="1"/>
    <n v="3.895"/>
    <x v="3"/>
    <n v="6"/>
    <x v="0"/>
    <n v="11"/>
    <n v="5"/>
    <n v="25"/>
    <n v="15.58"/>
    <x v="0"/>
    <x v="0"/>
    <x v="0"/>
  </r>
  <r>
    <s v="CA-2014-134152"/>
    <d v="2014-05-28T00:00:00"/>
    <d v="2014-06-01T00:00:00"/>
    <s v="RoyPhan@gmail.com"/>
    <x v="1"/>
    <x v="7"/>
    <x v="695"/>
    <n v="98.16"/>
    <n v="6"/>
    <n v="9.8160000000000007"/>
    <x v="3"/>
    <n v="5"/>
    <x v="2"/>
    <n v="28"/>
    <n v="4"/>
    <n v="10"/>
    <n v="16.36"/>
    <x v="0"/>
    <x v="0"/>
    <x v="0"/>
  </r>
  <r>
    <s v="CA-2014-134152"/>
    <d v="2014-05-28T00:00:00"/>
    <d v="2014-06-01T00:00:00"/>
    <s v="RoyPhan@gmail.com"/>
    <x v="1"/>
    <x v="2"/>
    <x v="50"/>
    <n v="31.44"/>
    <n v="3"/>
    <n v="7.86"/>
    <x v="3"/>
    <n v="5"/>
    <x v="2"/>
    <n v="28"/>
    <n v="4"/>
    <n v="25"/>
    <n v="10.48"/>
    <x v="0"/>
    <x v="0"/>
    <x v="0"/>
  </r>
  <r>
    <s v="CA-2013-136021"/>
    <d v="2013-08-15T00:00:00"/>
    <d v="2013-08-19T00:00:00"/>
    <s v="JillMatthias@gmail.com"/>
    <x v="0"/>
    <x v="8"/>
    <x v="993"/>
    <n v="15.54"/>
    <n v="3"/>
    <n v="7.6146000000000003"/>
    <x v="0"/>
    <n v="8"/>
    <x v="3"/>
    <n v="15"/>
    <n v="4"/>
    <n v="49"/>
    <n v="5.18"/>
    <x v="0"/>
    <x v="0"/>
    <x v="0"/>
  </r>
  <r>
    <s v="CA-2013-136021"/>
    <d v="2013-08-15T00:00:00"/>
    <d v="2013-08-19T00:00:00"/>
    <s v="JillMatthias@gmail.com"/>
    <x v="0"/>
    <x v="15"/>
    <x v="994"/>
    <n v="105.55200000000001"/>
    <n v="6"/>
    <n v="35.623800000000003"/>
    <x v="0"/>
    <n v="8"/>
    <x v="3"/>
    <n v="15"/>
    <n v="4"/>
    <n v="33.75"/>
    <n v="17.591999999999999"/>
    <x v="0"/>
    <x v="0"/>
    <x v="0"/>
  </r>
  <r>
    <s v="CA-2014-164707"/>
    <d v="2014-02-19T00:00:00"/>
    <d v="2014-02-22T00:00:00"/>
    <s v="CynthiaVoltz@gmail.com"/>
    <x v="0"/>
    <x v="6"/>
    <x v="124"/>
    <n v="167.976"/>
    <n v="3"/>
    <n v="10.4985"/>
    <x v="3"/>
    <n v="2"/>
    <x v="11"/>
    <n v="19"/>
    <n v="3"/>
    <n v="6.25"/>
    <n v="55.991999999999997"/>
    <x v="0"/>
    <x v="0"/>
    <x v="0"/>
  </r>
  <r>
    <s v="CA-2014-164707"/>
    <d v="2014-02-19T00:00:00"/>
    <d v="2014-02-22T00:00:00"/>
    <s v="CynthiaVoltz@gmail.com"/>
    <x v="0"/>
    <x v="7"/>
    <x v="541"/>
    <n v="109.53"/>
    <n v="3"/>
    <n v="47.097900000000003"/>
    <x v="3"/>
    <n v="2"/>
    <x v="11"/>
    <n v="19"/>
    <n v="3"/>
    <n v="43"/>
    <n v="36.51"/>
    <x v="0"/>
    <x v="0"/>
    <x v="0"/>
  </r>
  <r>
    <s v="CA-2014-164707"/>
    <d v="2014-02-19T00:00:00"/>
    <d v="2014-02-22T00:00:00"/>
    <s v="CynthiaVoltz@gmail.com"/>
    <x v="0"/>
    <x v="0"/>
    <x v="995"/>
    <n v="9.82"/>
    <n v="2"/>
    <n v="4.8117999999999999"/>
    <x v="3"/>
    <n v="2"/>
    <x v="11"/>
    <n v="19"/>
    <n v="3"/>
    <n v="49"/>
    <n v="4.91"/>
    <x v="0"/>
    <x v="0"/>
    <x v="0"/>
  </r>
  <r>
    <s v="CA-2014-163874"/>
    <d v="2014-11-11T00:00:00"/>
    <d v="2014-11-13T00:00:00"/>
    <s v="NickCrebassa@gmail.com"/>
    <x v="1"/>
    <x v="3"/>
    <x v="462"/>
    <n v="26.352"/>
    <n v="3"/>
    <n v="9.5526"/>
    <x v="3"/>
    <n v="11"/>
    <x v="6"/>
    <n v="11"/>
    <n v="2"/>
    <n v="36.25"/>
    <n v="8.7840000000000007"/>
    <x v="0"/>
    <x v="0"/>
    <x v="0"/>
  </r>
  <r>
    <s v="CA-2011-104829"/>
    <d v="2011-11-18T00:00:00"/>
    <d v="2011-11-21T00:00:00"/>
    <s v="JohnGrady@gmail.com"/>
    <x v="89"/>
    <x v="8"/>
    <x v="589"/>
    <n v="21.98"/>
    <n v="7"/>
    <n v="9.891"/>
    <x v="1"/>
    <n v="11"/>
    <x v="6"/>
    <n v="18"/>
    <n v="3"/>
    <n v="45"/>
    <n v="3.14"/>
    <x v="0"/>
    <x v="0"/>
    <x v="0"/>
  </r>
  <r>
    <s v="US-2013-147340"/>
    <d v="2013-09-25T00:00:00"/>
    <d v="2013-09-25T00:00:00"/>
    <s v="EdwardBecker@gmail.com"/>
    <x v="3"/>
    <x v="1"/>
    <x v="962"/>
    <n v="63.2"/>
    <n v="5"/>
    <n v="23.384"/>
    <x v="0"/>
    <n v="9"/>
    <x v="8"/>
    <n v="25"/>
    <n v="0"/>
    <n v="37"/>
    <n v="12.64"/>
    <x v="0"/>
    <x v="0"/>
    <x v="0"/>
  </r>
  <r>
    <s v="CA-2013-145492"/>
    <d v="2013-11-21T00:00:00"/>
    <d v="2013-11-28T00:00:00"/>
    <s v="MattConnell@gmail.com"/>
    <x v="0"/>
    <x v="4"/>
    <x v="58"/>
    <n v="39"/>
    <n v="12"/>
    <n v="11.31"/>
    <x v="0"/>
    <n v="11"/>
    <x v="6"/>
    <n v="21"/>
    <n v="7"/>
    <n v="29"/>
    <n v="3.25"/>
    <x v="0"/>
    <x v="0"/>
    <x v="0"/>
  </r>
  <r>
    <s v="CA-2014-132262"/>
    <d v="2014-09-22T00:00:00"/>
    <d v="2014-09-24T00:00:00"/>
    <s v="MuhammedLee@gmail.com"/>
    <x v="1"/>
    <x v="7"/>
    <x v="97"/>
    <n v="71.98"/>
    <n v="2"/>
    <n v="15.1158"/>
    <x v="3"/>
    <n v="9"/>
    <x v="8"/>
    <n v="22"/>
    <n v="2"/>
    <n v="21"/>
    <n v="35.99"/>
    <x v="0"/>
    <x v="0"/>
    <x v="0"/>
  </r>
  <r>
    <s v="CA-2014-132262"/>
    <d v="2014-09-22T00:00:00"/>
    <d v="2014-09-24T00:00:00"/>
    <s v="MuhammedLee@gmail.com"/>
    <x v="1"/>
    <x v="7"/>
    <x v="996"/>
    <n v="79.98"/>
    <n v="2"/>
    <n v="26.3934"/>
    <x v="3"/>
    <n v="9"/>
    <x v="8"/>
    <n v="22"/>
    <n v="2"/>
    <n v="33"/>
    <n v="39.99"/>
    <x v="0"/>
    <x v="0"/>
    <x v="0"/>
  </r>
  <r>
    <s v="US-2013-143280"/>
    <d v="2013-02-22T00:00:00"/>
    <d v="2013-02-26T00:00:00"/>
    <s v="TracyZic@gmail.com"/>
    <x v="0"/>
    <x v="6"/>
    <x v="166"/>
    <n v="445.96"/>
    <n v="5"/>
    <n v="55.744999999999997"/>
    <x v="0"/>
    <n v="2"/>
    <x v="11"/>
    <n v="22"/>
    <n v="4"/>
    <n v="12.5"/>
    <n v="89.191999999999993"/>
    <x v="0"/>
    <x v="0"/>
    <x v="1"/>
  </r>
  <r>
    <s v="US-2013-143280"/>
    <d v="2013-02-22T00:00:00"/>
    <d v="2013-02-26T00:00:00"/>
    <s v="TracyZic@gmail.com"/>
    <x v="0"/>
    <x v="7"/>
    <x v="701"/>
    <n v="36.24"/>
    <n v="1"/>
    <n v="15.220800000000001"/>
    <x v="0"/>
    <n v="2"/>
    <x v="11"/>
    <n v="22"/>
    <n v="4"/>
    <n v="42"/>
    <n v="36.24"/>
    <x v="0"/>
    <x v="0"/>
    <x v="0"/>
  </r>
  <r>
    <s v="US-2013-143280"/>
    <d v="2013-02-22T00:00:00"/>
    <d v="2013-02-26T00:00:00"/>
    <s v="TracyZic@gmail.com"/>
    <x v="0"/>
    <x v="10"/>
    <x v="997"/>
    <n v="10.65"/>
    <n v="3"/>
    <n v="5.0054999999999996"/>
    <x v="0"/>
    <n v="2"/>
    <x v="11"/>
    <n v="22"/>
    <n v="4"/>
    <n v="47"/>
    <n v="3.55"/>
    <x v="0"/>
    <x v="0"/>
    <x v="0"/>
  </r>
  <r>
    <s v="CA-2014-108854"/>
    <d v="2014-12-09T00:00:00"/>
    <d v="2014-12-15T00:00:00"/>
    <s v="DeniseMonton@gmail.com"/>
    <x v="3"/>
    <x v="8"/>
    <x v="998"/>
    <n v="87.92"/>
    <n v="4"/>
    <n v="40.443199999999997"/>
    <x v="3"/>
    <n v="12"/>
    <x v="1"/>
    <n v="9"/>
    <n v="6"/>
    <n v="46"/>
    <n v="21.98"/>
    <x v="0"/>
    <x v="0"/>
    <x v="0"/>
  </r>
  <r>
    <s v="CA-2014-108854"/>
    <d v="2014-12-09T00:00:00"/>
    <d v="2014-12-15T00:00:00"/>
    <s v="DeniseMonton@gmail.com"/>
    <x v="3"/>
    <x v="3"/>
    <x v="820"/>
    <n v="22.423999999999999"/>
    <n v="1"/>
    <n v="8.4090000000000007"/>
    <x v="3"/>
    <n v="12"/>
    <x v="1"/>
    <n v="9"/>
    <n v="6"/>
    <n v="37.5"/>
    <n v="22.423999999999999"/>
    <x v="0"/>
    <x v="0"/>
    <x v="0"/>
  </r>
  <r>
    <s v="CA-2014-108854"/>
    <d v="2014-12-09T00:00:00"/>
    <d v="2014-12-15T00:00:00"/>
    <s v="DeniseMonton@gmail.com"/>
    <x v="3"/>
    <x v="3"/>
    <x v="130"/>
    <n v="90.48"/>
    <n v="3"/>
    <n v="33.93"/>
    <x v="3"/>
    <n v="12"/>
    <x v="1"/>
    <n v="9"/>
    <n v="6"/>
    <n v="37.5"/>
    <n v="30.16"/>
    <x v="0"/>
    <x v="0"/>
    <x v="0"/>
  </r>
  <r>
    <s v="CA-2014-108854"/>
    <d v="2014-12-09T00:00:00"/>
    <d v="2014-12-15T00:00:00"/>
    <s v="DeniseMonton@gmail.com"/>
    <x v="3"/>
    <x v="5"/>
    <x v="999"/>
    <n v="42.76"/>
    <n v="1"/>
    <n v="11.117599999999999"/>
    <x v="3"/>
    <n v="12"/>
    <x v="1"/>
    <n v="9"/>
    <n v="6"/>
    <n v="26"/>
    <n v="42.76"/>
    <x v="0"/>
    <x v="0"/>
    <x v="0"/>
  </r>
  <r>
    <s v="CA-2014-166856"/>
    <d v="2014-09-19T00:00:00"/>
    <d v="2014-09-23T00:00:00"/>
    <s v="TonySayre@gmail.com"/>
    <x v="134"/>
    <x v="3"/>
    <x v="241"/>
    <n v="10.08"/>
    <n v="7"/>
    <n v="3.528"/>
    <x v="3"/>
    <n v="9"/>
    <x v="8"/>
    <n v="19"/>
    <n v="4"/>
    <n v="35"/>
    <n v="1.44"/>
    <x v="0"/>
    <x v="0"/>
    <x v="0"/>
  </r>
  <r>
    <s v="CA-2014-166856"/>
    <d v="2014-09-19T00:00:00"/>
    <d v="2014-09-23T00:00:00"/>
    <s v="TonySayre@gmail.com"/>
    <x v="134"/>
    <x v="7"/>
    <x v="1000"/>
    <n v="101.34"/>
    <n v="3"/>
    <n v="8.1072000000000006"/>
    <x v="3"/>
    <n v="9"/>
    <x v="8"/>
    <n v="19"/>
    <n v="4"/>
    <n v="8"/>
    <n v="33.78"/>
    <x v="0"/>
    <x v="0"/>
    <x v="0"/>
  </r>
  <r>
    <s v="US-2013-163258"/>
    <d v="2013-12-30T00:00:00"/>
    <d v="2014-01-03T00:00:00"/>
    <s v="PhillipFlathmann@gmail.com"/>
    <x v="0"/>
    <x v="3"/>
    <x v="194"/>
    <n v="11.231999999999999"/>
    <n v="3"/>
    <n v="3.9312"/>
    <x v="0"/>
    <n v="12"/>
    <x v="1"/>
    <n v="30"/>
    <n v="4"/>
    <n v="35"/>
    <n v="3.7440000000000002"/>
    <x v="0"/>
    <x v="0"/>
    <x v="0"/>
  </r>
  <r>
    <s v="CA-2013-153598"/>
    <d v="2013-12-04T00:00:00"/>
    <d v="2013-12-07T00:00:00"/>
    <s v="NeomaMurray@gmail.com"/>
    <x v="0"/>
    <x v="1"/>
    <x v="1001"/>
    <n v="111.9"/>
    <n v="6"/>
    <n v="51.473999999999997"/>
    <x v="0"/>
    <n v="12"/>
    <x v="1"/>
    <n v="4"/>
    <n v="3"/>
    <n v="46"/>
    <n v="18.649999999999999"/>
    <x v="0"/>
    <x v="0"/>
    <x v="0"/>
  </r>
  <r>
    <s v="CA-2013-113096"/>
    <d v="2013-09-03T00:00:00"/>
    <d v="2013-09-05T00:00:00"/>
    <s v="SamZeldin@gmail.com"/>
    <x v="3"/>
    <x v="5"/>
    <x v="1002"/>
    <n v="46.53"/>
    <n v="3"/>
    <n v="12.097799999999999"/>
    <x v="0"/>
    <n v="9"/>
    <x v="8"/>
    <n v="3"/>
    <n v="2"/>
    <n v="26"/>
    <n v="15.51"/>
    <x v="0"/>
    <x v="0"/>
    <x v="0"/>
  </r>
  <r>
    <s v="CA-2014-129707"/>
    <d v="2014-04-26T00:00:00"/>
    <d v="2014-04-30T00:00:00"/>
    <s v="LarryHughes@gmail.com"/>
    <x v="132"/>
    <x v="2"/>
    <x v="551"/>
    <n v="8.8960000000000008"/>
    <n v="4"/>
    <n v="0.66720000000000002"/>
    <x v="3"/>
    <n v="4"/>
    <x v="10"/>
    <n v="26"/>
    <n v="4"/>
    <n v="7.5"/>
    <n v="2.2240000000000002"/>
    <x v="1"/>
    <x v="0"/>
    <x v="0"/>
  </r>
  <r>
    <s v="CA-2012-160171"/>
    <d v="2012-10-19T00:00:00"/>
    <d v="2012-10-24T00:00:00"/>
    <s v="RobertMarley@gmail.com"/>
    <x v="0"/>
    <x v="7"/>
    <x v="1003"/>
    <n v="270"/>
    <n v="3"/>
    <n v="97.2"/>
    <x v="2"/>
    <n v="10"/>
    <x v="7"/>
    <n v="19"/>
    <n v="5"/>
    <n v="36"/>
    <n v="90"/>
    <x v="0"/>
    <x v="0"/>
    <x v="1"/>
  </r>
  <r>
    <s v="CA-2014-155929"/>
    <d v="2014-09-10T00:00:00"/>
    <d v="2014-09-14T00:00:00"/>
    <s v="ArianneIrving@gmail.com"/>
    <x v="62"/>
    <x v="8"/>
    <x v="1004"/>
    <n v="6.3680000000000003"/>
    <n v="2"/>
    <n v="2.3879999999999999"/>
    <x v="3"/>
    <n v="9"/>
    <x v="8"/>
    <n v="10"/>
    <n v="4"/>
    <n v="37.5"/>
    <n v="3.1840000000000002"/>
    <x v="0"/>
    <x v="0"/>
    <x v="0"/>
  </r>
  <r>
    <s v="CA-2013-140613"/>
    <d v="2013-07-23T00:00:00"/>
    <d v="2013-07-30T00:00:00"/>
    <s v="KristinaNunn@gmail.com"/>
    <x v="135"/>
    <x v="11"/>
    <x v="1005"/>
    <n v="86.2"/>
    <n v="5"/>
    <n v="24.998000000000001"/>
    <x v="0"/>
    <n v="7"/>
    <x v="5"/>
    <n v="23"/>
    <n v="7"/>
    <n v="29"/>
    <n v="17.239999999999998"/>
    <x v="0"/>
    <x v="0"/>
    <x v="0"/>
  </r>
  <r>
    <s v="CA-2014-130631"/>
    <d v="2014-12-30T00:00:00"/>
    <d v="2015-01-03T00:00:00"/>
    <s v="BruceStewart@gmail.com"/>
    <x v="43"/>
    <x v="10"/>
    <x v="1006"/>
    <n v="19.600000000000001"/>
    <n v="5"/>
    <n v="9.6039999999999992"/>
    <x v="3"/>
    <n v="12"/>
    <x v="1"/>
    <n v="30"/>
    <n v="4"/>
    <n v="49"/>
    <n v="3.92"/>
    <x v="0"/>
    <x v="0"/>
    <x v="0"/>
  </r>
  <r>
    <s v="CA-2014-130631"/>
    <d v="2014-12-30T00:00:00"/>
    <d v="2015-01-03T00:00:00"/>
    <s v="BruceStewart@gmail.com"/>
    <x v="43"/>
    <x v="1"/>
    <x v="445"/>
    <n v="68.459999999999994"/>
    <n v="2"/>
    <n v="20.538"/>
    <x v="3"/>
    <n v="12"/>
    <x v="1"/>
    <n v="30"/>
    <n v="4"/>
    <n v="30"/>
    <n v="34.229999999999997"/>
    <x v="0"/>
    <x v="0"/>
    <x v="0"/>
  </r>
  <r>
    <s v="CA-2014-116680"/>
    <d v="2014-09-05T00:00:00"/>
    <d v="2014-09-07T00:00:00"/>
    <s v="PeteKriz@gmail.com"/>
    <x v="3"/>
    <x v="3"/>
    <x v="943"/>
    <n v="13.343999999999999"/>
    <n v="6"/>
    <n v="4.3368000000000002"/>
    <x v="3"/>
    <n v="9"/>
    <x v="8"/>
    <n v="5"/>
    <n v="2"/>
    <n v="32.5"/>
    <n v="2.2240000000000002"/>
    <x v="0"/>
    <x v="0"/>
    <x v="0"/>
  </r>
  <r>
    <s v="CA-2014-101574"/>
    <d v="2014-09-29T00:00:00"/>
    <d v="2014-10-05T00:00:00"/>
    <s v="BruceDegenhardt@gmail.com"/>
    <x v="0"/>
    <x v="1"/>
    <x v="38"/>
    <n v="9.24"/>
    <n v="3"/>
    <n v="4.4352"/>
    <x v="3"/>
    <n v="9"/>
    <x v="8"/>
    <n v="29"/>
    <n v="6"/>
    <n v="48"/>
    <n v="3.08"/>
    <x v="0"/>
    <x v="0"/>
    <x v="0"/>
  </r>
  <r>
    <s v="CA-2011-146591"/>
    <d v="2011-01-20T00:00:00"/>
    <d v="2011-01-21T00:00:00"/>
    <s v="TobySwindell@gmail.com"/>
    <x v="9"/>
    <x v="3"/>
    <x v="408"/>
    <n v="32.340000000000003"/>
    <n v="10"/>
    <n v="-23.716000000000001"/>
    <x v="1"/>
    <n v="1"/>
    <x v="4"/>
    <n v="20"/>
    <n v="1"/>
    <n v="-73.33"/>
    <n v="3.234"/>
    <x v="0"/>
    <x v="1"/>
    <x v="0"/>
  </r>
  <r>
    <s v="CA-2011-146591"/>
    <d v="2011-01-20T00:00:00"/>
    <d v="2011-01-21T00:00:00"/>
    <s v="TobySwindell@gmail.com"/>
    <x v="9"/>
    <x v="8"/>
    <x v="1007"/>
    <n v="56.064"/>
    <n v="4"/>
    <n v="19.622399999999999"/>
    <x v="1"/>
    <n v="1"/>
    <x v="4"/>
    <n v="20"/>
    <n v="1"/>
    <n v="35"/>
    <n v="14.016"/>
    <x v="0"/>
    <x v="0"/>
    <x v="0"/>
  </r>
  <r>
    <s v="CA-2011-146591"/>
    <d v="2011-01-20T00:00:00"/>
    <d v="2011-01-21T00:00:00"/>
    <s v="TobySwindell@gmail.com"/>
    <x v="9"/>
    <x v="12"/>
    <x v="671"/>
    <n v="108.72"/>
    <n v="5"/>
    <n v="36.692999999999998"/>
    <x v="1"/>
    <n v="1"/>
    <x v="4"/>
    <n v="20"/>
    <n v="1"/>
    <n v="33.75"/>
    <n v="21.744"/>
    <x v="0"/>
    <x v="0"/>
    <x v="0"/>
  </r>
  <r>
    <s v="CA-2011-146591"/>
    <d v="2011-01-20T00:00:00"/>
    <d v="2011-01-21T00:00:00"/>
    <s v="TobySwindell@gmail.com"/>
    <x v="9"/>
    <x v="14"/>
    <x v="1008"/>
    <n v="181.47"/>
    <n v="5"/>
    <n v="-320.59699999999998"/>
    <x v="1"/>
    <n v="1"/>
    <x v="4"/>
    <n v="20"/>
    <n v="1"/>
    <n v="-176.67"/>
    <n v="36.293999999999997"/>
    <x v="0"/>
    <x v="1"/>
    <x v="0"/>
  </r>
  <r>
    <s v="CA-2013-122448"/>
    <d v="2013-06-10T00:00:00"/>
    <d v="2013-06-15T00:00:00"/>
    <s v="DeanBraden@gmail.com"/>
    <x v="3"/>
    <x v="9"/>
    <x v="532"/>
    <n v="122.352"/>
    <n v="3"/>
    <n v="13.7646"/>
    <x v="0"/>
    <n v="6"/>
    <x v="0"/>
    <n v="10"/>
    <n v="5"/>
    <n v="11.25"/>
    <n v="40.783999999999999"/>
    <x v="1"/>
    <x v="0"/>
    <x v="0"/>
  </r>
  <r>
    <s v="CA-2011-132451"/>
    <d v="2011-09-26T00:00:00"/>
    <d v="2011-09-27T00:00:00"/>
    <s v="KarenFerguson@gmail.com"/>
    <x v="16"/>
    <x v="8"/>
    <x v="1009"/>
    <n v="19.440000000000001"/>
    <n v="3"/>
    <n v="9.3312000000000008"/>
    <x v="1"/>
    <n v="9"/>
    <x v="8"/>
    <n v="26"/>
    <n v="1"/>
    <n v="48"/>
    <n v="6.48"/>
    <x v="0"/>
    <x v="0"/>
    <x v="0"/>
  </r>
  <r>
    <s v="CA-2014-116946"/>
    <d v="2014-12-20T00:00:00"/>
    <d v="2014-12-24T00:00:00"/>
    <s v="TonySayre@gmail.com"/>
    <x v="31"/>
    <x v="1"/>
    <x v="1010"/>
    <n v="13.36"/>
    <n v="5"/>
    <n v="4.008"/>
    <x v="3"/>
    <n v="12"/>
    <x v="1"/>
    <n v="20"/>
    <n v="4"/>
    <n v="30"/>
    <n v="2.6720000000000002"/>
    <x v="0"/>
    <x v="0"/>
    <x v="0"/>
  </r>
  <r>
    <s v="CA-2014-116946"/>
    <d v="2014-12-20T00:00:00"/>
    <d v="2014-12-24T00:00:00"/>
    <s v="TonySayre@gmail.com"/>
    <x v="31"/>
    <x v="5"/>
    <x v="1011"/>
    <n v="78.256"/>
    <n v="2"/>
    <n v="-17.607600000000001"/>
    <x v="3"/>
    <n v="12"/>
    <x v="1"/>
    <n v="20"/>
    <n v="4"/>
    <n v="-22.5"/>
    <n v="39.128"/>
    <x v="0"/>
    <x v="1"/>
    <x v="0"/>
  </r>
  <r>
    <s v="CA-2014-116946"/>
    <d v="2014-12-20T00:00:00"/>
    <d v="2014-12-24T00:00:00"/>
    <s v="TonySayre@gmail.com"/>
    <x v="31"/>
    <x v="14"/>
    <x v="1012"/>
    <n v="102.018"/>
    <n v="7"/>
    <n v="-183.63239999999999"/>
    <x v="3"/>
    <n v="12"/>
    <x v="1"/>
    <n v="20"/>
    <n v="4"/>
    <n v="-180"/>
    <n v="14.574"/>
    <x v="0"/>
    <x v="1"/>
    <x v="0"/>
  </r>
  <r>
    <s v="CA-2014-105487"/>
    <d v="2014-10-09T00:00:00"/>
    <d v="2014-10-15T00:00:00"/>
    <s v="ChrisSelesnick@gmail.com"/>
    <x v="16"/>
    <x v="6"/>
    <x v="1013"/>
    <n v="103.19199999999999"/>
    <n v="1"/>
    <n v="11.6091"/>
    <x v="3"/>
    <n v="10"/>
    <x v="7"/>
    <n v="9"/>
    <n v="6"/>
    <n v="11.25"/>
    <n v="103.19199999999999"/>
    <x v="0"/>
    <x v="0"/>
    <x v="0"/>
  </r>
  <r>
    <s v="CA-2014-105487"/>
    <d v="2014-10-09T00:00:00"/>
    <d v="2014-10-15T00:00:00"/>
    <s v="ChrisSelesnick@gmail.com"/>
    <x v="16"/>
    <x v="7"/>
    <x v="1014"/>
    <n v="36"/>
    <n v="2"/>
    <n v="6.48"/>
    <x v="3"/>
    <n v="10"/>
    <x v="7"/>
    <n v="9"/>
    <n v="6"/>
    <n v="18"/>
    <n v="18"/>
    <x v="0"/>
    <x v="0"/>
    <x v="0"/>
  </r>
  <r>
    <s v="CA-2014-105487"/>
    <d v="2014-10-09T00:00:00"/>
    <d v="2014-10-15T00:00:00"/>
    <s v="ChrisSelesnick@gmail.com"/>
    <x v="16"/>
    <x v="7"/>
    <x v="190"/>
    <n v="239.96"/>
    <n v="4"/>
    <n v="115.1808"/>
    <x v="3"/>
    <n v="10"/>
    <x v="7"/>
    <n v="9"/>
    <n v="6"/>
    <n v="48"/>
    <n v="59.99"/>
    <x v="0"/>
    <x v="0"/>
    <x v="1"/>
  </r>
  <r>
    <s v="CA-2014-105487"/>
    <d v="2014-10-09T00:00:00"/>
    <d v="2014-10-15T00:00:00"/>
    <s v="ChrisSelesnick@gmail.com"/>
    <x v="16"/>
    <x v="5"/>
    <x v="869"/>
    <n v="40.68"/>
    <n v="2"/>
    <n v="0.40679999999999999"/>
    <x v="3"/>
    <n v="10"/>
    <x v="7"/>
    <n v="9"/>
    <n v="6"/>
    <n v="1"/>
    <n v="20.34"/>
    <x v="0"/>
    <x v="0"/>
    <x v="0"/>
  </r>
  <r>
    <s v="CA-2011-105249"/>
    <d v="2011-11-28T00:00:00"/>
    <d v="2011-11-28T00:00:00"/>
    <s v="DuaneHuffman@gmail.com"/>
    <x v="3"/>
    <x v="11"/>
    <x v="50"/>
    <n v="7.36"/>
    <n v="2"/>
    <n v="0.1472"/>
    <x v="1"/>
    <n v="11"/>
    <x v="6"/>
    <n v="28"/>
    <n v="0"/>
    <n v="2"/>
    <n v="3.68"/>
    <x v="0"/>
    <x v="0"/>
    <x v="0"/>
  </r>
  <r>
    <s v="CA-2011-105249"/>
    <d v="2011-11-28T00:00:00"/>
    <d v="2011-11-28T00:00:00"/>
    <s v="DuaneHuffman@gmail.com"/>
    <x v="3"/>
    <x v="0"/>
    <x v="674"/>
    <n v="41.4"/>
    <n v="4"/>
    <n v="19.872"/>
    <x v="1"/>
    <n v="11"/>
    <x v="6"/>
    <n v="28"/>
    <n v="0"/>
    <n v="48"/>
    <n v="10.35"/>
    <x v="0"/>
    <x v="0"/>
    <x v="0"/>
  </r>
  <r>
    <s v="CA-2011-105249"/>
    <d v="2011-11-28T00:00:00"/>
    <d v="2011-11-28T00:00:00"/>
    <s v="DuaneHuffman@gmail.com"/>
    <x v="3"/>
    <x v="14"/>
    <x v="418"/>
    <n v="411.33199999999999"/>
    <n v="4"/>
    <n v="-4.8391999999999999"/>
    <x v="1"/>
    <n v="11"/>
    <x v="6"/>
    <n v="28"/>
    <n v="0"/>
    <n v="-1.18"/>
    <n v="102.833"/>
    <x v="0"/>
    <x v="1"/>
    <x v="1"/>
  </r>
  <r>
    <s v="US-2013-162026"/>
    <d v="2013-10-09T00:00:00"/>
    <d v="2013-10-09T00:00:00"/>
    <s v="JoelEaton@gmail.com"/>
    <x v="0"/>
    <x v="8"/>
    <x v="1015"/>
    <n v="61.96"/>
    <n v="2"/>
    <n v="27.882000000000001"/>
    <x v="0"/>
    <n v="10"/>
    <x v="7"/>
    <n v="9"/>
    <n v="0"/>
    <n v="45"/>
    <n v="30.98"/>
    <x v="0"/>
    <x v="0"/>
    <x v="0"/>
  </r>
  <r>
    <s v="CA-2012-168529"/>
    <d v="2012-10-08T00:00:00"/>
    <d v="2012-10-12T00:00:00"/>
    <s v="MariaBertelson@gmail.com"/>
    <x v="3"/>
    <x v="1"/>
    <x v="323"/>
    <n v="145.9"/>
    <n v="5"/>
    <n v="62.737000000000002"/>
    <x v="2"/>
    <n v="10"/>
    <x v="7"/>
    <n v="8"/>
    <n v="4"/>
    <n v="43"/>
    <n v="29.18"/>
    <x v="0"/>
    <x v="0"/>
    <x v="0"/>
  </r>
  <r>
    <s v="US-2011-137680"/>
    <d v="2011-02-25T00:00:00"/>
    <d v="2011-03-02T00:00:00"/>
    <s v="JenniferHalladay@gmail.com"/>
    <x v="75"/>
    <x v="8"/>
    <x v="1016"/>
    <n v="32.896000000000001"/>
    <n v="4"/>
    <n v="11.102399999999999"/>
    <x v="1"/>
    <n v="2"/>
    <x v="11"/>
    <n v="25"/>
    <n v="5"/>
    <n v="33.75"/>
    <n v="8.2240000000000002"/>
    <x v="0"/>
    <x v="0"/>
    <x v="0"/>
  </r>
  <r>
    <s v="US-2011-137680"/>
    <d v="2011-02-25T00:00:00"/>
    <d v="2011-03-02T00:00:00"/>
    <s v="JenniferHalladay@gmail.com"/>
    <x v="75"/>
    <x v="8"/>
    <x v="1017"/>
    <n v="22.776"/>
    <n v="3"/>
    <n v="7.6868999999999996"/>
    <x v="1"/>
    <n v="2"/>
    <x v="11"/>
    <n v="25"/>
    <n v="5"/>
    <n v="33.75"/>
    <n v="7.5919999999999996"/>
    <x v="0"/>
    <x v="0"/>
    <x v="0"/>
  </r>
  <r>
    <s v="CA-2013-110982"/>
    <d v="2013-06-06T00:00:00"/>
    <d v="2013-06-08T00:00:00"/>
    <s v="ChlorisKastensmidt@gmail.com"/>
    <x v="15"/>
    <x v="3"/>
    <x v="85"/>
    <n v="21.552"/>
    <n v="6"/>
    <n v="7.0044000000000004"/>
    <x v="0"/>
    <n v="6"/>
    <x v="0"/>
    <n v="6"/>
    <n v="2"/>
    <n v="32.5"/>
    <n v="3.5920000000000001"/>
    <x v="0"/>
    <x v="0"/>
    <x v="0"/>
  </r>
  <r>
    <s v="CA-2013-110982"/>
    <d v="2013-06-06T00:00:00"/>
    <d v="2013-06-08T00:00:00"/>
    <s v="ChlorisKastensmidt@gmail.com"/>
    <x v="15"/>
    <x v="4"/>
    <x v="1018"/>
    <n v="58.24"/>
    <n v="4"/>
    <n v="15.7248"/>
    <x v="0"/>
    <n v="6"/>
    <x v="0"/>
    <n v="6"/>
    <n v="2"/>
    <n v="27"/>
    <n v="14.56"/>
    <x v="0"/>
    <x v="0"/>
    <x v="0"/>
  </r>
  <r>
    <s v="CA-2013-147123"/>
    <d v="2013-12-11T00:00:00"/>
    <d v="2013-12-13T00:00:00"/>
    <s v="SanjitJacobs@gmail.com"/>
    <x v="21"/>
    <x v="8"/>
    <x v="458"/>
    <n v="80.28"/>
    <n v="12"/>
    <n v="36.928800000000003"/>
    <x v="0"/>
    <n v="12"/>
    <x v="1"/>
    <n v="11"/>
    <n v="2"/>
    <n v="46"/>
    <n v="6.69"/>
    <x v="0"/>
    <x v="0"/>
    <x v="0"/>
  </r>
  <r>
    <s v="CA-2014-154501"/>
    <d v="2014-05-01T00:00:00"/>
    <d v="2014-05-06T00:00:00"/>
    <s v="ErinAshbrook@gmail.com"/>
    <x v="0"/>
    <x v="2"/>
    <x v="1019"/>
    <n v="9.7799999999999994"/>
    <n v="2"/>
    <n v="4.0098000000000003"/>
    <x v="3"/>
    <n v="5"/>
    <x v="2"/>
    <n v="1"/>
    <n v="5"/>
    <n v="41"/>
    <n v="4.8899999999999997"/>
    <x v="0"/>
    <x v="0"/>
    <x v="0"/>
  </r>
  <r>
    <s v="CA-2014-166933"/>
    <d v="2014-04-25T00:00:00"/>
    <d v="2014-04-29T00:00:00"/>
    <s v="MichaelGranlund@gmail.com"/>
    <x v="136"/>
    <x v="10"/>
    <x v="1020"/>
    <n v="1.81"/>
    <n v="1"/>
    <n v="0.65159999999999996"/>
    <x v="3"/>
    <n v="4"/>
    <x v="10"/>
    <n v="25"/>
    <n v="4"/>
    <n v="36"/>
    <n v="1.81"/>
    <x v="0"/>
    <x v="0"/>
    <x v="0"/>
  </r>
  <r>
    <s v="CA-2013-134936"/>
    <d v="2013-12-20T00:00:00"/>
    <d v="2013-12-26T00:00:00"/>
    <s v="ErinSmith@gmail.com"/>
    <x v="24"/>
    <x v="13"/>
    <x v="1021"/>
    <n v="455.97"/>
    <n v="6"/>
    <n v="-218.8656"/>
    <x v="0"/>
    <n v="12"/>
    <x v="1"/>
    <n v="20"/>
    <n v="6"/>
    <n v="-48"/>
    <n v="75.995000000000005"/>
    <x v="0"/>
    <x v="1"/>
    <x v="1"/>
  </r>
  <r>
    <s v="CA-2013-134936"/>
    <d v="2013-12-20T00:00:00"/>
    <d v="2013-12-26T00:00:00"/>
    <s v="ErinSmith@gmail.com"/>
    <x v="24"/>
    <x v="3"/>
    <x v="637"/>
    <n v="10.44"/>
    <n v="6"/>
    <n v="-7.6559999999999997"/>
    <x v="0"/>
    <n v="12"/>
    <x v="1"/>
    <n v="20"/>
    <n v="6"/>
    <n v="-73.33"/>
    <n v="1.74"/>
    <x v="0"/>
    <x v="1"/>
    <x v="0"/>
  </r>
  <r>
    <s v="CA-2013-134936"/>
    <d v="2013-12-20T00:00:00"/>
    <d v="2013-12-26T00:00:00"/>
    <s v="ErinSmith@gmail.com"/>
    <x v="24"/>
    <x v="3"/>
    <x v="305"/>
    <n v="5.2140000000000004"/>
    <n v="2"/>
    <n v="-4.1711999999999998"/>
    <x v="0"/>
    <n v="12"/>
    <x v="1"/>
    <n v="20"/>
    <n v="6"/>
    <n v="-80"/>
    <n v="2.6070000000000002"/>
    <x v="0"/>
    <x v="1"/>
    <x v="0"/>
  </r>
  <r>
    <s v="CA-2014-151008"/>
    <d v="2014-09-08T00:00:00"/>
    <d v="2014-09-09T00:00:00"/>
    <s v="JustinMacKendrick@gmail.com"/>
    <x v="137"/>
    <x v="1"/>
    <x v="788"/>
    <n v="25.16"/>
    <n v="2"/>
    <n v="10.5672"/>
    <x v="3"/>
    <n v="9"/>
    <x v="8"/>
    <n v="8"/>
    <n v="1"/>
    <n v="42"/>
    <n v="12.58"/>
    <x v="0"/>
    <x v="0"/>
    <x v="0"/>
  </r>
  <r>
    <s v="CA-2014-151008"/>
    <d v="2014-09-08T00:00:00"/>
    <d v="2014-09-09T00:00:00"/>
    <s v="JustinMacKendrick@gmail.com"/>
    <x v="137"/>
    <x v="6"/>
    <x v="1022"/>
    <n v="126.56"/>
    <n v="4"/>
    <n v="47.46"/>
    <x v="3"/>
    <n v="9"/>
    <x v="8"/>
    <n v="8"/>
    <n v="1"/>
    <n v="37.5"/>
    <n v="31.64"/>
    <x v="0"/>
    <x v="0"/>
    <x v="0"/>
  </r>
  <r>
    <s v="CA-2011-159800"/>
    <d v="2011-11-28T00:00:00"/>
    <d v="2011-12-01T00:00:00"/>
    <s v="SheriGordon@gmail.com"/>
    <x v="3"/>
    <x v="4"/>
    <x v="1018"/>
    <n v="43.68"/>
    <n v="3"/>
    <n v="11.7936"/>
    <x v="1"/>
    <n v="11"/>
    <x v="6"/>
    <n v="28"/>
    <n v="3"/>
    <n v="27"/>
    <n v="14.56"/>
    <x v="0"/>
    <x v="0"/>
    <x v="0"/>
  </r>
  <r>
    <s v="CA-2011-159800"/>
    <d v="2011-11-28T00:00:00"/>
    <d v="2011-12-01T00:00:00"/>
    <s v="SheriGordon@gmail.com"/>
    <x v="3"/>
    <x v="7"/>
    <x v="263"/>
    <n v="139.93"/>
    <n v="7"/>
    <n v="34.982500000000002"/>
    <x v="1"/>
    <n v="11"/>
    <x v="6"/>
    <n v="28"/>
    <n v="3"/>
    <n v="25"/>
    <n v="19.989999999999998"/>
    <x v="0"/>
    <x v="0"/>
    <x v="0"/>
  </r>
  <r>
    <s v="US-2012-114741"/>
    <d v="2012-12-06T00:00:00"/>
    <d v="2012-12-10T00:00:00"/>
    <s v="IvanListon@gmail.com"/>
    <x v="70"/>
    <x v="8"/>
    <x v="1023"/>
    <n v="6.48"/>
    <n v="1"/>
    <n v="3.1103999999999998"/>
    <x v="2"/>
    <n v="12"/>
    <x v="1"/>
    <n v="6"/>
    <n v="4"/>
    <n v="48"/>
    <n v="6.48"/>
    <x v="0"/>
    <x v="0"/>
    <x v="0"/>
  </r>
  <r>
    <s v="US-2012-114741"/>
    <d v="2012-12-06T00:00:00"/>
    <d v="2012-12-10T00:00:00"/>
    <s v="IvanListon@gmail.com"/>
    <x v="70"/>
    <x v="0"/>
    <x v="904"/>
    <n v="14.94"/>
    <n v="3"/>
    <n v="6.8723999999999998"/>
    <x v="2"/>
    <n v="12"/>
    <x v="1"/>
    <n v="6"/>
    <n v="4"/>
    <n v="46"/>
    <n v="4.9800000000000004"/>
    <x v="0"/>
    <x v="0"/>
    <x v="0"/>
  </r>
  <r>
    <s v="CA-2013-136686"/>
    <d v="2013-12-13T00:00:00"/>
    <d v="2013-12-17T00:00:00"/>
    <s v="RoyFranzÃ¶sisch@gmail.com"/>
    <x v="59"/>
    <x v="1"/>
    <x v="127"/>
    <n v="383.64"/>
    <n v="6"/>
    <n v="122.76479999999999"/>
    <x v="0"/>
    <n v="12"/>
    <x v="1"/>
    <n v="13"/>
    <n v="4"/>
    <n v="32"/>
    <n v="63.94"/>
    <x v="0"/>
    <x v="0"/>
    <x v="1"/>
  </r>
  <r>
    <s v="CA-2013-136686"/>
    <d v="2013-12-13T00:00:00"/>
    <d v="2013-12-17T00:00:00"/>
    <s v="RoyFranzÃ¶sisch@gmail.com"/>
    <x v="59"/>
    <x v="4"/>
    <x v="178"/>
    <n v="56.52"/>
    <n v="3"/>
    <n v="15.8256"/>
    <x v="0"/>
    <n v="12"/>
    <x v="1"/>
    <n v="13"/>
    <n v="4"/>
    <n v="28"/>
    <n v="18.84"/>
    <x v="0"/>
    <x v="0"/>
    <x v="0"/>
  </r>
  <r>
    <s v="CA-2014-137498"/>
    <d v="2014-09-10T00:00:00"/>
    <d v="2014-09-15T00:00:00"/>
    <s v="LizCarlisle@gmail.com"/>
    <x v="0"/>
    <x v="2"/>
    <x v="1024"/>
    <n v="6.56"/>
    <n v="2"/>
    <n v="1.9024000000000001"/>
    <x v="3"/>
    <n v="9"/>
    <x v="8"/>
    <n v="10"/>
    <n v="5"/>
    <n v="29"/>
    <n v="3.28"/>
    <x v="0"/>
    <x v="0"/>
    <x v="0"/>
  </r>
  <r>
    <s v="CA-2014-137498"/>
    <d v="2014-09-10T00:00:00"/>
    <d v="2014-09-15T00:00:00"/>
    <s v="LizCarlisle@gmail.com"/>
    <x v="0"/>
    <x v="9"/>
    <x v="474"/>
    <n v="243.92"/>
    <n v="5"/>
    <n v="-15.244999999999999"/>
    <x v="3"/>
    <n v="9"/>
    <x v="8"/>
    <n v="10"/>
    <n v="5"/>
    <n v="-6.25"/>
    <n v="48.783999999999999"/>
    <x v="0"/>
    <x v="1"/>
    <x v="1"/>
  </r>
  <r>
    <s v="CA-2014-137498"/>
    <d v="2014-09-10T00:00:00"/>
    <d v="2014-09-15T00:00:00"/>
    <s v="LizCarlisle@gmail.com"/>
    <x v="0"/>
    <x v="8"/>
    <x v="946"/>
    <n v="47.52"/>
    <n v="9"/>
    <n v="22.8096"/>
    <x v="3"/>
    <n v="9"/>
    <x v="8"/>
    <n v="10"/>
    <n v="5"/>
    <n v="48"/>
    <n v="5.28"/>
    <x v="0"/>
    <x v="0"/>
    <x v="0"/>
  </r>
  <r>
    <s v="CA-2011-116673"/>
    <d v="2011-12-15T00:00:00"/>
    <d v="2011-12-19T00:00:00"/>
    <s v="JasO'Carroll@gmail.com"/>
    <x v="16"/>
    <x v="1"/>
    <x v="1025"/>
    <n v="6.16"/>
    <n v="2"/>
    <n v="1.9712000000000001"/>
    <x v="1"/>
    <n v="12"/>
    <x v="1"/>
    <n v="15"/>
    <n v="4"/>
    <n v="32"/>
    <n v="3.08"/>
    <x v="0"/>
    <x v="0"/>
    <x v="0"/>
  </r>
  <r>
    <s v="CA-2012-149993"/>
    <d v="2012-03-19T00:00:00"/>
    <d v="2012-03-20T00:00:00"/>
    <s v="GuyArmstrong@gmail.com"/>
    <x v="41"/>
    <x v="10"/>
    <x v="277"/>
    <n v="10.9"/>
    <n v="5"/>
    <n v="3.597"/>
    <x v="2"/>
    <n v="3"/>
    <x v="9"/>
    <n v="19"/>
    <n v="1"/>
    <n v="33"/>
    <n v="2.1800000000000002"/>
    <x v="0"/>
    <x v="0"/>
    <x v="0"/>
  </r>
  <r>
    <s v="CA-2011-168158"/>
    <d v="2011-07-19T00:00:00"/>
    <d v="2011-07-24T00:00:00"/>
    <s v="EugeneMoren@gmail.com"/>
    <x v="32"/>
    <x v="3"/>
    <x v="233"/>
    <n v="6.0960000000000001"/>
    <n v="2"/>
    <n v="2.2098"/>
    <x v="1"/>
    <n v="7"/>
    <x v="5"/>
    <n v="19"/>
    <n v="5"/>
    <n v="36.25"/>
    <n v="3.048"/>
    <x v="0"/>
    <x v="0"/>
    <x v="0"/>
  </r>
  <r>
    <s v="CA-2013-115224"/>
    <d v="2013-12-09T00:00:00"/>
    <d v="2013-12-12T00:00:00"/>
    <s v="DougBickford@gmail.com"/>
    <x v="3"/>
    <x v="5"/>
    <x v="665"/>
    <n v="34.049999999999997"/>
    <n v="3"/>
    <n v="9.5340000000000007"/>
    <x v="0"/>
    <n v="12"/>
    <x v="1"/>
    <n v="9"/>
    <n v="3"/>
    <n v="28"/>
    <n v="11.35"/>
    <x v="0"/>
    <x v="0"/>
    <x v="0"/>
  </r>
  <r>
    <s v="CA-2013-115224"/>
    <d v="2013-12-09T00:00:00"/>
    <d v="2013-12-12T00:00:00"/>
    <s v="DougBickford@gmail.com"/>
    <x v="3"/>
    <x v="5"/>
    <x v="1026"/>
    <n v="352.38"/>
    <n v="2"/>
    <n v="81.047399999999996"/>
    <x v="0"/>
    <n v="12"/>
    <x v="1"/>
    <n v="9"/>
    <n v="3"/>
    <n v="23"/>
    <n v="176.19"/>
    <x v="0"/>
    <x v="0"/>
    <x v="1"/>
  </r>
  <r>
    <s v="CA-2012-168634"/>
    <d v="2012-12-06T00:00:00"/>
    <d v="2012-12-11T00:00:00"/>
    <s v="ArtFerguson@gmail.com"/>
    <x v="3"/>
    <x v="4"/>
    <x v="983"/>
    <n v="7.78"/>
    <n v="2"/>
    <n v="2.0228000000000002"/>
    <x v="2"/>
    <n v="12"/>
    <x v="1"/>
    <n v="6"/>
    <n v="5"/>
    <n v="26"/>
    <n v="3.89"/>
    <x v="0"/>
    <x v="0"/>
    <x v="0"/>
  </r>
  <r>
    <s v="CA-2012-101154"/>
    <d v="2012-09-18T00:00:00"/>
    <d v="2012-09-21T00:00:00"/>
    <s v="CharlotteMelton@gmail.com"/>
    <x v="16"/>
    <x v="5"/>
    <x v="976"/>
    <n v="443.92"/>
    <n v="4"/>
    <n v="8.8783999999999992"/>
    <x v="2"/>
    <n v="9"/>
    <x v="8"/>
    <n v="18"/>
    <n v="3"/>
    <n v="2"/>
    <n v="110.98"/>
    <x v="0"/>
    <x v="0"/>
    <x v="1"/>
  </r>
  <r>
    <s v="CA-2013-121748"/>
    <d v="2013-10-25T00:00:00"/>
    <d v="2013-10-29T00:00:00"/>
    <s v="VictoriaWilson@gmail.com"/>
    <x v="0"/>
    <x v="7"/>
    <x v="390"/>
    <n v="100"/>
    <n v="4"/>
    <n v="21"/>
    <x v="0"/>
    <n v="10"/>
    <x v="7"/>
    <n v="25"/>
    <n v="4"/>
    <n v="21"/>
    <n v="25"/>
    <x v="0"/>
    <x v="0"/>
    <x v="0"/>
  </r>
  <r>
    <s v="CA-2013-121748"/>
    <d v="2013-10-25T00:00:00"/>
    <d v="2013-10-29T00:00:00"/>
    <s v="VictoriaWilson@gmail.com"/>
    <x v="0"/>
    <x v="7"/>
    <x v="1027"/>
    <n v="359.98"/>
    <n v="2"/>
    <n v="21.598800000000001"/>
    <x v="0"/>
    <n v="10"/>
    <x v="7"/>
    <n v="25"/>
    <n v="4"/>
    <n v="6"/>
    <n v="179.99"/>
    <x v="0"/>
    <x v="0"/>
    <x v="1"/>
  </r>
  <r>
    <s v="CA-2011-126683"/>
    <d v="2011-09-29T00:00:00"/>
    <d v="2011-10-01T00:00:00"/>
    <s v="PaulProst@gmail.com"/>
    <x v="1"/>
    <x v="1"/>
    <x v="38"/>
    <n v="6.16"/>
    <n v="2"/>
    <n v="2.9567999999999999"/>
    <x v="1"/>
    <n v="9"/>
    <x v="8"/>
    <n v="29"/>
    <n v="2"/>
    <n v="48"/>
    <n v="3.08"/>
    <x v="0"/>
    <x v="0"/>
    <x v="0"/>
  </r>
  <r>
    <s v="CA-2014-123022"/>
    <d v="2014-09-04T00:00:00"/>
    <d v="2014-09-09T00:00:00"/>
    <s v="SampleCompanyA@gmail.com"/>
    <x v="138"/>
    <x v="3"/>
    <x v="94"/>
    <n v="82.56"/>
    <n v="5"/>
    <n v="28.896000000000001"/>
    <x v="3"/>
    <n v="9"/>
    <x v="8"/>
    <n v="4"/>
    <n v="5"/>
    <n v="35"/>
    <n v="16.512"/>
    <x v="0"/>
    <x v="0"/>
    <x v="0"/>
  </r>
  <r>
    <s v="CA-2014-123022"/>
    <d v="2014-09-04T00:00:00"/>
    <d v="2014-09-09T00:00:00"/>
    <s v="SampleCompanyA@gmail.com"/>
    <x v="138"/>
    <x v="7"/>
    <x v="1028"/>
    <n v="284.97000000000003"/>
    <n v="3"/>
    <n v="85.491"/>
    <x v="3"/>
    <n v="9"/>
    <x v="8"/>
    <n v="4"/>
    <n v="5"/>
    <n v="30"/>
    <n v="94.990000000000009"/>
    <x v="0"/>
    <x v="0"/>
    <x v="1"/>
  </r>
  <r>
    <s v="CA-2014-120719"/>
    <d v="2014-03-24T00:00:00"/>
    <d v="2014-03-27T00:00:00"/>
    <s v="SanjitJacobs@gmail.com"/>
    <x v="1"/>
    <x v="3"/>
    <x v="305"/>
    <n v="34.76"/>
    <n v="5"/>
    <n v="11.297000000000001"/>
    <x v="3"/>
    <n v="3"/>
    <x v="9"/>
    <n v="24"/>
    <n v="3"/>
    <n v="32.5"/>
    <n v="6.952"/>
    <x v="0"/>
    <x v="0"/>
    <x v="0"/>
  </r>
  <r>
    <s v="CA-2014-168179"/>
    <d v="2014-11-03T00:00:00"/>
    <d v="2014-11-08T00:00:00"/>
    <s v="JoyBell-@gmail.com"/>
    <x v="87"/>
    <x v="8"/>
    <x v="287"/>
    <n v="19.440000000000001"/>
    <n v="3"/>
    <n v="9.3312000000000008"/>
    <x v="3"/>
    <n v="11"/>
    <x v="6"/>
    <n v="3"/>
    <n v="5"/>
    <n v="48"/>
    <n v="6.48"/>
    <x v="0"/>
    <x v="0"/>
    <x v="0"/>
  </r>
  <r>
    <s v="CA-2014-142342"/>
    <d v="2014-07-18T00:00:00"/>
    <d v="2014-07-20T00:00:00"/>
    <s v="AnthonyJohnson@gmail.com"/>
    <x v="108"/>
    <x v="8"/>
    <x v="1029"/>
    <n v="32.4"/>
    <n v="5"/>
    <n v="15.552"/>
    <x v="3"/>
    <n v="7"/>
    <x v="5"/>
    <n v="18"/>
    <n v="2"/>
    <n v="48"/>
    <n v="6.48"/>
    <x v="0"/>
    <x v="0"/>
    <x v="0"/>
  </r>
  <r>
    <s v="CA-2014-142342"/>
    <d v="2014-07-18T00:00:00"/>
    <d v="2014-07-20T00:00:00"/>
    <s v="AnthonyJohnson@gmail.com"/>
    <x v="108"/>
    <x v="12"/>
    <x v="969"/>
    <n v="57.9"/>
    <n v="5"/>
    <n v="28.95"/>
    <x v="3"/>
    <n v="7"/>
    <x v="5"/>
    <n v="18"/>
    <n v="2"/>
    <n v="50"/>
    <n v="11.58"/>
    <x v="0"/>
    <x v="0"/>
    <x v="0"/>
  </r>
  <r>
    <s v="CA-2014-142342"/>
    <d v="2014-07-18T00:00:00"/>
    <d v="2014-07-20T00:00:00"/>
    <s v="AnthonyJohnson@gmail.com"/>
    <x v="108"/>
    <x v="5"/>
    <x v="778"/>
    <n v="10.56"/>
    <n v="2"/>
    <n v="0"/>
    <x v="3"/>
    <n v="7"/>
    <x v="5"/>
    <n v="18"/>
    <n v="2"/>
    <n v="0"/>
    <n v="5.28"/>
    <x v="0"/>
    <x v="0"/>
    <x v="0"/>
  </r>
  <r>
    <s v="US-2011-134187"/>
    <d v="2011-11-04T00:00:00"/>
    <d v="2011-11-11T00:00:00"/>
    <s v="TiffanyHouse@gmail.com"/>
    <x v="21"/>
    <x v="2"/>
    <x v="39"/>
    <n v="2.94"/>
    <n v="1"/>
    <n v="0.79379999999999995"/>
    <x v="1"/>
    <n v="11"/>
    <x v="6"/>
    <n v="4"/>
    <n v="7"/>
    <n v="27"/>
    <n v="2.94"/>
    <x v="0"/>
    <x v="0"/>
    <x v="0"/>
  </r>
  <r>
    <s v="CA-2013-145261"/>
    <d v="2013-12-19T00:00:00"/>
    <d v="2013-12-22T00:00:00"/>
    <s v="AdrianHane@gmail.com"/>
    <x v="35"/>
    <x v="3"/>
    <x v="130"/>
    <n v="45.24"/>
    <n v="4"/>
    <n v="-30.16"/>
    <x v="0"/>
    <n v="12"/>
    <x v="1"/>
    <n v="19"/>
    <n v="3"/>
    <n v="-66.67"/>
    <n v="11.31"/>
    <x v="0"/>
    <x v="1"/>
    <x v="0"/>
  </r>
  <r>
    <s v="CA-2013-145261"/>
    <d v="2013-12-19T00:00:00"/>
    <d v="2013-12-22T00:00:00"/>
    <s v="AdrianHane@gmail.com"/>
    <x v="35"/>
    <x v="2"/>
    <x v="1030"/>
    <n v="18.687999999999999"/>
    <n v="4"/>
    <n v="2.3359999999999999"/>
    <x v="0"/>
    <n v="12"/>
    <x v="1"/>
    <n v="19"/>
    <n v="3"/>
    <n v="12.5"/>
    <n v="4.6719999999999997"/>
    <x v="0"/>
    <x v="0"/>
    <x v="0"/>
  </r>
  <r>
    <s v="CA-2013-145261"/>
    <d v="2013-12-19T00:00:00"/>
    <d v="2013-12-22T00:00:00"/>
    <s v="AdrianHane@gmail.com"/>
    <x v="35"/>
    <x v="8"/>
    <x v="1031"/>
    <n v="11.648"/>
    <n v="2"/>
    <n v="3.7856000000000001"/>
    <x v="0"/>
    <n v="12"/>
    <x v="1"/>
    <n v="19"/>
    <n v="3"/>
    <n v="32.5"/>
    <n v="5.8239999999999998"/>
    <x v="0"/>
    <x v="0"/>
    <x v="0"/>
  </r>
  <r>
    <s v="CA-2013-145261"/>
    <d v="2013-12-19T00:00:00"/>
    <d v="2013-12-22T00:00:00"/>
    <s v="AdrianHane@gmail.com"/>
    <x v="35"/>
    <x v="7"/>
    <x v="125"/>
    <n v="112.776"/>
    <n v="3"/>
    <n v="-8.4581999999999997"/>
    <x v="0"/>
    <n v="12"/>
    <x v="1"/>
    <n v="19"/>
    <n v="3"/>
    <n v="-7.5"/>
    <n v="37.591999999999999"/>
    <x v="0"/>
    <x v="1"/>
    <x v="0"/>
  </r>
  <r>
    <s v="CA-2013-145261"/>
    <d v="2013-12-19T00:00:00"/>
    <d v="2013-12-22T00:00:00"/>
    <s v="AdrianHane@gmail.com"/>
    <x v="35"/>
    <x v="13"/>
    <x v="1032"/>
    <n v="377.45"/>
    <n v="5"/>
    <n v="-264.21499999999997"/>
    <x v="0"/>
    <n v="12"/>
    <x v="1"/>
    <n v="19"/>
    <n v="3"/>
    <n v="-70"/>
    <n v="75.489999999999995"/>
    <x v="0"/>
    <x v="1"/>
    <x v="1"/>
  </r>
  <r>
    <s v="CA-2013-145261"/>
    <d v="2013-12-19T00:00:00"/>
    <d v="2013-12-22T00:00:00"/>
    <s v="AdrianHane@gmail.com"/>
    <x v="35"/>
    <x v="0"/>
    <x v="687"/>
    <n v="15.936"/>
    <n v="4"/>
    <n v="5.1791999999999998"/>
    <x v="0"/>
    <n v="12"/>
    <x v="1"/>
    <n v="19"/>
    <n v="3"/>
    <n v="32.5"/>
    <n v="3.984"/>
    <x v="0"/>
    <x v="0"/>
    <x v="0"/>
  </r>
  <r>
    <s v="CA-2013-145261"/>
    <d v="2013-12-19T00:00:00"/>
    <d v="2013-12-22T00:00:00"/>
    <s v="AdrianHane@gmail.com"/>
    <x v="35"/>
    <x v="6"/>
    <x v="731"/>
    <n v="28.68"/>
    <n v="3"/>
    <n v="-7.17"/>
    <x v="0"/>
    <n v="12"/>
    <x v="1"/>
    <n v="19"/>
    <n v="3"/>
    <n v="-25"/>
    <n v="9.56"/>
    <x v="0"/>
    <x v="1"/>
    <x v="0"/>
  </r>
  <r>
    <s v="CA-2013-108875"/>
    <d v="2013-09-25T00:00:00"/>
    <d v="2013-10-02T00:00:00"/>
    <s v="CraigLeslie@gmail.com"/>
    <x v="6"/>
    <x v="1"/>
    <x v="1033"/>
    <n v="21.44"/>
    <n v="2"/>
    <n v="7.5039999999999996"/>
    <x v="0"/>
    <n v="9"/>
    <x v="8"/>
    <n v="25"/>
    <n v="7"/>
    <n v="35"/>
    <n v="10.72"/>
    <x v="0"/>
    <x v="0"/>
    <x v="0"/>
  </r>
  <r>
    <s v="CA-2013-142405"/>
    <d v="2013-06-12T00:00:00"/>
    <d v="2013-06-16T00:00:00"/>
    <s v="SanjitEngle@gmail.com"/>
    <x v="1"/>
    <x v="0"/>
    <x v="216"/>
    <n v="14.62"/>
    <n v="2"/>
    <n v="6.8714000000000004"/>
    <x v="0"/>
    <n v="6"/>
    <x v="0"/>
    <n v="12"/>
    <n v="4"/>
    <n v="47"/>
    <n v="7.31"/>
    <x v="0"/>
    <x v="0"/>
    <x v="0"/>
  </r>
  <r>
    <s v="CA-2013-142405"/>
    <d v="2013-06-12T00:00:00"/>
    <d v="2013-06-16T00:00:00"/>
    <s v="SanjitEngle@gmail.com"/>
    <x v="1"/>
    <x v="3"/>
    <x v="175"/>
    <n v="53.984000000000002"/>
    <n v="14"/>
    <n v="17.544799999999999"/>
    <x v="0"/>
    <n v="6"/>
    <x v="0"/>
    <n v="12"/>
    <n v="4"/>
    <n v="32.5"/>
    <n v="3.8559999999999999"/>
    <x v="0"/>
    <x v="0"/>
    <x v="0"/>
  </r>
  <r>
    <s v="CA-2013-142405"/>
    <d v="2013-06-12T00:00:00"/>
    <d v="2013-06-16T00:00:00"/>
    <s v="SanjitEngle@gmail.com"/>
    <x v="1"/>
    <x v="7"/>
    <x v="1034"/>
    <n v="389.97"/>
    <n v="3"/>
    <n v="132.5898"/>
    <x v="0"/>
    <n v="6"/>
    <x v="0"/>
    <n v="12"/>
    <n v="4"/>
    <n v="34"/>
    <n v="129.99"/>
    <x v="0"/>
    <x v="0"/>
    <x v="1"/>
  </r>
  <r>
    <s v="CA-2012-141012"/>
    <d v="2012-06-09T00:00:00"/>
    <d v="2012-06-11T00:00:00"/>
    <s v="TrudyGlocke@gmail.com"/>
    <x v="139"/>
    <x v="1"/>
    <x v="1035"/>
    <n v="355.36"/>
    <n v="4"/>
    <n v="92.393600000000006"/>
    <x v="2"/>
    <n v="6"/>
    <x v="0"/>
    <n v="9"/>
    <n v="2"/>
    <n v="26"/>
    <n v="88.84"/>
    <x v="0"/>
    <x v="0"/>
    <x v="1"/>
  </r>
  <r>
    <s v="CA-2012-141012"/>
    <d v="2012-06-09T00:00:00"/>
    <d v="2012-06-11T00:00:00"/>
    <s v="TrudyGlocke@gmail.com"/>
    <x v="139"/>
    <x v="6"/>
    <x v="1036"/>
    <n v="140.376"/>
    <n v="3"/>
    <n v="8.7735000000000003"/>
    <x v="2"/>
    <n v="6"/>
    <x v="0"/>
    <n v="9"/>
    <n v="2"/>
    <n v="6.25"/>
    <n v="46.792000000000002"/>
    <x v="0"/>
    <x v="0"/>
    <x v="0"/>
  </r>
  <r>
    <s v="CA-2013-146318"/>
    <d v="2013-01-22T00:00:00"/>
    <d v="2013-01-27T00:00:00"/>
    <s v="MarcCrier@gmail.com"/>
    <x v="1"/>
    <x v="8"/>
    <x v="442"/>
    <n v="12.96"/>
    <n v="2"/>
    <n v="6.2207999999999997"/>
    <x v="0"/>
    <n v="1"/>
    <x v="4"/>
    <n v="22"/>
    <n v="5"/>
    <n v="48"/>
    <n v="6.48"/>
    <x v="0"/>
    <x v="0"/>
    <x v="0"/>
  </r>
  <r>
    <s v="CA-2011-135993"/>
    <d v="2011-05-28T00:00:00"/>
    <d v="2011-06-02T00:00:00"/>
    <s v="PatrickJones@gmail.com"/>
    <x v="1"/>
    <x v="6"/>
    <x v="1037"/>
    <n v="57.408000000000001"/>
    <n v="6"/>
    <n v="5.7408000000000001"/>
    <x v="1"/>
    <n v="5"/>
    <x v="2"/>
    <n v="28"/>
    <n v="5"/>
    <n v="10"/>
    <n v="9.5679999999999996"/>
    <x v="0"/>
    <x v="0"/>
    <x v="0"/>
  </r>
  <r>
    <s v="CA-2011-135993"/>
    <d v="2011-05-28T00:00:00"/>
    <d v="2011-06-02T00:00:00"/>
    <s v="PatrickJones@gmail.com"/>
    <x v="1"/>
    <x v="7"/>
    <x v="895"/>
    <n v="27.6"/>
    <n v="4"/>
    <n v="2.2080000000000002"/>
    <x v="1"/>
    <n v="5"/>
    <x v="2"/>
    <n v="28"/>
    <n v="5"/>
    <n v="8"/>
    <n v="6.9"/>
    <x v="0"/>
    <x v="0"/>
    <x v="0"/>
  </r>
  <r>
    <s v="CA-2012-131072"/>
    <d v="2012-11-05T00:00:00"/>
    <d v="2012-11-05T00:00:00"/>
    <s v="KenLonsdale@gmail.com"/>
    <x v="1"/>
    <x v="3"/>
    <x v="27"/>
    <n v="98.352000000000004"/>
    <n v="3"/>
    <n v="35.6526"/>
    <x v="2"/>
    <n v="11"/>
    <x v="6"/>
    <n v="5"/>
    <n v="0"/>
    <n v="36.25"/>
    <n v="32.783999999999999"/>
    <x v="0"/>
    <x v="0"/>
    <x v="0"/>
  </r>
  <r>
    <s v="CA-2013-126165"/>
    <d v="2013-05-06T00:00:00"/>
    <d v="2013-05-08T00:00:00"/>
    <s v="AmyHunt@gmail.com"/>
    <x v="3"/>
    <x v="13"/>
    <x v="903"/>
    <n v="71.087999999999994"/>
    <n v="2"/>
    <n v="-1.7771999999999999"/>
    <x v="0"/>
    <n v="5"/>
    <x v="2"/>
    <n v="6"/>
    <n v="2"/>
    <n v="-2.5"/>
    <n v="35.543999999999997"/>
    <x v="1"/>
    <x v="1"/>
    <x v="0"/>
  </r>
  <r>
    <s v="CA-2014-148320"/>
    <d v="2014-11-04T00:00:00"/>
    <d v="2014-11-09T00:00:00"/>
    <s v="PaulGonzalez@gmail.com"/>
    <x v="3"/>
    <x v="8"/>
    <x v="859"/>
    <n v="35.880000000000003"/>
    <n v="6"/>
    <n v="17.581199999999999"/>
    <x v="3"/>
    <n v="11"/>
    <x v="6"/>
    <n v="4"/>
    <n v="5"/>
    <n v="49"/>
    <n v="5.98"/>
    <x v="0"/>
    <x v="0"/>
    <x v="0"/>
  </r>
  <r>
    <s v="CA-2012-138674"/>
    <d v="2012-11-14T00:00:00"/>
    <d v="2012-11-17T00:00:00"/>
    <s v="KenBlack@gmail.com"/>
    <x v="77"/>
    <x v="10"/>
    <x v="935"/>
    <n v="8.7200000000000006"/>
    <n v="5"/>
    <n v="2.2890000000000001"/>
    <x v="2"/>
    <n v="11"/>
    <x v="6"/>
    <n v="14"/>
    <n v="3"/>
    <n v="26.25"/>
    <n v="1.744"/>
    <x v="0"/>
    <x v="0"/>
    <x v="0"/>
  </r>
  <r>
    <s v="CA-2012-138674"/>
    <d v="2012-11-14T00:00:00"/>
    <d v="2012-11-17T00:00:00"/>
    <s v="KenBlack@gmail.com"/>
    <x v="77"/>
    <x v="7"/>
    <x v="536"/>
    <n v="91.176000000000002"/>
    <n v="3"/>
    <n v="4.5587999999999997"/>
    <x v="2"/>
    <n v="11"/>
    <x v="6"/>
    <n v="14"/>
    <n v="3"/>
    <n v="5"/>
    <n v="30.391999999999999"/>
    <x v="0"/>
    <x v="0"/>
    <x v="0"/>
  </r>
  <r>
    <s v="CA-2012-138674"/>
    <d v="2012-11-14T00:00:00"/>
    <d v="2012-11-17T00:00:00"/>
    <s v="KenBlack@gmail.com"/>
    <x v="77"/>
    <x v="7"/>
    <x v="477"/>
    <n v="159.96799999999999"/>
    <n v="4"/>
    <n v="29.994"/>
    <x v="2"/>
    <n v="11"/>
    <x v="6"/>
    <n v="14"/>
    <n v="3"/>
    <n v="18.75"/>
    <n v="39.991999999999997"/>
    <x v="0"/>
    <x v="0"/>
    <x v="0"/>
  </r>
  <r>
    <s v="CA-2013-165820"/>
    <d v="2013-09-27T00:00:00"/>
    <d v="2013-10-01T00:00:00"/>
    <s v="DorothyWardle@gmail.com"/>
    <x v="3"/>
    <x v="8"/>
    <x v="735"/>
    <n v="12.96"/>
    <n v="2"/>
    <n v="6.2207999999999997"/>
    <x v="0"/>
    <n v="9"/>
    <x v="8"/>
    <n v="27"/>
    <n v="4"/>
    <n v="48"/>
    <n v="6.48"/>
    <x v="0"/>
    <x v="0"/>
    <x v="0"/>
  </r>
  <r>
    <s v="CA-2011-148614"/>
    <d v="2011-01-21T00:00:00"/>
    <d v="2011-01-26T00:00:00"/>
    <s v="MarkVanHuff@gmail.com"/>
    <x v="0"/>
    <x v="8"/>
    <x v="99"/>
    <n v="19.36"/>
    <n v="2"/>
    <n v="9.2927999999999997"/>
    <x v="1"/>
    <n v="1"/>
    <x v="4"/>
    <n v="21"/>
    <n v="5"/>
    <n v="48"/>
    <n v="9.68"/>
    <x v="0"/>
    <x v="0"/>
    <x v="0"/>
  </r>
  <r>
    <s v="CA-2011-148614"/>
    <d v="2011-01-21T00:00:00"/>
    <d v="2011-01-26T00:00:00"/>
    <s v="MarkVanHuff@gmail.com"/>
    <x v="0"/>
    <x v="1"/>
    <x v="1038"/>
    <n v="19.3"/>
    <n v="2"/>
    <n v="5.79"/>
    <x v="1"/>
    <n v="1"/>
    <x v="4"/>
    <n v="21"/>
    <n v="5"/>
    <n v="30"/>
    <n v="9.65"/>
    <x v="0"/>
    <x v="0"/>
    <x v="0"/>
  </r>
  <r>
    <s v="CA-2014-156139"/>
    <d v="2014-01-01T00:00:00"/>
    <d v="2014-01-07T00:00:00"/>
    <s v="BeckyPak@gmail.com"/>
    <x v="3"/>
    <x v="3"/>
    <x v="585"/>
    <n v="38.375999999999998"/>
    <n v="3"/>
    <n v="13.4316"/>
    <x v="3"/>
    <n v="1"/>
    <x v="4"/>
    <n v="1"/>
    <n v="6"/>
    <n v="35"/>
    <n v="12.792"/>
    <x v="0"/>
    <x v="0"/>
    <x v="0"/>
  </r>
  <r>
    <s v="US-2014-147886"/>
    <d v="2014-03-29T00:00:00"/>
    <d v="2014-04-01T00:00:00"/>
    <s v="DaveHallsten@gmail.com"/>
    <x v="58"/>
    <x v="8"/>
    <x v="1039"/>
    <n v="12.96"/>
    <n v="2"/>
    <n v="6.3503999999999996"/>
    <x v="3"/>
    <n v="3"/>
    <x v="9"/>
    <n v="29"/>
    <n v="3"/>
    <n v="49"/>
    <n v="6.48"/>
    <x v="0"/>
    <x v="0"/>
    <x v="0"/>
  </r>
  <r>
    <s v="US-2014-147886"/>
    <d v="2014-03-29T00:00:00"/>
    <d v="2014-04-01T00:00:00"/>
    <s v="DaveHallsten@gmail.com"/>
    <x v="58"/>
    <x v="1"/>
    <x v="1040"/>
    <n v="26.48"/>
    <n v="1"/>
    <n v="10.0624"/>
    <x v="3"/>
    <n v="3"/>
    <x v="9"/>
    <n v="29"/>
    <n v="3"/>
    <n v="38"/>
    <n v="26.48"/>
    <x v="0"/>
    <x v="0"/>
    <x v="0"/>
  </r>
  <r>
    <s v="US-2014-147886"/>
    <d v="2014-03-29T00:00:00"/>
    <d v="2014-04-01T00:00:00"/>
    <s v="DaveHallsten@gmail.com"/>
    <x v="58"/>
    <x v="8"/>
    <x v="722"/>
    <n v="26.72"/>
    <n v="4"/>
    <n v="12.8256"/>
    <x v="3"/>
    <n v="3"/>
    <x v="9"/>
    <n v="29"/>
    <n v="3"/>
    <n v="48"/>
    <n v="6.68"/>
    <x v="0"/>
    <x v="0"/>
    <x v="0"/>
  </r>
  <r>
    <s v="US-2014-147886"/>
    <d v="2014-03-29T00:00:00"/>
    <d v="2014-04-01T00:00:00"/>
    <s v="DaveHallsten@gmail.com"/>
    <x v="58"/>
    <x v="8"/>
    <x v="183"/>
    <n v="20.04"/>
    <n v="3"/>
    <n v="9.6191999999999993"/>
    <x v="3"/>
    <n v="3"/>
    <x v="9"/>
    <n v="29"/>
    <n v="3"/>
    <n v="48"/>
    <n v="6.68"/>
    <x v="0"/>
    <x v="0"/>
    <x v="0"/>
  </r>
  <r>
    <s v="US-2014-147886"/>
    <d v="2014-03-29T00:00:00"/>
    <d v="2014-04-01T00:00:00"/>
    <s v="DaveHallsten@gmail.com"/>
    <x v="58"/>
    <x v="1"/>
    <x v="1025"/>
    <n v="21.56"/>
    <n v="7"/>
    <n v="6.8992000000000004"/>
    <x v="3"/>
    <n v="3"/>
    <x v="9"/>
    <n v="29"/>
    <n v="3"/>
    <n v="32"/>
    <n v="3.08"/>
    <x v="0"/>
    <x v="0"/>
    <x v="0"/>
  </r>
  <r>
    <s v="CA-2013-125850"/>
    <d v="2013-01-22T00:00:00"/>
    <d v="2013-01-28T00:00:00"/>
    <s v="FrankPreis@gmail.com"/>
    <x v="16"/>
    <x v="0"/>
    <x v="1041"/>
    <n v="44.4"/>
    <n v="3"/>
    <n v="22.2"/>
    <x v="0"/>
    <n v="1"/>
    <x v="4"/>
    <n v="22"/>
    <n v="6"/>
    <n v="50"/>
    <n v="14.8"/>
    <x v="0"/>
    <x v="0"/>
    <x v="0"/>
  </r>
  <r>
    <s v="CA-2013-125850"/>
    <d v="2013-01-22T00:00:00"/>
    <d v="2013-01-28T00:00:00"/>
    <s v="FrankPreis@gmail.com"/>
    <x v="16"/>
    <x v="0"/>
    <x v="1042"/>
    <n v="20.65"/>
    <n v="5"/>
    <n v="9.4990000000000006"/>
    <x v="0"/>
    <n v="1"/>
    <x v="4"/>
    <n v="22"/>
    <n v="6"/>
    <n v="46"/>
    <n v="4.13"/>
    <x v="0"/>
    <x v="0"/>
    <x v="0"/>
  </r>
  <r>
    <s v="US-2013-111528"/>
    <d v="2013-12-31T00:00:00"/>
    <d v="2013-12-31T00:00:00"/>
    <s v="JuliePrescott@gmail.com"/>
    <x v="0"/>
    <x v="5"/>
    <x v="929"/>
    <n v="481.32"/>
    <n v="4"/>
    <n v="125.14319999999999"/>
    <x v="0"/>
    <n v="12"/>
    <x v="1"/>
    <n v="31"/>
    <n v="0"/>
    <n v="26"/>
    <n v="120.33"/>
    <x v="0"/>
    <x v="0"/>
    <x v="1"/>
  </r>
  <r>
    <s v="US-2013-111528"/>
    <d v="2013-12-31T00:00:00"/>
    <d v="2013-12-31T00:00:00"/>
    <s v="JuliePrescott@gmail.com"/>
    <x v="0"/>
    <x v="3"/>
    <x v="961"/>
    <n v="6.3840000000000003"/>
    <n v="1"/>
    <n v="2.1545999999999998"/>
    <x v="0"/>
    <n v="12"/>
    <x v="1"/>
    <n v="31"/>
    <n v="0"/>
    <n v="33.75"/>
    <n v="6.3840000000000003"/>
    <x v="0"/>
    <x v="0"/>
    <x v="0"/>
  </r>
  <r>
    <s v="CA-2014-158169"/>
    <d v="2014-08-13T00:00:00"/>
    <d v="2014-08-16T00:00:00"/>
    <s v="JustinMacKendrick@gmail.com"/>
    <x v="140"/>
    <x v="1"/>
    <x v="914"/>
    <n v="54.92"/>
    <n v="4"/>
    <n v="19.7712"/>
    <x v="3"/>
    <n v="8"/>
    <x v="3"/>
    <n v="13"/>
    <n v="3"/>
    <n v="36"/>
    <n v="13.73"/>
    <x v="0"/>
    <x v="0"/>
    <x v="0"/>
  </r>
  <r>
    <s v="CA-2012-117772"/>
    <d v="2012-09-10T00:00:00"/>
    <d v="2012-09-12T00:00:00"/>
    <s v="MattCollins@gmail.com"/>
    <x v="1"/>
    <x v="5"/>
    <x v="1043"/>
    <n v="353.88"/>
    <n v="6"/>
    <n v="17.693999999999999"/>
    <x v="2"/>
    <n v="9"/>
    <x v="8"/>
    <n v="10"/>
    <n v="2"/>
    <n v="5"/>
    <n v="58.98"/>
    <x v="0"/>
    <x v="0"/>
    <x v="1"/>
  </r>
  <r>
    <s v="US-2011-126340"/>
    <d v="2011-11-08T00:00:00"/>
    <d v="2011-11-14T00:00:00"/>
    <s v="EmilyBurns@gmail.com"/>
    <x v="141"/>
    <x v="6"/>
    <x v="1044"/>
    <n v="333.57600000000002"/>
    <n v="3"/>
    <n v="25.0182"/>
    <x v="1"/>
    <n v="11"/>
    <x v="6"/>
    <n v="8"/>
    <n v="6"/>
    <n v="7.5"/>
    <n v="111.19199999999999"/>
    <x v="0"/>
    <x v="0"/>
    <x v="1"/>
  </r>
  <r>
    <s v="CA-2012-103835"/>
    <d v="2012-09-24T00:00:00"/>
    <d v="2012-09-28T00:00:00"/>
    <s v="ShaunChance@gmail.com"/>
    <x v="0"/>
    <x v="1"/>
    <x v="358"/>
    <n v="14.91"/>
    <n v="3"/>
    <n v="4.6220999999999997"/>
    <x v="2"/>
    <n v="9"/>
    <x v="8"/>
    <n v="24"/>
    <n v="4"/>
    <n v="31"/>
    <n v="4.97"/>
    <x v="0"/>
    <x v="0"/>
    <x v="0"/>
  </r>
  <r>
    <s v="CA-2013-142398"/>
    <d v="2013-04-13T00:00:00"/>
    <d v="2013-04-17T00:00:00"/>
    <s v="BethPaige@gmail.com"/>
    <x v="0"/>
    <x v="3"/>
    <x v="1045"/>
    <n v="13.208"/>
    <n v="1"/>
    <n v="4.6227999999999998"/>
    <x v="0"/>
    <n v="4"/>
    <x v="10"/>
    <n v="13"/>
    <n v="4"/>
    <n v="35"/>
    <n v="13.208"/>
    <x v="0"/>
    <x v="0"/>
    <x v="0"/>
  </r>
  <r>
    <s v="CA-2013-112060"/>
    <d v="2013-12-05T00:00:00"/>
    <d v="2013-12-10T00:00:00"/>
    <s v="KeanTakahito@gmail.com"/>
    <x v="3"/>
    <x v="8"/>
    <x v="1046"/>
    <n v="104.85"/>
    <n v="1"/>
    <n v="50.328000000000003"/>
    <x v="0"/>
    <n v="12"/>
    <x v="1"/>
    <n v="5"/>
    <n v="5"/>
    <n v="48"/>
    <n v="104.85"/>
    <x v="0"/>
    <x v="0"/>
    <x v="0"/>
  </r>
  <r>
    <s v="CA-2011-105270"/>
    <d v="2011-11-11T00:00:00"/>
    <d v="2011-11-18T00:00:00"/>
    <s v="ArthurPrichep@gmail.com"/>
    <x v="0"/>
    <x v="2"/>
    <x v="710"/>
    <n v="30.48"/>
    <n v="3"/>
    <n v="7.9248000000000003"/>
    <x v="1"/>
    <n v="11"/>
    <x v="6"/>
    <n v="11"/>
    <n v="7"/>
    <n v="26"/>
    <n v="10.16"/>
    <x v="0"/>
    <x v="0"/>
    <x v="0"/>
  </r>
  <r>
    <s v="CA-2011-105270"/>
    <d v="2011-11-11T00:00:00"/>
    <d v="2011-11-18T00:00:00"/>
    <s v="ArthurPrichep@gmail.com"/>
    <x v="0"/>
    <x v="9"/>
    <x v="601"/>
    <n v="112.648"/>
    <n v="1"/>
    <n v="11.264799999999999"/>
    <x v="1"/>
    <n v="11"/>
    <x v="6"/>
    <n v="11"/>
    <n v="7"/>
    <n v="10"/>
    <n v="112.648"/>
    <x v="0"/>
    <x v="0"/>
    <x v="0"/>
  </r>
  <r>
    <s v="US-2012-159513"/>
    <d v="2012-04-02T00:00:00"/>
    <d v="2012-04-09T00:00:00"/>
    <s v="JohnDryer@gmail.com"/>
    <x v="0"/>
    <x v="15"/>
    <x v="1047"/>
    <n v="71.975999999999999"/>
    <n v="3"/>
    <n v="24.291899999999998"/>
    <x v="2"/>
    <n v="4"/>
    <x v="10"/>
    <n v="2"/>
    <n v="7"/>
    <n v="33.75"/>
    <n v="23.992000000000001"/>
    <x v="1"/>
    <x v="0"/>
    <x v="0"/>
  </r>
  <r>
    <s v="CA-2012-155586"/>
    <d v="2012-12-12T00:00:00"/>
    <d v="2012-12-16T00:00:00"/>
    <s v="XylonaPreis@gmail.com"/>
    <x v="142"/>
    <x v="2"/>
    <x v="47"/>
    <n v="2.21"/>
    <n v="1"/>
    <n v="0.59670000000000001"/>
    <x v="2"/>
    <n v="12"/>
    <x v="1"/>
    <n v="12"/>
    <n v="4"/>
    <n v="27"/>
    <n v="2.21"/>
    <x v="0"/>
    <x v="0"/>
    <x v="0"/>
  </r>
  <r>
    <s v="CA-2012-155586"/>
    <d v="2012-12-12T00:00:00"/>
    <d v="2012-12-16T00:00:00"/>
    <s v="XylonaPreis@gmail.com"/>
    <x v="142"/>
    <x v="12"/>
    <x v="1048"/>
    <n v="15.52"/>
    <n v="4"/>
    <n v="7.4496000000000002"/>
    <x v="2"/>
    <n v="12"/>
    <x v="1"/>
    <n v="12"/>
    <n v="4"/>
    <n v="48"/>
    <n v="3.88"/>
    <x v="0"/>
    <x v="0"/>
    <x v="0"/>
  </r>
  <r>
    <s v="CA-2012-155586"/>
    <d v="2012-12-12T00:00:00"/>
    <d v="2012-12-16T00:00:00"/>
    <s v="XylonaPreis@gmail.com"/>
    <x v="142"/>
    <x v="8"/>
    <x v="1049"/>
    <n v="36.44"/>
    <n v="4"/>
    <n v="16.398"/>
    <x v="2"/>
    <n v="12"/>
    <x v="1"/>
    <n v="12"/>
    <n v="4"/>
    <n v="45"/>
    <n v="9.11"/>
    <x v="0"/>
    <x v="0"/>
    <x v="0"/>
  </r>
  <r>
    <s v="CA-2014-141117"/>
    <d v="2014-10-03T00:00:00"/>
    <d v="2014-10-09T00:00:00"/>
    <s v="JulianaKrohn@gmail.com"/>
    <x v="77"/>
    <x v="14"/>
    <x v="1008"/>
    <n v="217.76400000000001"/>
    <n v="6"/>
    <n v="-384.71640000000002"/>
    <x v="3"/>
    <n v="10"/>
    <x v="7"/>
    <n v="3"/>
    <n v="6"/>
    <n v="-176.67"/>
    <n v="36.293999999999997"/>
    <x v="0"/>
    <x v="1"/>
    <x v="1"/>
  </r>
  <r>
    <s v="CA-2014-141117"/>
    <d v="2014-10-03T00:00:00"/>
    <d v="2014-10-09T00:00:00"/>
    <s v="JulianaKrohn@gmail.com"/>
    <x v="77"/>
    <x v="11"/>
    <x v="1050"/>
    <n v="39.072000000000003"/>
    <n v="6"/>
    <n v="4.3956"/>
    <x v="3"/>
    <n v="10"/>
    <x v="7"/>
    <n v="3"/>
    <n v="6"/>
    <n v="11.25"/>
    <n v="6.5119999999999996"/>
    <x v="0"/>
    <x v="0"/>
    <x v="0"/>
  </r>
  <r>
    <s v="CA-2014-141117"/>
    <d v="2014-10-03T00:00:00"/>
    <d v="2014-10-09T00:00:00"/>
    <s v="JulianaKrohn@gmail.com"/>
    <x v="77"/>
    <x v="3"/>
    <x v="408"/>
    <n v="22.638000000000002"/>
    <n v="7"/>
    <n v="-16.601199999999999"/>
    <x v="3"/>
    <n v="10"/>
    <x v="7"/>
    <n v="3"/>
    <n v="6"/>
    <n v="-73.33"/>
    <n v="3.234"/>
    <x v="0"/>
    <x v="1"/>
    <x v="0"/>
  </r>
  <r>
    <s v="CA-2014-141117"/>
    <d v="2014-10-03T00:00:00"/>
    <d v="2014-10-09T00:00:00"/>
    <s v="JulianaKrohn@gmail.com"/>
    <x v="77"/>
    <x v="2"/>
    <x v="574"/>
    <n v="95.144000000000005"/>
    <n v="7"/>
    <n v="10.7037"/>
    <x v="3"/>
    <n v="10"/>
    <x v="7"/>
    <n v="3"/>
    <n v="6"/>
    <n v="11.25"/>
    <n v="13.592000000000001"/>
    <x v="0"/>
    <x v="0"/>
    <x v="0"/>
  </r>
  <r>
    <s v="CA-2014-140186"/>
    <d v="2014-09-30T00:00:00"/>
    <d v="2014-10-03T00:00:00"/>
    <s v="PatrickGardner@gmail.com"/>
    <x v="102"/>
    <x v="10"/>
    <x v="526"/>
    <n v="35"/>
    <n v="7"/>
    <n v="16.8"/>
    <x v="3"/>
    <n v="9"/>
    <x v="8"/>
    <n v="30"/>
    <n v="3"/>
    <n v="48"/>
    <n v="5"/>
    <x v="0"/>
    <x v="0"/>
    <x v="0"/>
  </r>
  <r>
    <s v="CA-2014-140186"/>
    <d v="2014-09-30T00:00:00"/>
    <d v="2014-10-03T00:00:00"/>
    <s v="PatrickGardner@gmail.com"/>
    <x v="102"/>
    <x v="9"/>
    <x v="319"/>
    <n v="72.784000000000006"/>
    <n v="1"/>
    <n v="0"/>
    <x v="3"/>
    <n v="9"/>
    <x v="8"/>
    <n v="30"/>
    <n v="3"/>
    <n v="0"/>
    <n v="72.784000000000006"/>
    <x v="0"/>
    <x v="0"/>
    <x v="0"/>
  </r>
  <r>
    <s v="CA-2014-140186"/>
    <d v="2014-09-30T00:00:00"/>
    <d v="2014-10-03T00:00:00"/>
    <s v="PatrickGardner@gmail.com"/>
    <x v="102"/>
    <x v="4"/>
    <x v="115"/>
    <n v="97.84"/>
    <n v="2"/>
    <n v="25.438400000000001"/>
    <x v="3"/>
    <n v="9"/>
    <x v="8"/>
    <n v="30"/>
    <n v="3"/>
    <n v="26"/>
    <n v="48.92"/>
    <x v="0"/>
    <x v="0"/>
    <x v="0"/>
  </r>
  <r>
    <s v="CA-2014-140186"/>
    <d v="2014-09-30T00:00:00"/>
    <d v="2014-10-03T00:00:00"/>
    <s v="PatrickGardner@gmail.com"/>
    <x v="102"/>
    <x v="1"/>
    <x v="250"/>
    <n v="51.75"/>
    <n v="1"/>
    <n v="15.525"/>
    <x v="3"/>
    <n v="9"/>
    <x v="8"/>
    <n v="30"/>
    <n v="3"/>
    <n v="30"/>
    <n v="51.75"/>
    <x v="0"/>
    <x v="0"/>
    <x v="0"/>
  </r>
  <r>
    <s v="CA-2014-140186"/>
    <d v="2014-09-30T00:00:00"/>
    <d v="2014-10-03T00:00:00"/>
    <s v="PatrickGardner@gmail.com"/>
    <x v="102"/>
    <x v="3"/>
    <x v="225"/>
    <n v="46.671999999999997"/>
    <n v="2"/>
    <n v="16.3352"/>
    <x v="3"/>
    <n v="9"/>
    <x v="8"/>
    <n v="30"/>
    <n v="3"/>
    <n v="35"/>
    <n v="23.335999999999999"/>
    <x v="0"/>
    <x v="0"/>
    <x v="0"/>
  </r>
  <r>
    <s v="CA-2012-163440"/>
    <d v="2012-03-22T00:00:00"/>
    <d v="2012-03-24T00:00:00"/>
    <s v="RubenDartt@gmail.com"/>
    <x v="92"/>
    <x v="6"/>
    <x v="349"/>
    <n v="15.984"/>
    <n v="2"/>
    <n v="1.1988000000000001"/>
    <x v="2"/>
    <n v="3"/>
    <x v="9"/>
    <n v="22"/>
    <n v="2"/>
    <n v="7.5"/>
    <n v="7.992"/>
    <x v="0"/>
    <x v="0"/>
    <x v="0"/>
  </r>
  <r>
    <s v="US-2012-163279"/>
    <d v="2012-03-22T00:00:00"/>
    <d v="2012-03-26T00:00:00"/>
    <s v="JustinDeggeller@gmail.com"/>
    <x v="16"/>
    <x v="8"/>
    <x v="50"/>
    <n v="105.52"/>
    <n v="4"/>
    <n v="48.539200000000001"/>
    <x v="2"/>
    <n v="3"/>
    <x v="9"/>
    <n v="22"/>
    <n v="4"/>
    <n v="46"/>
    <n v="26.38"/>
    <x v="0"/>
    <x v="0"/>
    <x v="0"/>
  </r>
  <r>
    <s v="US-2012-163279"/>
    <d v="2012-03-22T00:00:00"/>
    <d v="2012-03-26T00:00:00"/>
    <s v="JustinDeggeller@gmail.com"/>
    <x v="16"/>
    <x v="1"/>
    <x v="1051"/>
    <n v="91.96"/>
    <n v="2"/>
    <n v="15.6332"/>
    <x v="2"/>
    <n v="3"/>
    <x v="9"/>
    <n v="22"/>
    <n v="4"/>
    <n v="17"/>
    <n v="45.98"/>
    <x v="0"/>
    <x v="0"/>
    <x v="0"/>
  </r>
  <r>
    <s v="CA-2014-117632"/>
    <d v="2014-05-13T00:00:00"/>
    <d v="2014-05-19T00:00:00"/>
    <s v="CharlesSheldon@gmail.com"/>
    <x v="3"/>
    <x v="11"/>
    <x v="1052"/>
    <n v="238.62"/>
    <n v="2"/>
    <n v="4.7724000000000002"/>
    <x v="3"/>
    <n v="5"/>
    <x v="2"/>
    <n v="13"/>
    <n v="6"/>
    <n v="2"/>
    <n v="119.31"/>
    <x v="0"/>
    <x v="0"/>
    <x v="1"/>
  </r>
  <r>
    <s v="CA-2014-117632"/>
    <d v="2014-05-13T00:00:00"/>
    <d v="2014-05-19T00:00:00"/>
    <s v="CharlesSheldon@gmail.com"/>
    <x v="3"/>
    <x v="4"/>
    <x v="1053"/>
    <n v="7.77"/>
    <n v="1"/>
    <n v="2.0979000000000001"/>
    <x v="3"/>
    <n v="5"/>
    <x v="2"/>
    <n v="13"/>
    <n v="6"/>
    <n v="27"/>
    <n v="7.77"/>
    <x v="0"/>
    <x v="0"/>
    <x v="0"/>
  </r>
  <r>
    <s v="CA-2014-117632"/>
    <d v="2014-05-13T00:00:00"/>
    <d v="2014-05-19T00:00:00"/>
    <s v="CharlesSheldon@gmail.com"/>
    <x v="3"/>
    <x v="13"/>
    <x v="658"/>
    <n v="285.48"/>
    <n v="5"/>
    <n v="-10.705500000000001"/>
    <x v="3"/>
    <n v="5"/>
    <x v="2"/>
    <n v="13"/>
    <n v="6"/>
    <n v="-3.75"/>
    <n v="57.095999999999997"/>
    <x v="0"/>
    <x v="1"/>
    <x v="1"/>
  </r>
  <r>
    <s v="CA-2014-117632"/>
    <d v="2014-05-13T00:00:00"/>
    <d v="2014-05-19T00:00:00"/>
    <s v="CharlesSheldon@gmail.com"/>
    <x v="3"/>
    <x v="3"/>
    <x v="419"/>
    <n v="19.167999999999999"/>
    <n v="4"/>
    <n v="6.4691999999999998"/>
    <x v="3"/>
    <n v="5"/>
    <x v="2"/>
    <n v="13"/>
    <n v="6"/>
    <n v="33.75"/>
    <n v="4.7919999999999998"/>
    <x v="0"/>
    <x v="0"/>
    <x v="0"/>
  </r>
  <r>
    <s v="CA-2014-133207"/>
    <d v="2014-11-28T00:00:00"/>
    <d v="2014-12-04T00:00:00"/>
    <s v="DougO'Connell@gmail.com"/>
    <x v="0"/>
    <x v="6"/>
    <x v="1054"/>
    <n v="57.567999999999998"/>
    <n v="4"/>
    <n v="5.7568000000000001"/>
    <x v="3"/>
    <n v="11"/>
    <x v="6"/>
    <n v="28"/>
    <n v="6"/>
    <n v="10"/>
    <n v="14.391999999999999"/>
    <x v="0"/>
    <x v="0"/>
    <x v="0"/>
  </r>
  <r>
    <s v="CA-2012-132948"/>
    <d v="2012-03-27T00:00:00"/>
    <d v="2012-04-03T00:00:00"/>
    <s v="MarkVanHuff@gmail.com"/>
    <x v="1"/>
    <x v="5"/>
    <x v="1055"/>
    <n v="83.7"/>
    <n v="5"/>
    <n v="3.3479999999999999"/>
    <x v="2"/>
    <n v="3"/>
    <x v="9"/>
    <n v="27"/>
    <n v="7"/>
    <n v="4"/>
    <n v="16.739999999999998"/>
    <x v="0"/>
    <x v="0"/>
    <x v="0"/>
  </r>
  <r>
    <s v="CA-2012-126725"/>
    <d v="2012-11-17T00:00:00"/>
    <d v="2012-11-21T00:00:00"/>
    <s v="BrianStugart@gmail.com"/>
    <x v="16"/>
    <x v="6"/>
    <x v="1056"/>
    <n v="415.96800000000002"/>
    <n v="4"/>
    <n v="51.996000000000002"/>
    <x v="2"/>
    <n v="11"/>
    <x v="6"/>
    <n v="17"/>
    <n v="4"/>
    <n v="12.5"/>
    <n v="103.992"/>
    <x v="0"/>
    <x v="0"/>
    <x v="1"/>
  </r>
  <r>
    <s v="CA-2012-126725"/>
    <d v="2012-11-17T00:00:00"/>
    <d v="2012-11-21T00:00:00"/>
    <s v="BrianStugart@gmail.com"/>
    <x v="16"/>
    <x v="5"/>
    <x v="1057"/>
    <n v="304.89999999999998"/>
    <n v="5"/>
    <n v="6.0979999999999999"/>
    <x v="2"/>
    <n v="11"/>
    <x v="6"/>
    <n v="17"/>
    <n v="4"/>
    <n v="2"/>
    <n v="60.98"/>
    <x v="0"/>
    <x v="0"/>
    <x v="1"/>
  </r>
  <r>
    <s v="CA-2012-126725"/>
    <d v="2012-11-17T00:00:00"/>
    <d v="2012-11-21T00:00:00"/>
    <s v="BrianStugart@gmail.com"/>
    <x v="16"/>
    <x v="1"/>
    <x v="1058"/>
    <n v="80.959999999999994"/>
    <n v="4"/>
    <n v="29.145600000000002"/>
    <x v="2"/>
    <n v="11"/>
    <x v="6"/>
    <n v="17"/>
    <n v="4"/>
    <n v="36"/>
    <n v="20.239999999999998"/>
    <x v="0"/>
    <x v="0"/>
    <x v="0"/>
  </r>
  <r>
    <s v="CA-2012-126725"/>
    <d v="2012-11-17T00:00:00"/>
    <d v="2012-11-21T00:00:00"/>
    <s v="BrianStugart@gmail.com"/>
    <x v="16"/>
    <x v="8"/>
    <x v="1059"/>
    <n v="32.4"/>
    <n v="5"/>
    <n v="15.552"/>
    <x v="2"/>
    <n v="11"/>
    <x v="6"/>
    <n v="17"/>
    <n v="4"/>
    <n v="48"/>
    <n v="6.48"/>
    <x v="0"/>
    <x v="0"/>
    <x v="0"/>
  </r>
  <r>
    <s v="CA-2012-126725"/>
    <d v="2012-11-17T00:00:00"/>
    <d v="2012-11-21T00:00:00"/>
    <s v="BrianStugart@gmail.com"/>
    <x v="16"/>
    <x v="9"/>
    <x v="1060"/>
    <n v="225.56800000000001"/>
    <n v="2"/>
    <n v="2.8195999999999999"/>
    <x v="2"/>
    <n v="11"/>
    <x v="6"/>
    <n v="17"/>
    <n v="4"/>
    <n v="1.25"/>
    <n v="112.78400000000001"/>
    <x v="0"/>
    <x v="0"/>
    <x v="1"/>
  </r>
  <r>
    <s v="CA-2012-126725"/>
    <d v="2012-11-17T00:00:00"/>
    <d v="2012-11-21T00:00:00"/>
    <s v="BrianStugart@gmail.com"/>
    <x v="16"/>
    <x v="1"/>
    <x v="769"/>
    <n v="36.6"/>
    <n v="3"/>
    <n v="15.372"/>
    <x v="2"/>
    <n v="11"/>
    <x v="6"/>
    <n v="17"/>
    <n v="4"/>
    <n v="42"/>
    <n v="12.2"/>
    <x v="0"/>
    <x v="0"/>
    <x v="0"/>
  </r>
  <r>
    <s v="US-2014-153255"/>
    <d v="2014-09-04T00:00:00"/>
    <d v="2014-09-08T00:00:00"/>
    <s v="JoeKamberova@gmail.com"/>
    <x v="29"/>
    <x v="14"/>
    <x v="1061"/>
    <n v="239.666"/>
    <n v="2"/>
    <n v="14.098000000000001"/>
    <x v="3"/>
    <n v="9"/>
    <x v="8"/>
    <n v="4"/>
    <n v="4"/>
    <n v="5.88"/>
    <n v="119.833"/>
    <x v="0"/>
    <x v="0"/>
    <x v="1"/>
  </r>
  <r>
    <s v="CA-2013-133935"/>
    <d v="2013-09-19T00:00:00"/>
    <d v="2013-09-23T00:00:00"/>
    <s v="JaneWaco@gmail.com"/>
    <x v="16"/>
    <x v="8"/>
    <x v="1062"/>
    <n v="368.91"/>
    <n v="9"/>
    <n v="180.76589999999999"/>
    <x v="0"/>
    <n v="9"/>
    <x v="8"/>
    <n v="19"/>
    <n v="4"/>
    <n v="49"/>
    <n v="40.99"/>
    <x v="0"/>
    <x v="0"/>
    <x v="1"/>
  </r>
  <r>
    <s v="CA-2013-136301"/>
    <d v="2013-03-14T00:00:00"/>
    <d v="2013-03-16T00:00:00"/>
    <s v="EdwardHooks@gmail.com"/>
    <x v="3"/>
    <x v="1"/>
    <x v="1063"/>
    <n v="28.28"/>
    <n v="2"/>
    <n v="7.3528000000000002"/>
    <x v="0"/>
    <n v="3"/>
    <x v="9"/>
    <n v="14"/>
    <n v="2"/>
    <n v="26"/>
    <n v="14.14"/>
    <x v="0"/>
    <x v="0"/>
    <x v="0"/>
  </r>
  <r>
    <s v="US-2011-109456"/>
    <d v="2011-10-16T00:00:00"/>
    <d v="2011-10-17T00:00:00"/>
    <s v="LynnSmith@gmail.com"/>
    <x v="3"/>
    <x v="3"/>
    <x v="1064"/>
    <n v="14.352"/>
    <n v="3"/>
    <n v="5.0232000000000001"/>
    <x v="1"/>
    <n v="10"/>
    <x v="7"/>
    <n v="16"/>
    <n v="1"/>
    <n v="35"/>
    <n v="4.7839999999999998"/>
    <x v="0"/>
    <x v="0"/>
    <x v="0"/>
  </r>
  <r>
    <s v="US-2011-109456"/>
    <d v="2011-10-16T00:00:00"/>
    <d v="2011-10-17T00:00:00"/>
    <s v="LynnSmith@gmail.com"/>
    <x v="3"/>
    <x v="7"/>
    <x v="190"/>
    <n v="179.97"/>
    <n v="3"/>
    <n v="86.385599999999997"/>
    <x v="1"/>
    <n v="10"/>
    <x v="7"/>
    <n v="16"/>
    <n v="1"/>
    <n v="48"/>
    <n v="59.99"/>
    <x v="0"/>
    <x v="0"/>
    <x v="0"/>
  </r>
  <r>
    <s v="CA-2014-100825"/>
    <d v="2014-09-10T00:00:00"/>
    <d v="2014-09-15T00:00:00"/>
    <s v="KeithDawkins@gmail.com"/>
    <x v="0"/>
    <x v="5"/>
    <x v="529"/>
    <n v="99.87"/>
    <n v="3"/>
    <n v="23.968800000000002"/>
    <x v="3"/>
    <n v="9"/>
    <x v="8"/>
    <n v="10"/>
    <n v="5"/>
    <n v="24"/>
    <n v="33.29"/>
    <x v="0"/>
    <x v="0"/>
    <x v="0"/>
  </r>
  <r>
    <s v="CA-2011-168305"/>
    <d v="2011-11-01T00:00:00"/>
    <d v="2011-11-08T00:00:00"/>
    <s v="PaulLucas@gmail.com"/>
    <x v="0"/>
    <x v="0"/>
    <x v="1041"/>
    <n v="44.4"/>
    <n v="3"/>
    <n v="22.2"/>
    <x v="1"/>
    <n v="11"/>
    <x v="6"/>
    <n v="1"/>
    <n v="7"/>
    <n v="50"/>
    <n v="14.8"/>
    <x v="0"/>
    <x v="0"/>
    <x v="0"/>
  </r>
  <r>
    <s v="CA-2011-168305"/>
    <d v="2011-11-01T00:00:00"/>
    <d v="2011-11-08T00:00:00"/>
    <s v="PaulLucas@gmail.com"/>
    <x v="0"/>
    <x v="8"/>
    <x v="50"/>
    <n v="21.4"/>
    <n v="5"/>
    <n v="9.6300000000000008"/>
    <x v="1"/>
    <n v="11"/>
    <x v="6"/>
    <n v="1"/>
    <n v="7"/>
    <n v="45"/>
    <n v="4.2799999999999994"/>
    <x v="0"/>
    <x v="0"/>
    <x v="0"/>
  </r>
  <r>
    <s v="CA-2014-108000"/>
    <d v="2014-01-13T00:00:00"/>
    <d v="2014-01-17T00:00:00"/>
    <s v="LindaSouthworth@gmail.com"/>
    <x v="3"/>
    <x v="12"/>
    <x v="50"/>
    <n v="9.7799999999999994"/>
    <n v="1"/>
    <n v="4.8899999999999997"/>
    <x v="3"/>
    <n v="1"/>
    <x v="4"/>
    <n v="13"/>
    <n v="4"/>
    <n v="50"/>
    <n v="9.7799999999999994"/>
    <x v="0"/>
    <x v="0"/>
    <x v="0"/>
  </r>
  <r>
    <s v="CA-2012-146465"/>
    <d v="2012-11-20T00:00:00"/>
    <d v="2012-11-24T00:00:00"/>
    <s v="PatrickBzostek@gmail.com"/>
    <x v="3"/>
    <x v="3"/>
    <x v="1065"/>
    <n v="24.192"/>
    <n v="9"/>
    <n v="7.56"/>
    <x v="2"/>
    <n v="11"/>
    <x v="6"/>
    <n v="20"/>
    <n v="4"/>
    <n v="31.25"/>
    <n v="2.6880000000000002"/>
    <x v="0"/>
    <x v="0"/>
    <x v="0"/>
  </r>
  <r>
    <s v="US-2014-153948"/>
    <d v="2014-11-07T00:00:00"/>
    <d v="2014-11-07T00:00:00"/>
    <s v="FrankMerwin@gmail.com"/>
    <x v="3"/>
    <x v="8"/>
    <x v="103"/>
    <n v="59.94"/>
    <n v="3"/>
    <n v="28.171800000000001"/>
    <x v="3"/>
    <n v="11"/>
    <x v="6"/>
    <n v="7"/>
    <n v="0"/>
    <n v="47"/>
    <n v="19.98"/>
    <x v="0"/>
    <x v="0"/>
    <x v="0"/>
  </r>
  <r>
    <s v="US-2014-153948"/>
    <d v="2014-11-07T00:00:00"/>
    <d v="2014-11-07T00:00:00"/>
    <s v="FrankMerwin@gmail.com"/>
    <x v="3"/>
    <x v="8"/>
    <x v="50"/>
    <n v="45.36"/>
    <n v="4"/>
    <n v="22.226400000000002"/>
    <x v="3"/>
    <n v="11"/>
    <x v="6"/>
    <n v="7"/>
    <n v="0"/>
    <n v="49"/>
    <n v="11.34"/>
    <x v="0"/>
    <x v="0"/>
    <x v="0"/>
  </r>
  <r>
    <s v="US-2014-153948"/>
    <d v="2014-11-07T00:00:00"/>
    <d v="2014-11-07T00:00:00"/>
    <s v="FrankMerwin@gmail.com"/>
    <x v="3"/>
    <x v="8"/>
    <x v="946"/>
    <n v="26.4"/>
    <n v="5"/>
    <n v="12.672000000000001"/>
    <x v="3"/>
    <n v="11"/>
    <x v="6"/>
    <n v="7"/>
    <n v="0"/>
    <n v="48"/>
    <n v="5.2799999999999994"/>
    <x v="0"/>
    <x v="0"/>
    <x v="0"/>
  </r>
  <r>
    <s v="US-2014-153948"/>
    <d v="2014-11-07T00:00:00"/>
    <d v="2014-11-07T00:00:00"/>
    <s v="FrankMerwin@gmail.com"/>
    <x v="3"/>
    <x v="0"/>
    <x v="1066"/>
    <n v="41.4"/>
    <n v="4"/>
    <n v="19.872"/>
    <x v="3"/>
    <n v="11"/>
    <x v="6"/>
    <n v="7"/>
    <n v="0"/>
    <n v="48"/>
    <n v="10.35"/>
    <x v="0"/>
    <x v="0"/>
    <x v="0"/>
  </r>
  <r>
    <s v="US-2014-153948"/>
    <d v="2014-11-07T00:00:00"/>
    <d v="2014-11-07T00:00:00"/>
    <s v="FrankMerwin@gmail.com"/>
    <x v="3"/>
    <x v="7"/>
    <x v="211"/>
    <n v="16.95"/>
    <n v="1"/>
    <n v="1.0169999999999999"/>
    <x v="3"/>
    <n v="11"/>
    <x v="6"/>
    <n v="7"/>
    <n v="0"/>
    <n v="6"/>
    <n v="16.95"/>
    <x v="0"/>
    <x v="0"/>
    <x v="0"/>
  </r>
  <r>
    <s v="US-2013-113985"/>
    <d v="2013-12-03T00:00:00"/>
    <d v="2013-12-08T00:00:00"/>
    <s v="KeithDawkins@gmail.com"/>
    <x v="10"/>
    <x v="3"/>
    <x v="1067"/>
    <n v="24.704000000000001"/>
    <n v="2"/>
    <n v="9.2639999999999993"/>
    <x v="0"/>
    <n v="12"/>
    <x v="1"/>
    <n v="3"/>
    <n v="5"/>
    <n v="37.5"/>
    <n v="12.352"/>
    <x v="0"/>
    <x v="0"/>
    <x v="0"/>
  </r>
  <r>
    <s v="US-2013-113985"/>
    <d v="2013-12-03T00:00:00"/>
    <d v="2013-12-08T00:00:00"/>
    <s v="KeithDawkins@gmail.com"/>
    <x v="10"/>
    <x v="4"/>
    <x v="1068"/>
    <n v="59.7"/>
    <n v="3"/>
    <n v="26.864999999999998"/>
    <x v="0"/>
    <n v="12"/>
    <x v="1"/>
    <n v="3"/>
    <n v="5"/>
    <n v="45"/>
    <n v="19.899999999999999"/>
    <x v="0"/>
    <x v="0"/>
    <x v="0"/>
  </r>
  <r>
    <s v="US-2013-113985"/>
    <d v="2013-12-03T00:00:00"/>
    <d v="2013-12-08T00:00:00"/>
    <s v="KeithDawkins@gmail.com"/>
    <x v="10"/>
    <x v="1"/>
    <x v="761"/>
    <n v="14.52"/>
    <n v="3"/>
    <n v="5.6627999999999998"/>
    <x v="0"/>
    <n v="12"/>
    <x v="1"/>
    <n v="3"/>
    <n v="5"/>
    <n v="39"/>
    <n v="4.84"/>
    <x v="0"/>
    <x v="0"/>
    <x v="0"/>
  </r>
  <r>
    <s v="US-2013-113985"/>
    <d v="2013-12-03T00:00:00"/>
    <d v="2013-12-08T00:00:00"/>
    <s v="KeithDawkins@gmail.com"/>
    <x v="10"/>
    <x v="3"/>
    <x v="540"/>
    <n v="104.184"/>
    <n v="3"/>
    <n v="33.8598"/>
    <x v="0"/>
    <n v="12"/>
    <x v="1"/>
    <n v="3"/>
    <n v="5"/>
    <n v="32.5"/>
    <n v="34.728000000000002"/>
    <x v="0"/>
    <x v="0"/>
    <x v="0"/>
  </r>
  <r>
    <s v="CA-2013-155383"/>
    <d v="2013-12-18T00:00:00"/>
    <d v="2013-12-23T00:00:00"/>
    <s v="SteveCarroll@gmail.com"/>
    <x v="1"/>
    <x v="5"/>
    <x v="60"/>
    <n v="46.53"/>
    <n v="3"/>
    <n v="13.0284"/>
    <x v="0"/>
    <n v="12"/>
    <x v="1"/>
    <n v="18"/>
    <n v="5"/>
    <n v="28"/>
    <n v="15.51"/>
    <x v="0"/>
    <x v="0"/>
    <x v="0"/>
  </r>
  <r>
    <s v="CA-2013-103107"/>
    <d v="2013-07-05T00:00:00"/>
    <d v="2013-07-05T00:00:00"/>
    <s v="RickBensley@gmail.com"/>
    <x v="1"/>
    <x v="1"/>
    <x v="855"/>
    <n v="25.4"/>
    <n v="5"/>
    <n v="8.6359999999999992"/>
    <x v="0"/>
    <n v="7"/>
    <x v="5"/>
    <n v="5"/>
    <n v="0"/>
    <n v="34"/>
    <n v="5.08"/>
    <x v="0"/>
    <x v="0"/>
    <x v="0"/>
  </r>
  <r>
    <s v="CA-2013-103107"/>
    <d v="2013-07-05T00:00:00"/>
    <d v="2013-07-05T00:00:00"/>
    <s v="RickBensley@gmail.com"/>
    <x v="1"/>
    <x v="6"/>
    <x v="446"/>
    <n v="177.48"/>
    <n v="3"/>
    <n v="19.9665"/>
    <x v="0"/>
    <n v="7"/>
    <x v="5"/>
    <n v="5"/>
    <n v="0"/>
    <n v="11.25"/>
    <n v="59.16"/>
    <x v="0"/>
    <x v="0"/>
    <x v="0"/>
  </r>
  <r>
    <s v="CA-2013-103107"/>
    <d v="2013-07-05T00:00:00"/>
    <d v="2013-07-05T00:00:00"/>
    <s v="RickBensley@gmail.com"/>
    <x v="1"/>
    <x v="6"/>
    <x v="1069"/>
    <n v="71.975999999999999"/>
    <n v="3"/>
    <n v="8.9969999999999999"/>
    <x v="0"/>
    <n v="7"/>
    <x v="5"/>
    <n v="5"/>
    <n v="0"/>
    <n v="12.5"/>
    <n v="23.992000000000001"/>
    <x v="0"/>
    <x v="0"/>
    <x v="0"/>
  </r>
  <r>
    <s v="CA-2014-112431"/>
    <d v="2014-10-13T00:00:00"/>
    <d v="2014-10-15T00:00:00"/>
    <s v="RobertWaldorf@gmail.com"/>
    <x v="0"/>
    <x v="7"/>
    <x v="424"/>
    <n v="435.84"/>
    <n v="12"/>
    <n v="130.75200000000001"/>
    <x v="3"/>
    <n v="10"/>
    <x v="7"/>
    <n v="13"/>
    <n v="2"/>
    <n v="30"/>
    <n v="36.32"/>
    <x v="0"/>
    <x v="0"/>
    <x v="1"/>
  </r>
  <r>
    <s v="CA-2014-112431"/>
    <d v="2014-10-13T00:00:00"/>
    <d v="2014-10-15T00:00:00"/>
    <s v="RobertWaldorf@gmail.com"/>
    <x v="0"/>
    <x v="2"/>
    <x v="39"/>
    <n v="5.88"/>
    <n v="2"/>
    <n v="1.5875999999999999"/>
    <x v="3"/>
    <n v="10"/>
    <x v="7"/>
    <n v="13"/>
    <n v="2"/>
    <n v="27"/>
    <n v="2.94"/>
    <x v="0"/>
    <x v="0"/>
    <x v="0"/>
  </r>
  <r>
    <s v="CA-2013-151092"/>
    <d v="2013-08-07T00:00:00"/>
    <d v="2013-08-14T00:00:00"/>
    <s v="VivekGonzalez@gmail.com"/>
    <x v="0"/>
    <x v="6"/>
    <x v="965"/>
    <n v="211.16800000000001"/>
    <n v="4"/>
    <n v="18.4772"/>
    <x v="0"/>
    <n v="8"/>
    <x v="3"/>
    <n v="7"/>
    <n v="7"/>
    <n v="8.75"/>
    <n v="52.792000000000002"/>
    <x v="0"/>
    <x v="0"/>
    <x v="0"/>
  </r>
  <r>
    <s v="CA-2011-104178"/>
    <d v="2011-08-25T00:00:00"/>
    <d v="2011-08-29T00:00:00"/>
    <s v="JanetMolinari@gmail.com"/>
    <x v="0"/>
    <x v="1"/>
    <x v="1070"/>
    <n v="6.28"/>
    <n v="1"/>
    <n v="2.6375999999999999"/>
    <x v="1"/>
    <n v="8"/>
    <x v="3"/>
    <n v="25"/>
    <n v="4"/>
    <n v="42"/>
    <n v="6.28"/>
    <x v="0"/>
    <x v="0"/>
    <x v="0"/>
  </r>
  <r>
    <s v="CA-2011-104178"/>
    <d v="2011-08-25T00:00:00"/>
    <d v="2011-08-29T00:00:00"/>
    <s v="JanetMolinari@gmail.com"/>
    <x v="0"/>
    <x v="7"/>
    <x v="1071"/>
    <n v="95.1"/>
    <n v="5"/>
    <n v="30.431999999999999"/>
    <x v="1"/>
    <n v="8"/>
    <x v="3"/>
    <n v="25"/>
    <n v="4"/>
    <n v="32"/>
    <n v="19.02"/>
    <x v="0"/>
    <x v="0"/>
    <x v="0"/>
  </r>
  <r>
    <s v="CA-2011-104178"/>
    <d v="2011-08-25T00:00:00"/>
    <d v="2011-08-29T00:00:00"/>
    <s v="JanetMolinari@gmail.com"/>
    <x v="0"/>
    <x v="8"/>
    <x v="1072"/>
    <n v="25.92"/>
    <n v="4"/>
    <n v="12.441599999999999"/>
    <x v="1"/>
    <n v="8"/>
    <x v="3"/>
    <n v="25"/>
    <n v="4"/>
    <n v="48"/>
    <n v="6.48"/>
    <x v="0"/>
    <x v="0"/>
    <x v="0"/>
  </r>
  <r>
    <s v="CA-2011-104178"/>
    <d v="2011-08-25T00:00:00"/>
    <d v="2011-08-29T00:00:00"/>
    <s v="JanetMolinari@gmail.com"/>
    <x v="0"/>
    <x v="5"/>
    <x v="1073"/>
    <n v="48.84"/>
    <n v="4"/>
    <n v="13.1868"/>
    <x v="1"/>
    <n v="8"/>
    <x v="3"/>
    <n v="25"/>
    <n v="4"/>
    <n v="27"/>
    <n v="12.21"/>
    <x v="0"/>
    <x v="0"/>
    <x v="0"/>
  </r>
  <r>
    <s v="CA-2013-127138"/>
    <d v="2013-03-13T00:00:00"/>
    <d v="2013-03-16T00:00:00"/>
    <s v="DeanKatz@gmail.com"/>
    <x v="3"/>
    <x v="4"/>
    <x v="1074"/>
    <n v="154.9"/>
    <n v="5"/>
    <n v="40.274000000000001"/>
    <x v="0"/>
    <n v="3"/>
    <x v="9"/>
    <n v="13"/>
    <n v="3"/>
    <n v="26"/>
    <n v="30.98"/>
    <x v="0"/>
    <x v="0"/>
    <x v="0"/>
  </r>
  <r>
    <s v="CA-2013-127138"/>
    <d v="2013-03-13T00:00:00"/>
    <d v="2013-03-16T00:00:00"/>
    <s v="DeanKatz@gmail.com"/>
    <x v="3"/>
    <x v="12"/>
    <x v="1075"/>
    <n v="30.56"/>
    <n v="4"/>
    <n v="14.974399999999999"/>
    <x v="0"/>
    <n v="3"/>
    <x v="9"/>
    <n v="13"/>
    <n v="3"/>
    <n v="49"/>
    <n v="7.64"/>
    <x v="0"/>
    <x v="0"/>
    <x v="0"/>
  </r>
  <r>
    <s v="CA-2014-150602"/>
    <d v="2014-02-10T00:00:00"/>
    <d v="2014-02-15T00:00:00"/>
    <s v="MarinaLichtenstein@gmail.com"/>
    <x v="0"/>
    <x v="1"/>
    <x v="874"/>
    <n v="21.12"/>
    <n v="4"/>
    <n v="6.5472000000000001"/>
    <x v="3"/>
    <n v="2"/>
    <x v="11"/>
    <n v="10"/>
    <n v="5"/>
    <n v="31"/>
    <n v="5.28"/>
    <x v="0"/>
    <x v="0"/>
    <x v="0"/>
  </r>
  <r>
    <s v="CA-2011-140732"/>
    <d v="2011-11-11T00:00:00"/>
    <d v="2011-11-13T00:00:00"/>
    <s v="MattAbelman@gmail.com"/>
    <x v="0"/>
    <x v="4"/>
    <x v="983"/>
    <n v="7.78"/>
    <n v="2"/>
    <n v="2.0228000000000002"/>
    <x v="1"/>
    <n v="11"/>
    <x v="6"/>
    <n v="11"/>
    <n v="2"/>
    <n v="26"/>
    <n v="3.89"/>
    <x v="0"/>
    <x v="0"/>
    <x v="0"/>
  </r>
  <r>
    <s v="CA-2011-140732"/>
    <d v="2011-11-11T00:00:00"/>
    <d v="2011-11-13T00:00:00"/>
    <s v="MattAbelman@gmail.com"/>
    <x v="0"/>
    <x v="8"/>
    <x v="244"/>
    <n v="123.92"/>
    <n v="4"/>
    <n v="55.764000000000003"/>
    <x v="1"/>
    <n v="11"/>
    <x v="6"/>
    <n v="11"/>
    <n v="2"/>
    <n v="45"/>
    <n v="30.98"/>
    <x v="0"/>
    <x v="0"/>
    <x v="0"/>
  </r>
  <r>
    <s v="CA-2014-119011"/>
    <d v="2014-08-21T00:00:00"/>
    <d v="2014-08-26T00:00:00"/>
    <s v="LisaRyan@gmail.com"/>
    <x v="3"/>
    <x v="11"/>
    <x v="1076"/>
    <n v="17.22"/>
    <n v="3"/>
    <n v="5.1660000000000004"/>
    <x v="3"/>
    <n v="8"/>
    <x v="3"/>
    <n v="21"/>
    <n v="5"/>
    <n v="30"/>
    <n v="5.7399999999999993"/>
    <x v="0"/>
    <x v="0"/>
    <x v="0"/>
  </r>
  <r>
    <s v="CA-2014-119011"/>
    <d v="2014-08-21T00:00:00"/>
    <d v="2014-08-26T00:00:00"/>
    <s v="LisaRyan@gmail.com"/>
    <x v="3"/>
    <x v="5"/>
    <x v="1077"/>
    <n v="226.56"/>
    <n v="6"/>
    <n v="63.436799999999998"/>
    <x v="3"/>
    <n v="8"/>
    <x v="3"/>
    <n v="21"/>
    <n v="5"/>
    <n v="28"/>
    <n v="37.76"/>
    <x v="0"/>
    <x v="0"/>
    <x v="1"/>
  </r>
  <r>
    <s v="CA-2014-119011"/>
    <d v="2014-08-21T00:00:00"/>
    <d v="2014-08-26T00:00:00"/>
    <s v="LisaRyan@gmail.com"/>
    <x v="3"/>
    <x v="6"/>
    <x v="1078"/>
    <n v="107.88"/>
    <n v="3"/>
    <n v="10.788"/>
    <x v="3"/>
    <n v="8"/>
    <x v="3"/>
    <n v="21"/>
    <n v="5"/>
    <n v="10"/>
    <n v="35.96"/>
    <x v="0"/>
    <x v="0"/>
    <x v="0"/>
  </r>
  <r>
    <s v="CA-2011-141726"/>
    <d v="2011-07-20T00:00:00"/>
    <d v="2011-07-22T00:00:00"/>
    <s v="CharlesCrestani@gmail.com"/>
    <x v="16"/>
    <x v="8"/>
    <x v="1079"/>
    <n v="104.85"/>
    <n v="1"/>
    <n v="50.328000000000003"/>
    <x v="1"/>
    <n v="7"/>
    <x v="5"/>
    <n v="20"/>
    <n v="2"/>
    <n v="48"/>
    <n v="104.85"/>
    <x v="0"/>
    <x v="0"/>
    <x v="0"/>
  </r>
  <r>
    <s v="CA-2011-141726"/>
    <d v="2011-07-20T00:00:00"/>
    <d v="2011-07-22T00:00:00"/>
    <s v="CharlesCrestani@gmail.com"/>
    <x v="16"/>
    <x v="3"/>
    <x v="90"/>
    <n v="8.7040000000000006"/>
    <n v="2"/>
    <n v="3.1551999999999998"/>
    <x v="1"/>
    <n v="7"/>
    <x v="5"/>
    <n v="20"/>
    <n v="2"/>
    <n v="36.25"/>
    <n v="4.3520000000000003"/>
    <x v="0"/>
    <x v="0"/>
    <x v="0"/>
  </r>
  <r>
    <s v="CA-2011-141726"/>
    <d v="2011-07-20T00:00:00"/>
    <d v="2011-07-22T00:00:00"/>
    <s v="CharlesCrestani@gmail.com"/>
    <x v="16"/>
    <x v="8"/>
    <x v="1080"/>
    <n v="19.920000000000002"/>
    <n v="4"/>
    <n v="9.7607999999999997"/>
    <x v="1"/>
    <n v="7"/>
    <x v="5"/>
    <n v="20"/>
    <n v="2"/>
    <n v="49"/>
    <n v="4.9800000000000004"/>
    <x v="0"/>
    <x v="0"/>
    <x v="0"/>
  </r>
  <r>
    <s v="CA-2011-141726"/>
    <d v="2011-07-20T00:00:00"/>
    <d v="2011-07-22T00:00:00"/>
    <s v="CharlesCrestani@gmail.com"/>
    <x v="16"/>
    <x v="1"/>
    <x v="1081"/>
    <n v="43.02"/>
    <n v="3"/>
    <n v="15.4872"/>
    <x v="1"/>
    <n v="7"/>
    <x v="5"/>
    <n v="20"/>
    <n v="2"/>
    <n v="36"/>
    <n v="14.34"/>
    <x v="0"/>
    <x v="0"/>
    <x v="0"/>
  </r>
  <r>
    <s v="US-2014-163300"/>
    <d v="2014-09-16T00:00:00"/>
    <d v="2014-09-22T00:00:00"/>
    <s v="EricaSmith@gmail.com"/>
    <x v="0"/>
    <x v="6"/>
    <x v="965"/>
    <n v="369.54399999999998"/>
    <n v="7"/>
    <n v="32.335099999999997"/>
    <x v="3"/>
    <n v="9"/>
    <x v="8"/>
    <n v="16"/>
    <n v="6"/>
    <n v="8.75"/>
    <n v="52.791999999999987"/>
    <x v="0"/>
    <x v="0"/>
    <x v="1"/>
  </r>
  <r>
    <s v="US-2014-163300"/>
    <d v="2014-09-16T00:00:00"/>
    <d v="2014-09-22T00:00:00"/>
    <s v="EricaSmith@gmail.com"/>
    <x v="0"/>
    <x v="9"/>
    <x v="623"/>
    <n v="184.75200000000001"/>
    <n v="3"/>
    <n v="-20.784600000000001"/>
    <x v="3"/>
    <n v="9"/>
    <x v="8"/>
    <n v="16"/>
    <n v="6"/>
    <n v="-11.25"/>
    <n v="61.584000000000003"/>
    <x v="0"/>
    <x v="1"/>
    <x v="0"/>
  </r>
  <r>
    <s v="US-2011-112991"/>
    <d v="2011-12-10T00:00:00"/>
    <d v="2011-12-14T00:00:00"/>
    <s v="SallyHughsby@gmail.com"/>
    <x v="143"/>
    <x v="9"/>
    <x v="1060"/>
    <n v="338.35199999999998"/>
    <n v="3"/>
    <n v="4.2294"/>
    <x v="1"/>
    <n v="12"/>
    <x v="1"/>
    <n v="10"/>
    <n v="4"/>
    <n v="1.25"/>
    <n v="112.78400000000001"/>
    <x v="0"/>
    <x v="0"/>
    <x v="1"/>
  </r>
  <r>
    <s v="US-2011-112991"/>
    <d v="2011-12-10T00:00:00"/>
    <d v="2011-12-14T00:00:00"/>
    <s v="SallyHughsby@gmail.com"/>
    <x v="143"/>
    <x v="8"/>
    <x v="228"/>
    <n v="25.92"/>
    <n v="4"/>
    <n v="12.441599999999999"/>
    <x v="1"/>
    <n v="12"/>
    <x v="1"/>
    <n v="10"/>
    <n v="4"/>
    <n v="48"/>
    <n v="6.48"/>
    <x v="0"/>
    <x v="0"/>
    <x v="0"/>
  </r>
  <r>
    <s v="US-2011-112991"/>
    <d v="2011-12-10T00:00:00"/>
    <d v="2011-12-14T00:00:00"/>
    <s v="SallyHughsby@gmail.com"/>
    <x v="143"/>
    <x v="8"/>
    <x v="495"/>
    <n v="91.36"/>
    <n v="4"/>
    <n v="42.025599999999997"/>
    <x v="1"/>
    <n v="12"/>
    <x v="1"/>
    <n v="10"/>
    <n v="4"/>
    <n v="46"/>
    <n v="22.84"/>
    <x v="0"/>
    <x v="0"/>
    <x v="0"/>
  </r>
  <r>
    <s v="CA-2011-124079"/>
    <d v="2011-12-13T00:00:00"/>
    <d v="2011-12-17T00:00:00"/>
    <s v="RandyFerguson@gmail.com"/>
    <x v="7"/>
    <x v="1"/>
    <x v="1082"/>
    <n v="87.96"/>
    <n v="3"/>
    <n v="7.6965000000000003"/>
    <x v="1"/>
    <n v="12"/>
    <x v="1"/>
    <n v="13"/>
    <n v="4"/>
    <n v="8.75"/>
    <n v="29.32"/>
    <x v="0"/>
    <x v="0"/>
    <x v="0"/>
  </r>
  <r>
    <s v="CA-2011-124079"/>
    <d v="2011-12-13T00:00:00"/>
    <d v="2011-12-17T00:00:00"/>
    <s v="RandyFerguson@gmail.com"/>
    <x v="7"/>
    <x v="3"/>
    <x v="305"/>
    <n v="5.2140000000000004"/>
    <n v="2"/>
    <n v="-4.1711999999999998"/>
    <x v="1"/>
    <n v="12"/>
    <x v="1"/>
    <n v="13"/>
    <n v="4"/>
    <n v="-80"/>
    <n v="2.6070000000000002"/>
    <x v="0"/>
    <x v="1"/>
    <x v="0"/>
  </r>
  <r>
    <s v="CA-2014-107244"/>
    <d v="2014-09-08T00:00:00"/>
    <d v="2014-09-12T00:00:00"/>
    <s v="AllenGoldenen@gmail.com"/>
    <x v="0"/>
    <x v="1"/>
    <x v="406"/>
    <n v="19.760000000000002"/>
    <n v="4"/>
    <n v="8.2992000000000008"/>
    <x v="3"/>
    <n v="9"/>
    <x v="8"/>
    <n v="8"/>
    <n v="4"/>
    <n v="42"/>
    <n v="4.9400000000000004"/>
    <x v="1"/>
    <x v="0"/>
    <x v="0"/>
  </r>
  <r>
    <s v="CA-2012-135580"/>
    <d v="2012-12-30T00:00:00"/>
    <d v="2013-01-03T00:00:00"/>
    <s v="ClayLudtke@gmail.com"/>
    <x v="0"/>
    <x v="8"/>
    <x v="1083"/>
    <n v="68.52"/>
    <n v="3"/>
    <n v="31.519200000000001"/>
    <x v="2"/>
    <n v="12"/>
    <x v="1"/>
    <n v="30"/>
    <n v="4"/>
    <n v="46"/>
    <n v="22.84"/>
    <x v="0"/>
    <x v="0"/>
    <x v="0"/>
  </r>
  <r>
    <s v="CA-2012-135580"/>
    <d v="2012-12-30T00:00:00"/>
    <d v="2013-01-03T00:00:00"/>
    <s v="ClayLudtke@gmail.com"/>
    <x v="0"/>
    <x v="5"/>
    <x v="337"/>
    <n v="74.94"/>
    <n v="3"/>
    <n v="14.2386"/>
    <x v="2"/>
    <n v="12"/>
    <x v="1"/>
    <n v="30"/>
    <n v="4"/>
    <n v="19"/>
    <n v="24.98"/>
    <x v="0"/>
    <x v="0"/>
    <x v="0"/>
  </r>
  <r>
    <s v="CA-2012-135580"/>
    <d v="2012-12-30T00:00:00"/>
    <d v="2013-01-03T00:00:00"/>
    <s v="ClayLudtke@gmail.com"/>
    <x v="0"/>
    <x v="12"/>
    <x v="877"/>
    <n v="271.44"/>
    <n v="3"/>
    <n v="122.148"/>
    <x v="2"/>
    <n v="12"/>
    <x v="1"/>
    <n v="30"/>
    <n v="4"/>
    <n v="45"/>
    <n v="90.48"/>
    <x v="0"/>
    <x v="0"/>
    <x v="1"/>
  </r>
  <r>
    <s v="CA-2012-135580"/>
    <d v="2012-12-30T00:00:00"/>
    <d v="2013-01-03T00:00:00"/>
    <s v="ClayLudtke@gmail.com"/>
    <x v="0"/>
    <x v="6"/>
    <x v="1084"/>
    <n v="287.88"/>
    <n v="3"/>
    <n v="35.984999999999999"/>
    <x v="2"/>
    <n v="12"/>
    <x v="1"/>
    <n v="30"/>
    <n v="4"/>
    <n v="12.5"/>
    <n v="95.96"/>
    <x v="0"/>
    <x v="0"/>
    <x v="1"/>
  </r>
  <r>
    <s v="CA-2013-159016"/>
    <d v="2013-03-11T00:00:00"/>
    <d v="2013-03-12T00:00:00"/>
    <s v="KarenFerguson@gmail.com"/>
    <x v="0"/>
    <x v="8"/>
    <x v="1085"/>
    <n v="14.9"/>
    <n v="5"/>
    <n v="7.1520000000000001"/>
    <x v="0"/>
    <n v="3"/>
    <x v="9"/>
    <n v="11"/>
    <n v="1"/>
    <n v="48"/>
    <n v="2.98"/>
    <x v="0"/>
    <x v="0"/>
    <x v="0"/>
  </r>
  <r>
    <s v="CA-2011-102652"/>
    <d v="2011-04-06T00:00:00"/>
    <d v="2011-04-12T00:00:00"/>
    <s v="AndyYotov@gmail.com"/>
    <x v="0"/>
    <x v="1"/>
    <x v="1051"/>
    <n v="91.96"/>
    <n v="2"/>
    <n v="15.6332"/>
    <x v="1"/>
    <n v="4"/>
    <x v="10"/>
    <n v="6"/>
    <n v="6"/>
    <n v="17"/>
    <n v="45.98"/>
    <x v="0"/>
    <x v="0"/>
    <x v="0"/>
  </r>
  <r>
    <s v="CA-2011-102652"/>
    <d v="2011-04-06T00:00:00"/>
    <d v="2011-04-12T00:00:00"/>
    <s v="AndyYotov@gmail.com"/>
    <x v="0"/>
    <x v="1"/>
    <x v="78"/>
    <n v="33.11"/>
    <n v="7"/>
    <n v="12.9129"/>
    <x v="1"/>
    <n v="4"/>
    <x v="10"/>
    <n v="6"/>
    <n v="6"/>
    <n v="39"/>
    <n v="4.7300000000000004"/>
    <x v="0"/>
    <x v="0"/>
    <x v="0"/>
  </r>
  <r>
    <s v="CA-2011-102652"/>
    <d v="2011-04-06T00:00:00"/>
    <d v="2011-04-12T00:00:00"/>
    <s v="AndyYotov@gmail.com"/>
    <x v="0"/>
    <x v="8"/>
    <x v="864"/>
    <n v="19.440000000000001"/>
    <n v="3"/>
    <n v="9.3312000000000008"/>
    <x v="1"/>
    <n v="4"/>
    <x v="10"/>
    <n v="6"/>
    <n v="6"/>
    <n v="48"/>
    <n v="6.48"/>
    <x v="0"/>
    <x v="0"/>
    <x v="0"/>
  </r>
  <r>
    <s v="CA-2011-102652"/>
    <d v="2011-04-06T00:00:00"/>
    <d v="2011-04-12T00:00:00"/>
    <s v="AndyYotov@gmail.com"/>
    <x v="0"/>
    <x v="8"/>
    <x v="1086"/>
    <n v="55.48"/>
    <n v="1"/>
    <n v="26.630400000000002"/>
    <x v="1"/>
    <n v="4"/>
    <x v="10"/>
    <n v="6"/>
    <n v="6"/>
    <n v="48"/>
    <n v="55.48"/>
    <x v="0"/>
    <x v="0"/>
    <x v="0"/>
  </r>
  <r>
    <s v="CA-2014-136007"/>
    <d v="2014-02-24T00:00:00"/>
    <d v="2014-03-03T00:00:00"/>
    <s v="AnnChong@gmail.com"/>
    <x v="1"/>
    <x v="10"/>
    <x v="655"/>
    <n v="8.4"/>
    <n v="5"/>
    <n v="0.33600000000000002"/>
    <x v="3"/>
    <n v="2"/>
    <x v="11"/>
    <n v="24"/>
    <n v="7"/>
    <n v="4"/>
    <n v="1.68"/>
    <x v="0"/>
    <x v="0"/>
    <x v="0"/>
  </r>
  <r>
    <s v="CA-2014-136007"/>
    <d v="2014-02-24T00:00:00"/>
    <d v="2014-03-03T00:00:00"/>
    <s v="AnnChong@gmail.com"/>
    <x v="1"/>
    <x v="6"/>
    <x v="670"/>
    <n v="71.959999999999994"/>
    <n v="5"/>
    <n v="25.186"/>
    <x v="3"/>
    <n v="2"/>
    <x v="11"/>
    <n v="24"/>
    <n v="7"/>
    <n v="35"/>
    <n v="14.391999999999999"/>
    <x v="0"/>
    <x v="0"/>
    <x v="0"/>
  </r>
  <r>
    <s v="US-2013-112970"/>
    <d v="2013-11-15T00:00:00"/>
    <d v="2013-11-16T00:00:00"/>
    <s v="TimBrockman@gmail.com"/>
    <x v="0"/>
    <x v="2"/>
    <x v="1024"/>
    <n v="9.84"/>
    <n v="3"/>
    <n v="2.8536000000000001"/>
    <x v="0"/>
    <n v="11"/>
    <x v="6"/>
    <n v="15"/>
    <n v="1"/>
    <n v="29"/>
    <n v="3.28"/>
    <x v="0"/>
    <x v="0"/>
    <x v="0"/>
  </r>
  <r>
    <s v="CA-2012-130253"/>
    <d v="2012-12-14T00:00:00"/>
    <d v="2012-12-18T00:00:00"/>
    <s v="PaulProst@gmail.com"/>
    <x v="0"/>
    <x v="1"/>
    <x v="1087"/>
    <n v="15.24"/>
    <n v="3"/>
    <n v="5.1816000000000004"/>
    <x v="2"/>
    <n v="12"/>
    <x v="1"/>
    <n v="14"/>
    <n v="4"/>
    <n v="34"/>
    <n v="5.08"/>
    <x v="0"/>
    <x v="0"/>
    <x v="0"/>
  </r>
  <r>
    <s v="CA-2014-122364"/>
    <d v="2014-09-25T00:00:00"/>
    <d v="2014-09-30T00:00:00"/>
    <s v="FrankAtkinson@gmail.com"/>
    <x v="0"/>
    <x v="15"/>
    <x v="1088"/>
    <n v="506.28"/>
    <n v="3"/>
    <n v="177.19800000000001"/>
    <x v="3"/>
    <n v="9"/>
    <x v="8"/>
    <n v="25"/>
    <n v="5"/>
    <n v="35"/>
    <n v="168.76"/>
    <x v="0"/>
    <x v="0"/>
    <x v="1"/>
  </r>
  <r>
    <s v="CA-2013-117912"/>
    <d v="2013-02-04T00:00:00"/>
    <d v="2013-02-08T00:00:00"/>
    <s v="TracyBlumstein@gmail.com"/>
    <x v="38"/>
    <x v="1"/>
    <x v="846"/>
    <n v="14.368"/>
    <n v="2"/>
    <n v="3.9512"/>
    <x v="0"/>
    <n v="2"/>
    <x v="11"/>
    <n v="4"/>
    <n v="4"/>
    <n v="27.5"/>
    <n v="7.1840000000000002"/>
    <x v="0"/>
    <x v="0"/>
    <x v="0"/>
  </r>
  <r>
    <s v="CA-2012-113215"/>
    <d v="2012-09-03T00:00:00"/>
    <d v="2012-09-08T00:00:00"/>
    <s v="CathyPrescott@gmail.com"/>
    <x v="24"/>
    <x v="1"/>
    <x v="389"/>
    <n v="238.15199999999999"/>
    <n v="3"/>
    <n v="89.307000000000002"/>
    <x v="2"/>
    <n v="9"/>
    <x v="8"/>
    <n v="3"/>
    <n v="5"/>
    <n v="37.5"/>
    <n v="79.384"/>
    <x v="0"/>
    <x v="0"/>
    <x v="1"/>
  </r>
  <r>
    <s v="CA-2012-111780"/>
    <d v="2012-12-25T00:00:00"/>
    <d v="2012-12-30T00:00:00"/>
    <s v="RalphArnett@gmail.com"/>
    <x v="16"/>
    <x v="8"/>
    <x v="1089"/>
    <n v="12.6"/>
    <n v="3"/>
    <n v="6.1740000000000004"/>
    <x v="2"/>
    <n v="12"/>
    <x v="1"/>
    <n v="25"/>
    <n v="5"/>
    <n v="49"/>
    <n v="4.2"/>
    <x v="0"/>
    <x v="0"/>
    <x v="0"/>
  </r>
  <r>
    <s v="CA-2012-111780"/>
    <d v="2012-12-25T00:00:00"/>
    <d v="2012-12-30T00:00:00"/>
    <s v="RalphArnett@gmail.com"/>
    <x v="16"/>
    <x v="8"/>
    <x v="137"/>
    <n v="17.940000000000001"/>
    <n v="3"/>
    <n v="8.0730000000000004"/>
    <x v="2"/>
    <n v="12"/>
    <x v="1"/>
    <n v="25"/>
    <n v="5"/>
    <n v="45"/>
    <n v="5.98"/>
    <x v="0"/>
    <x v="0"/>
    <x v="0"/>
  </r>
  <r>
    <s v="CA-2014-166695"/>
    <d v="2014-05-21T00:00:00"/>
    <d v="2014-05-25T00:00:00"/>
    <s v="ChuckClark@gmail.com"/>
    <x v="116"/>
    <x v="1"/>
    <x v="1090"/>
    <n v="6.98"/>
    <n v="1"/>
    <n v="3.3504"/>
    <x v="3"/>
    <n v="5"/>
    <x v="2"/>
    <n v="21"/>
    <n v="4"/>
    <n v="48"/>
    <n v="6.98"/>
    <x v="0"/>
    <x v="0"/>
    <x v="0"/>
  </r>
  <r>
    <s v="CA-2014-166695"/>
    <d v="2014-05-21T00:00:00"/>
    <d v="2014-05-25T00:00:00"/>
    <s v="ChuckClark@gmail.com"/>
    <x v="116"/>
    <x v="15"/>
    <x v="1091"/>
    <n v="343.2"/>
    <n v="1"/>
    <n v="38.61"/>
    <x v="3"/>
    <n v="5"/>
    <x v="2"/>
    <n v="21"/>
    <n v="4"/>
    <n v="11.25"/>
    <n v="343.2"/>
    <x v="0"/>
    <x v="0"/>
    <x v="1"/>
  </r>
  <r>
    <s v="CA-2014-121398"/>
    <d v="2014-12-26T00:00:00"/>
    <d v="2014-12-30T00:00:00"/>
    <s v="FredHopkins@gmail.com"/>
    <x v="0"/>
    <x v="3"/>
    <x v="503"/>
    <n v="153.55199999999999"/>
    <n v="3"/>
    <n v="51.823799999999999"/>
    <x v="3"/>
    <n v="12"/>
    <x v="1"/>
    <n v="26"/>
    <n v="4"/>
    <n v="33.75"/>
    <n v="51.183999999999997"/>
    <x v="0"/>
    <x v="0"/>
    <x v="0"/>
  </r>
  <r>
    <s v="CA-2014-121398"/>
    <d v="2014-12-26T00:00:00"/>
    <d v="2014-12-30T00:00:00"/>
    <s v="FredHopkins@gmail.com"/>
    <x v="0"/>
    <x v="5"/>
    <x v="1092"/>
    <n v="270.62"/>
    <n v="2"/>
    <n v="2.7061999999999999"/>
    <x v="3"/>
    <n v="12"/>
    <x v="1"/>
    <n v="26"/>
    <n v="4"/>
    <n v="1"/>
    <n v="135.31"/>
    <x v="0"/>
    <x v="0"/>
    <x v="1"/>
  </r>
  <r>
    <s v="CA-2012-114048"/>
    <d v="2012-12-14T00:00:00"/>
    <d v="2012-12-18T00:00:00"/>
    <s v="EricHoffmann@gmail.com"/>
    <x v="30"/>
    <x v="1"/>
    <x v="50"/>
    <n v="29.22"/>
    <n v="3"/>
    <n v="12.8568"/>
    <x v="2"/>
    <n v="12"/>
    <x v="1"/>
    <n v="14"/>
    <n v="4"/>
    <n v="44"/>
    <n v="9.74"/>
    <x v="0"/>
    <x v="0"/>
    <x v="0"/>
  </r>
  <r>
    <s v="US-2014-162068"/>
    <d v="2014-12-29T00:00:00"/>
    <d v="2015-01-01T00:00:00"/>
    <s v="PamelaCoakley@gmail.com"/>
    <x v="131"/>
    <x v="3"/>
    <x v="818"/>
    <n v="1.1879999999999999"/>
    <n v="2"/>
    <n v="-0.99"/>
    <x v="3"/>
    <n v="12"/>
    <x v="1"/>
    <n v="29"/>
    <n v="3"/>
    <n v="-83.33"/>
    <n v="0.59399999999999997"/>
    <x v="0"/>
    <x v="1"/>
    <x v="0"/>
  </r>
  <r>
    <s v="CA-2013-133802"/>
    <d v="2013-03-15T00:00:00"/>
    <d v="2013-03-21T00:00:00"/>
    <s v="StephaniePhelps@gmail.com"/>
    <x v="144"/>
    <x v="3"/>
    <x v="192"/>
    <n v="41.904000000000003"/>
    <n v="6"/>
    <n v="14.1426"/>
    <x v="0"/>
    <n v="3"/>
    <x v="9"/>
    <n v="15"/>
    <n v="6"/>
    <n v="33.75"/>
    <n v="6.9840000000000009"/>
    <x v="0"/>
    <x v="0"/>
    <x v="0"/>
  </r>
  <r>
    <s v="CA-2014-143378"/>
    <d v="2014-09-20T00:00:00"/>
    <d v="2014-09-26T00:00:00"/>
    <s v="JustinRitter@gmail.com"/>
    <x v="77"/>
    <x v="6"/>
    <x v="811"/>
    <n v="191.976"/>
    <n v="3"/>
    <n v="19.197600000000001"/>
    <x v="3"/>
    <n v="9"/>
    <x v="8"/>
    <n v="20"/>
    <n v="6"/>
    <n v="10"/>
    <n v="63.991999999999997"/>
    <x v="0"/>
    <x v="0"/>
    <x v="0"/>
  </r>
  <r>
    <s v="CA-2014-143378"/>
    <d v="2014-09-20T00:00:00"/>
    <d v="2014-09-26T00:00:00"/>
    <s v="JustinRitter@gmail.com"/>
    <x v="77"/>
    <x v="2"/>
    <x v="1093"/>
    <n v="23.832000000000001"/>
    <n v="3"/>
    <n v="6.5537999999999998"/>
    <x v="3"/>
    <n v="9"/>
    <x v="8"/>
    <n v="20"/>
    <n v="6"/>
    <n v="27.5"/>
    <n v="7.944"/>
    <x v="0"/>
    <x v="0"/>
    <x v="0"/>
  </r>
  <r>
    <s v="CA-2014-143378"/>
    <d v="2014-09-20T00:00:00"/>
    <d v="2014-09-26T00:00:00"/>
    <s v="JustinRitter@gmail.com"/>
    <x v="77"/>
    <x v="1"/>
    <x v="127"/>
    <n v="409.21600000000001"/>
    <n v="8"/>
    <n v="61.382399999999997"/>
    <x v="3"/>
    <n v="9"/>
    <x v="8"/>
    <n v="20"/>
    <n v="6"/>
    <n v="15"/>
    <n v="51.152000000000001"/>
    <x v="0"/>
    <x v="0"/>
    <x v="1"/>
  </r>
  <r>
    <s v="CA-2014-143378"/>
    <d v="2014-09-20T00:00:00"/>
    <d v="2014-09-26T00:00:00"/>
    <s v="JustinRitter@gmail.com"/>
    <x v="77"/>
    <x v="14"/>
    <x v="1008"/>
    <n v="72.587999999999994"/>
    <n v="2"/>
    <n v="-128.2388"/>
    <x v="3"/>
    <n v="9"/>
    <x v="8"/>
    <n v="20"/>
    <n v="6"/>
    <n v="-176.67"/>
    <n v="36.293999999999997"/>
    <x v="0"/>
    <x v="1"/>
    <x v="0"/>
  </r>
  <r>
    <s v="CA-2014-145772"/>
    <d v="2014-06-04T00:00:00"/>
    <d v="2014-06-08T00:00:00"/>
    <s v="SaphhiraShifley@gmail.com"/>
    <x v="0"/>
    <x v="7"/>
    <x v="414"/>
    <n v="44.75"/>
    <n v="5"/>
    <n v="8.5024999999999995"/>
    <x v="3"/>
    <n v="6"/>
    <x v="0"/>
    <n v="4"/>
    <n v="4"/>
    <n v="19"/>
    <n v="8.9499999999999993"/>
    <x v="0"/>
    <x v="0"/>
    <x v="0"/>
  </r>
  <r>
    <s v="CA-2014-145772"/>
    <d v="2014-06-04T00:00:00"/>
    <d v="2014-06-08T00:00:00"/>
    <s v="SaphhiraShifley@gmail.com"/>
    <x v="0"/>
    <x v="8"/>
    <x v="1094"/>
    <n v="11.96"/>
    <n v="2"/>
    <n v="5.3819999999999997"/>
    <x v="3"/>
    <n v="6"/>
    <x v="0"/>
    <n v="4"/>
    <n v="4"/>
    <n v="45"/>
    <n v="5.98"/>
    <x v="0"/>
    <x v="0"/>
    <x v="0"/>
  </r>
  <r>
    <s v="CA-2014-145772"/>
    <d v="2014-06-04T00:00:00"/>
    <d v="2014-06-08T00:00:00"/>
    <s v="SaphhiraShifley@gmail.com"/>
    <x v="0"/>
    <x v="3"/>
    <x v="248"/>
    <n v="3.9119999999999999"/>
    <n v="1"/>
    <n v="1.2714000000000001"/>
    <x v="3"/>
    <n v="6"/>
    <x v="0"/>
    <n v="4"/>
    <n v="4"/>
    <n v="32.5"/>
    <n v="3.9119999999999999"/>
    <x v="0"/>
    <x v="0"/>
    <x v="0"/>
  </r>
  <r>
    <s v="US-2011-158400"/>
    <d v="2011-10-25T00:00:00"/>
    <d v="2011-10-28T00:00:00"/>
    <s v="AaronHawkins@gmail.com"/>
    <x v="3"/>
    <x v="3"/>
    <x v="1067"/>
    <n v="49.408000000000001"/>
    <n v="4"/>
    <n v="18.527999999999999"/>
    <x v="1"/>
    <n v="10"/>
    <x v="7"/>
    <n v="25"/>
    <n v="3"/>
    <n v="37.5"/>
    <n v="12.352"/>
    <x v="0"/>
    <x v="0"/>
    <x v="0"/>
  </r>
  <r>
    <s v="CA-2013-148096"/>
    <d v="2013-08-17T00:00:00"/>
    <d v="2013-08-20T00:00:00"/>
    <s v="AnthonyO'Donnell@gmail.com"/>
    <x v="0"/>
    <x v="13"/>
    <x v="1095"/>
    <n v="161.28"/>
    <n v="2"/>
    <n v="12.096"/>
    <x v="0"/>
    <n v="8"/>
    <x v="3"/>
    <n v="17"/>
    <n v="3"/>
    <n v="7.5"/>
    <n v="80.64"/>
    <x v="1"/>
    <x v="0"/>
    <x v="0"/>
  </r>
  <r>
    <s v="CA-2013-146766"/>
    <d v="2013-11-05T00:00:00"/>
    <d v="2013-11-05T00:00:00"/>
    <s v="ThomasThornton@gmail.com"/>
    <x v="126"/>
    <x v="2"/>
    <x v="361"/>
    <n v="192.8"/>
    <n v="4"/>
    <n v="55.911999999999999"/>
    <x v="0"/>
    <n v="11"/>
    <x v="6"/>
    <n v="5"/>
    <n v="0"/>
    <n v="29"/>
    <n v="48.2"/>
    <x v="0"/>
    <x v="0"/>
    <x v="0"/>
  </r>
  <r>
    <s v="CA-2011-131247"/>
    <d v="2011-03-30T00:00:00"/>
    <d v="2011-04-04T00:00:00"/>
    <s v="GuyArmstrong@gmail.com"/>
    <x v="3"/>
    <x v="14"/>
    <x v="570"/>
    <n v="205.666"/>
    <n v="2"/>
    <n v="-12.098000000000001"/>
    <x v="1"/>
    <n v="3"/>
    <x v="9"/>
    <n v="30"/>
    <n v="5"/>
    <n v="-5.88"/>
    <n v="102.833"/>
    <x v="0"/>
    <x v="1"/>
    <x v="0"/>
  </r>
  <r>
    <s v="US-2012-113593"/>
    <d v="2012-04-18T00:00:00"/>
    <d v="2012-04-20T00:00:00"/>
    <s v="NathanCano@gmail.com"/>
    <x v="145"/>
    <x v="5"/>
    <x v="600"/>
    <n v="115.44"/>
    <n v="3"/>
    <n v="30.014399999999998"/>
    <x v="2"/>
    <n v="4"/>
    <x v="10"/>
    <n v="18"/>
    <n v="2"/>
    <n v="26"/>
    <n v="38.479999999999997"/>
    <x v="1"/>
    <x v="0"/>
    <x v="0"/>
  </r>
  <r>
    <s v="CA-2011-133543"/>
    <d v="2011-12-22T00:00:00"/>
    <d v="2011-12-26T00:00:00"/>
    <s v="KhloeMiller@gmail.com"/>
    <x v="10"/>
    <x v="2"/>
    <x v="154"/>
    <n v="11.76"/>
    <n v="4"/>
    <n v="3.1751999999999998"/>
    <x v="1"/>
    <n v="12"/>
    <x v="1"/>
    <n v="22"/>
    <n v="4"/>
    <n v="27"/>
    <n v="2.94"/>
    <x v="0"/>
    <x v="0"/>
    <x v="0"/>
  </r>
  <r>
    <s v="CA-2014-105130"/>
    <d v="2014-11-22T00:00:00"/>
    <d v="2014-11-26T00:00:00"/>
    <s v="PatrickJones@gmail.com"/>
    <x v="3"/>
    <x v="2"/>
    <x v="154"/>
    <n v="11.76"/>
    <n v="4"/>
    <n v="3.1751999999999998"/>
    <x v="3"/>
    <n v="11"/>
    <x v="6"/>
    <n v="22"/>
    <n v="4"/>
    <n v="27"/>
    <n v="2.94"/>
    <x v="0"/>
    <x v="0"/>
    <x v="0"/>
  </r>
  <r>
    <s v="CA-2014-105130"/>
    <d v="2014-11-22T00:00:00"/>
    <d v="2014-11-26T00:00:00"/>
    <s v="PatrickJones@gmail.com"/>
    <x v="3"/>
    <x v="3"/>
    <x v="605"/>
    <n v="40.735999999999997"/>
    <n v="2"/>
    <n v="14.7668"/>
    <x v="3"/>
    <n v="11"/>
    <x v="6"/>
    <n v="22"/>
    <n v="4"/>
    <n v="36.25"/>
    <n v="20.367999999999999"/>
    <x v="0"/>
    <x v="0"/>
    <x v="0"/>
  </r>
  <r>
    <s v="CA-2013-161928"/>
    <d v="2013-06-28T00:00:00"/>
    <d v="2013-06-30T00:00:00"/>
    <s v="AnnaChung@gmail.com"/>
    <x v="3"/>
    <x v="6"/>
    <x v="796"/>
    <n v="201.584"/>
    <n v="2"/>
    <n v="12.599"/>
    <x v="0"/>
    <n v="6"/>
    <x v="0"/>
    <n v="28"/>
    <n v="2"/>
    <n v="6.25"/>
    <n v="100.792"/>
    <x v="0"/>
    <x v="0"/>
    <x v="0"/>
  </r>
  <r>
    <s v="CA-2014-101322"/>
    <d v="2014-12-29T00:00:00"/>
    <d v="2015-01-01T00:00:00"/>
    <s v="JasonGross@gmail.com"/>
    <x v="21"/>
    <x v="9"/>
    <x v="967"/>
    <n v="340.70400000000001"/>
    <n v="6"/>
    <n v="-34.070399999999999"/>
    <x v="3"/>
    <n v="12"/>
    <x v="1"/>
    <n v="29"/>
    <n v="3"/>
    <n v="-10"/>
    <n v="56.783999999999999"/>
    <x v="0"/>
    <x v="1"/>
    <x v="1"/>
  </r>
  <r>
    <s v="CA-2014-139437"/>
    <d v="2014-07-04T00:00:00"/>
    <d v="2014-07-09T00:00:00"/>
    <s v="RobDowd@gmail.com"/>
    <x v="0"/>
    <x v="5"/>
    <x v="1096"/>
    <n v="87.92"/>
    <n v="4"/>
    <n v="0.87919999999999998"/>
    <x v="3"/>
    <n v="7"/>
    <x v="5"/>
    <n v="4"/>
    <n v="5"/>
    <n v="1"/>
    <n v="21.98"/>
    <x v="0"/>
    <x v="0"/>
    <x v="0"/>
  </r>
  <r>
    <s v="CA-2012-132815"/>
    <d v="2012-09-19T00:00:00"/>
    <d v="2012-09-22T00:00:00"/>
    <s v="RickWilson@gmail.com"/>
    <x v="0"/>
    <x v="8"/>
    <x v="150"/>
    <n v="22.96"/>
    <n v="2"/>
    <n v="11.250400000000001"/>
    <x v="2"/>
    <n v="9"/>
    <x v="8"/>
    <n v="19"/>
    <n v="3"/>
    <n v="49"/>
    <n v="11.48"/>
    <x v="0"/>
    <x v="0"/>
    <x v="0"/>
  </r>
  <r>
    <s v="CA-2013-143609"/>
    <d v="2013-12-12T00:00:00"/>
    <d v="2013-12-14T00:00:00"/>
    <s v="DeborahBrumfield@gmail.com"/>
    <x v="5"/>
    <x v="9"/>
    <x v="491"/>
    <n v="403.92"/>
    <n v="5"/>
    <n v="25.245000000000001"/>
    <x v="0"/>
    <n v="12"/>
    <x v="1"/>
    <n v="12"/>
    <n v="2"/>
    <n v="6.25"/>
    <n v="80.784000000000006"/>
    <x v="0"/>
    <x v="0"/>
    <x v="1"/>
  </r>
  <r>
    <s v="CA-2014-107986"/>
    <d v="2014-12-14T00:00:00"/>
    <d v="2014-12-14T00:00:00"/>
    <s v="MitchWebber@gmail.com"/>
    <x v="1"/>
    <x v="5"/>
    <x v="142"/>
    <n v="31.44"/>
    <n v="3"/>
    <n v="8.4887999999999995"/>
    <x v="3"/>
    <n v="12"/>
    <x v="1"/>
    <n v="14"/>
    <n v="0"/>
    <n v="27"/>
    <n v="10.48"/>
    <x v="0"/>
    <x v="0"/>
    <x v="0"/>
  </r>
  <r>
    <s v="CA-2014-119809"/>
    <d v="2014-08-19T00:00:00"/>
    <d v="2014-08-26T00:00:00"/>
    <s v="YanaSorensen@gmail.com"/>
    <x v="1"/>
    <x v="1"/>
    <x v="592"/>
    <n v="65.94"/>
    <n v="3"/>
    <n v="22.419599999999999"/>
    <x v="3"/>
    <n v="8"/>
    <x v="3"/>
    <n v="19"/>
    <n v="7"/>
    <n v="34"/>
    <n v="21.98"/>
    <x v="0"/>
    <x v="0"/>
    <x v="0"/>
  </r>
  <r>
    <s v="CA-2014-149944"/>
    <d v="2014-11-13T00:00:00"/>
    <d v="2014-11-17T00:00:00"/>
    <s v="MariaBertelson@gmail.com"/>
    <x v="146"/>
    <x v="10"/>
    <x v="50"/>
    <n v="18.239999999999998"/>
    <n v="3"/>
    <n v="9.1199999999999992"/>
    <x v="3"/>
    <n v="11"/>
    <x v="6"/>
    <n v="13"/>
    <n v="4"/>
    <n v="50"/>
    <n v="6.0799999999999992"/>
    <x v="0"/>
    <x v="0"/>
    <x v="0"/>
  </r>
  <r>
    <s v="CA-2014-149944"/>
    <d v="2014-11-13T00:00:00"/>
    <d v="2014-11-17T00:00:00"/>
    <s v="MariaBertelson@gmail.com"/>
    <x v="146"/>
    <x v="4"/>
    <x v="165"/>
    <n v="76.12"/>
    <n v="2"/>
    <n v="22.0748"/>
    <x v="3"/>
    <n v="11"/>
    <x v="6"/>
    <n v="13"/>
    <n v="4"/>
    <n v="29"/>
    <n v="38.06"/>
    <x v="0"/>
    <x v="0"/>
    <x v="0"/>
  </r>
  <r>
    <s v="CA-2011-128538"/>
    <d v="2011-10-11T00:00:00"/>
    <d v="2011-10-15T00:00:00"/>
    <s v="AlanShonely@gmail.com"/>
    <x v="103"/>
    <x v="12"/>
    <x v="293"/>
    <n v="7.64"/>
    <n v="1"/>
    <n v="3.7435999999999998"/>
    <x v="1"/>
    <n v="10"/>
    <x v="7"/>
    <n v="11"/>
    <n v="4"/>
    <n v="49"/>
    <n v="7.64"/>
    <x v="0"/>
    <x v="0"/>
    <x v="0"/>
  </r>
  <r>
    <s v="US-2014-157224"/>
    <d v="2014-09-15T00:00:00"/>
    <d v="2014-09-19T00:00:00"/>
    <s v="JoyBell-@gmail.com"/>
    <x v="0"/>
    <x v="0"/>
    <x v="1097"/>
    <n v="56.7"/>
    <n v="9"/>
    <n v="26.082000000000001"/>
    <x v="3"/>
    <n v="9"/>
    <x v="8"/>
    <n v="15"/>
    <n v="4"/>
    <n v="46"/>
    <n v="6.3000000000000007"/>
    <x v="0"/>
    <x v="0"/>
    <x v="0"/>
  </r>
  <r>
    <s v="CA-2012-133445"/>
    <d v="2012-10-05T00:00:00"/>
    <d v="2012-10-09T00:00:00"/>
    <s v="JeremyFarry@gmail.com"/>
    <x v="5"/>
    <x v="14"/>
    <x v="1098"/>
    <n v="66.293999999999997"/>
    <n v="1"/>
    <n v="-103.86060000000001"/>
    <x v="2"/>
    <n v="10"/>
    <x v="7"/>
    <n v="5"/>
    <n v="4"/>
    <n v="-156.66999999999999"/>
    <n v="66.293999999999997"/>
    <x v="0"/>
    <x v="1"/>
    <x v="0"/>
  </r>
  <r>
    <s v="CA-2012-133445"/>
    <d v="2012-10-05T00:00:00"/>
    <d v="2012-10-09T00:00:00"/>
    <s v="JeremyFarry@gmail.com"/>
    <x v="5"/>
    <x v="9"/>
    <x v="1099"/>
    <n v="291.16800000000001"/>
    <n v="4"/>
    <n v="-14.558400000000001"/>
    <x v="2"/>
    <n v="10"/>
    <x v="7"/>
    <n v="5"/>
    <n v="4"/>
    <n v="-5"/>
    <n v="72.792000000000002"/>
    <x v="0"/>
    <x v="1"/>
    <x v="1"/>
  </r>
  <r>
    <s v="US-2014-142188"/>
    <d v="2014-09-12T00:00:00"/>
    <d v="2014-09-12T00:00:00"/>
    <s v="JenniferFerguson@gmail.com"/>
    <x v="1"/>
    <x v="9"/>
    <x v="1100"/>
    <n v="177.56800000000001"/>
    <n v="2"/>
    <n v="8.8783999999999992"/>
    <x v="3"/>
    <n v="9"/>
    <x v="8"/>
    <n v="12"/>
    <n v="0"/>
    <n v="5"/>
    <n v="88.784000000000006"/>
    <x v="0"/>
    <x v="0"/>
    <x v="0"/>
  </r>
  <r>
    <s v="US-2014-142188"/>
    <d v="2014-09-12T00:00:00"/>
    <d v="2014-09-12T00:00:00"/>
    <s v="JenniferFerguson@gmail.com"/>
    <x v="1"/>
    <x v="8"/>
    <x v="163"/>
    <n v="19.440000000000001"/>
    <n v="3"/>
    <n v="9.3312000000000008"/>
    <x v="3"/>
    <n v="9"/>
    <x v="8"/>
    <n v="12"/>
    <n v="0"/>
    <n v="48"/>
    <n v="6.48"/>
    <x v="0"/>
    <x v="0"/>
    <x v="0"/>
  </r>
  <r>
    <s v="US-2014-142188"/>
    <d v="2014-09-12T00:00:00"/>
    <d v="2014-09-12T00:00:00"/>
    <s v="JenniferFerguson@gmail.com"/>
    <x v="1"/>
    <x v="8"/>
    <x v="164"/>
    <n v="71.28"/>
    <n v="11"/>
    <n v="34.214399999999998"/>
    <x v="3"/>
    <n v="9"/>
    <x v="8"/>
    <n v="12"/>
    <n v="0"/>
    <n v="48"/>
    <n v="6.48"/>
    <x v="0"/>
    <x v="0"/>
    <x v="0"/>
  </r>
  <r>
    <s v="US-2014-142188"/>
    <d v="2014-09-12T00:00:00"/>
    <d v="2014-09-12T00:00:00"/>
    <s v="JenniferFerguson@gmail.com"/>
    <x v="1"/>
    <x v="6"/>
    <x v="1101"/>
    <n v="79.959999999999994"/>
    <n v="5"/>
    <n v="-17.991"/>
    <x v="3"/>
    <n v="9"/>
    <x v="8"/>
    <n v="12"/>
    <n v="0"/>
    <n v="-22.5"/>
    <n v="15.992000000000001"/>
    <x v="0"/>
    <x v="1"/>
    <x v="0"/>
  </r>
  <r>
    <s v="CA-2012-134075"/>
    <d v="2012-12-12T00:00:00"/>
    <d v="2012-12-16T00:00:00"/>
    <s v="HelenAbelman@gmail.com"/>
    <x v="10"/>
    <x v="1"/>
    <x v="1102"/>
    <n v="166.5"/>
    <n v="3"/>
    <n v="21.645"/>
    <x v="2"/>
    <n v="12"/>
    <x v="1"/>
    <n v="12"/>
    <n v="4"/>
    <n v="13"/>
    <n v="55.5"/>
    <x v="0"/>
    <x v="0"/>
    <x v="0"/>
  </r>
  <r>
    <s v="CA-2012-134075"/>
    <d v="2012-12-12T00:00:00"/>
    <d v="2012-12-16T00:00:00"/>
    <s v="HelenAbelman@gmail.com"/>
    <x v="10"/>
    <x v="5"/>
    <x v="1103"/>
    <n v="360.38"/>
    <n v="2"/>
    <n v="93.698800000000006"/>
    <x v="2"/>
    <n v="12"/>
    <x v="1"/>
    <n v="12"/>
    <n v="4"/>
    <n v="26"/>
    <n v="180.19"/>
    <x v="0"/>
    <x v="0"/>
    <x v="1"/>
  </r>
  <r>
    <s v="US-2013-131912"/>
    <d v="2013-10-30T00:00:00"/>
    <d v="2013-11-02T00:00:00"/>
    <s v="LoganHaushalter@gmail.com"/>
    <x v="0"/>
    <x v="3"/>
    <x v="1104"/>
    <n v="11.744"/>
    <n v="1"/>
    <n v="3.8168000000000002"/>
    <x v="0"/>
    <n v="10"/>
    <x v="7"/>
    <n v="30"/>
    <n v="3"/>
    <n v="32.5"/>
    <n v="11.744"/>
    <x v="0"/>
    <x v="0"/>
    <x v="0"/>
  </r>
  <r>
    <s v="CA-2013-165561"/>
    <d v="2013-11-25T00:00:00"/>
    <d v="2013-11-29T00:00:00"/>
    <s v="ClayRozendal@gmail.com"/>
    <x v="67"/>
    <x v="11"/>
    <x v="751"/>
    <n v="25.35"/>
    <n v="3"/>
    <n v="7.6050000000000004"/>
    <x v="0"/>
    <n v="11"/>
    <x v="6"/>
    <n v="25"/>
    <n v="4"/>
    <n v="30"/>
    <n v="8.4500000000000011"/>
    <x v="0"/>
    <x v="0"/>
    <x v="0"/>
  </r>
  <r>
    <s v="CA-2012-112305"/>
    <d v="2012-11-20T00:00:00"/>
    <d v="2012-11-25T00:00:00"/>
    <s v="KatrinaBavinger@gmail.com"/>
    <x v="1"/>
    <x v="2"/>
    <x v="433"/>
    <n v="119.04"/>
    <n v="6"/>
    <n v="30.950399999999998"/>
    <x v="2"/>
    <n v="11"/>
    <x v="6"/>
    <n v="20"/>
    <n v="5"/>
    <n v="26"/>
    <n v="19.84"/>
    <x v="0"/>
    <x v="0"/>
    <x v="0"/>
  </r>
  <r>
    <s v="CA-2012-112305"/>
    <d v="2012-11-20T00:00:00"/>
    <d v="2012-11-25T00:00:00"/>
    <s v="KatrinaBavinger@gmail.com"/>
    <x v="1"/>
    <x v="1"/>
    <x v="798"/>
    <n v="22.14"/>
    <n v="3"/>
    <n v="6.4206000000000003"/>
    <x v="2"/>
    <n v="11"/>
    <x v="6"/>
    <n v="20"/>
    <n v="5"/>
    <n v="29"/>
    <n v="7.38"/>
    <x v="0"/>
    <x v="0"/>
    <x v="0"/>
  </r>
  <r>
    <s v="CA-2012-112305"/>
    <d v="2012-11-20T00:00:00"/>
    <d v="2012-11-25T00:00:00"/>
    <s v="KatrinaBavinger@gmail.com"/>
    <x v="1"/>
    <x v="7"/>
    <x v="1105"/>
    <n v="13.98"/>
    <n v="2"/>
    <n v="6.0114000000000001"/>
    <x v="2"/>
    <n v="11"/>
    <x v="6"/>
    <n v="20"/>
    <n v="5"/>
    <n v="43"/>
    <n v="6.99"/>
    <x v="0"/>
    <x v="0"/>
    <x v="0"/>
  </r>
  <r>
    <s v="CA-2012-162607"/>
    <d v="2012-05-12T00:00:00"/>
    <d v="2012-05-18T00:00:00"/>
    <s v="RoseO'Brian@gmail.com"/>
    <x v="1"/>
    <x v="3"/>
    <x v="339"/>
    <n v="14.592000000000001"/>
    <n v="3"/>
    <n v="4.9248000000000003"/>
    <x v="2"/>
    <n v="5"/>
    <x v="2"/>
    <n v="12"/>
    <n v="6"/>
    <n v="33.75"/>
    <n v="4.8639999999999999"/>
    <x v="0"/>
    <x v="0"/>
    <x v="0"/>
  </r>
  <r>
    <s v="CA-2014-102379"/>
    <d v="2014-12-03T00:00:00"/>
    <d v="2014-12-07T00:00:00"/>
    <s v="BrendaBowman@gmail.com"/>
    <x v="52"/>
    <x v="6"/>
    <x v="1106"/>
    <n v="39.991999999999997"/>
    <n v="1"/>
    <n v="-7.9984000000000002"/>
    <x v="3"/>
    <n v="12"/>
    <x v="1"/>
    <n v="3"/>
    <n v="4"/>
    <n v="-20"/>
    <n v="39.991999999999997"/>
    <x v="0"/>
    <x v="1"/>
    <x v="0"/>
  </r>
  <r>
    <s v="CA-2014-102379"/>
    <d v="2014-12-03T00:00:00"/>
    <d v="2014-12-07T00:00:00"/>
    <s v="BrendaBowman@gmail.com"/>
    <x v="52"/>
    <x v="2"/>
    <x v="1107"/>
    <n v="179.9"/>
    <n v="5"/>
    <n v="44.975000000000001"/>
    <x v="3"/>
    <n v="12"/>
    <x v="1"/>
    <n v="3"/>
    <n v="4"/>
    <n v="25"/>
    <n v="35.979999999999997"/>
    <x v="0"/>
    <x v="0"/>
    <x v="0"/>
  </r>
  <r>
    <s v="US-2013-139087"/>
    <d v="2013-07-18T00:00:00"/>
    <d v="2013-07-23T00:00:00"/>
    <s v="DennisKane@gmail.com"/>
    <x v="1"/>
    <x v="1"/>
    <x v="1108"/>
    <n v="12.42"/>
    <n v="3"/>
    <n v="4.4711999999999996"/>
    <x v="0"/>
    <n v="7"/>
    <x v="5"/>
    <n v="18"/>
    <n v="5"/>
    <n v="36"/>
    <n v="4.1399999999999997"/>
    <x v="0"/>
    <x v="0"/>
    <x v="0"/>
  </r>
  <r>
    <s v="US-2013-139087"/>
    <d v="2013-07-18T00:00:00"/>
    <d v="2013-07-23T00:00:00"/>
    <s v="DennisKane@gmail.com"/>
    <x v="1"/>
    <x v="7"/>
    <x v="1109"/>
    <n v="428.4"/>
    <n v="3"/>
    <n v="89.963999999999999"/>
    <x v="0"/>
    <n v="7"/>
    <x v="5"/>
    <n v="18"/>
    <n v="5"/>
    <n v="21"/>
    <n v="142.80000000000001"/>
    <x v="0"/>
    <x v="0"/>
    <x v="1"/>
  </r>
  <r>
    <s v="US-2013-139087"/>
    <d v="2013-07-18T00:00:00"/>
    <d v="2013-07-23T00:00:00"/>
    <s v="DennisKane@gmail.com"/>
    <x v="1"/>
    <x v="1"/>
    <x v="777"/>
    <n v="24.75"/>
    <n v="5"/>
    <n v="10.89"/>
    <x v="0"/>
    <n v="7"/>
    <x v="5"/>
    <n v="18"/>
    <n v="5"/>
    <n v="44"/>
    <n v="4.95"/>
    <x v="0"/>
    <x v="0"/>
    <x v="0"/>
  </r>
  <r>
    <s v="US-2013-139087"/>
    <d v="2013-07-18T00:00:00"/>
    <d v="2013-07-23T00:00:00"/>
    <s v="DennisKane@gmail.com"/>
    <x v="1"/>
    <x v="0"/>
    <x v="1110"/>
    <n v="87.71"/>
    <n v="7"/>
    <n v="41.223700000000001"/>
    <x v="0"/>
    <n v="7"/>
    <x v="5"/>
    <n v="18"/>
    <n v="5"/>
    <n v="47"/>
    <n v="12.53"/>
    <x v="0"/>
    <x v="0"/>
    <x v="0"/>
  </r>
  <r>
    <s v="US-2013-139087"/>
    <d v="2013-07-18T00:00:00"/>
    <d v="2013-07-23T00:00:00"/>
    <s v="DennisKane@gmail.com"/>
    <x v="1"/>
    <x v="5"/>
    <x v="403"/>
    <n v="69.52"/>
    <n v="2"/>
    <n v="17.38"/>
    <x v="0"/>
    <n v="7"/>
    <x v="5"/>
    <n v="18"/>
    <n v="5"/>
    <n v="25"/>
    <n v="34.76"/>
    <x v="0"/>
    <x v="0"/>
    <x v="0"/>
  </r>
  <r>
    <s v="US-2013-139087"/>
    <d v="2013-07-18T00:00:00"/>
    <d v="2013-07-23T00:00:00"/>
    <s v="DennisKane@gmail.com"/>
    <x v="1"/>
    <x v="6"/>
    <x v="1111"/>
    <n v="20.783999999999999"/>
    <n v="2"/>
    <n v="-4.6764000000000001"/>
    <x v="0"/>
    <n v="7"/>
    <x v="5"/>
    <n v="18"/>
    <n v="5"/>
    <n v="-22.5"/>
    <n v="10.391999999999999"/>
    <x v="0"/>
    <x v="1"/>
    <x v="0"/>
  </r>
  <r>
    <s v="US-2013-139087"/>
    <d v="2013-07-18T00:00:00"/>
    <d v="2013-07-23T00:00:00"/>
    <s v="DennisKane@gmail.com"/>
    <x v="1"/>
    <x v="3"/>
    <x v="326"/>
    <n v="12.816000000000001"/>
    <n v="3"/>
    <n v="4.1651999999999996"/>
    <x v="0"/>
    <n v="7"/>
    <x v="5"/>
    <n v="18"/>
    <n v="5"/>
    <n v="32.5"/>
    <n v="4.2720000000000002"/>
    <x v="0"/>
    <x v="0"/>
    <x v="0"/>
  </r>
  <r>
    <s v="CA-2013-100944"/>
    <d v="2013-09-25T00:00:00"/>
    <d v="2013-09-29T00:00:00"/>
    <s v="EdwardHooks@gmail.com"/>
    <x v="0"/>
    <x v="12"/>
    <x v="907"/>
    <n v="304.89999999999998"/>
    <n v="5"/>
    <n v="143.303"/>
    <x v="0"/>
    <n v="9"/>
    <x v="8"/>
    <n v="25"/>
    <n v="4"/>
    <n v="47"/>
    <n v="60.98"/>
    <x v="0"/>
    <x v="0"/>
    <x v="1"/>
  </r>
  <r>
    <s v="CA-2011-100090"/>
    <d v="2011-07-08T00:00:00"/>
    <d v="2011-07-12T00:00:00"/>
    <s v="EdBraxton@gmail.com"/>
    <x v="3"/>
    <x v="13"/>
    <x v="1112"/>
    <n v="502.488"/>
    <n v="3"/>
    <n v="-87.935400000000001"/>
    <x v="1"/>
    <n v="7"/>
    <x v="5"/>
    <n v="8"/>
    <n v="4"/>
    <n v="-17.5"/>
    <n v="167.49600000000001"/>
    <x v="0"/>
    <x v="1"/>
    <x v="1"/>
  </r>
  <r>
    <s v="CA-2011-100090"/>
    <d v="2011-07-08T00:00:00"/>
    <d v="2011-07-12T00:00:00"/>
    <s v="EdBraxton@gmail.com"/>
    <x v="3"/>
    <x v="3"/>
    <x v="257"/>
    <n v="196.70400000000001"/>
    <n v="6"/>
    <n v="68.846400000000003"/>
    <x v="1"/>
    <n v="7"/>
    <x v="5"/>
    <n v="8"/>
    <n v="4"/>
    <n v="35"/>
    <n v="32.783999999999999"/>
    <x v="0"/>
    <x v="0"/>
    <x v="0"/>
  </r>
  <r>
    <s v="US-2012-139675"/>
    <d v="2012-03-13T00:00:00"/>
    <d v="2012-03-18T00:00:00"/>
    <s v="NicoleFjeld@gmail.com"/>
    <x v="142"/>
    <x v="1"/>
    <x v="167"/>
    <n v="327.76"/>
    <n v="8"/>
    <n v="91.772800000000004"/>
    <x v="2"/>
    <n v="3"/>
    <x v="9"/>
    <n v="13"/>
    <n v="5"/>
    <n v="28"/>
    <n v="40.97"/>
    <x v="0"/>
    <x v="0"/>
    <x v="1"/>
  </r>
  <r>
    <s v="CA-2012-151253"/>
    <d v="2012-04-22T00:00:00"/>
    <d v="2012-04-26T00:00:00"/>
    <s v="AnnieZypern@gmail.com"/>
    <x v="0"/>
    <x v="6"/>
    <x v="236"/>
    <n v="88.775999999999996"/>
    <n v="3"/>
    <n v="7.7679"/>
    <x v="2"/>
    <n v="4"/>
    <x v="10"/>
    <n v="22"/>
    <n v="4"/>
    <n v="8.75"/>
    <n v="29.591999999999999"/>
    <x v="0"/>
    <x v="0"/>
    <x v="0"/>
  </r>
  <r>
    <s v="CA-2012-151253"/>
    <d v="2012-04-22T00:00:00"/>
    <d v="2012-04-26T00:00:00"/>
    <s v="AnnieZypern@gmail.com"/>
    <x v="0"/>
    <x v="2"/>
    <x v="1113"/>
    <n v="64.14"/>
    <n v="3"/>
    <n v="16.676400000000001"/>
    <x v="2"/>
    <n v="4"/>
    <x v="10"/>
    <n v="22"/>
    <n v="4"/>
    <n v="26"/>
    <n v="21.38"/>
    <x v="0"/>
    <x v="0"/>
    <x v="0"/>
  </r>
  <r>
    <s v="CA-2011-169852"/>
    <d v="2011-10-21T00:00:00"/>
    <d v="2011-10-26T00:00:00"/>
    <s v="SylviaFoulston@gmail.com"/>
    <x v="16"/>
    <x v="3"/>
    <x v="1114"/>
    <n v="36.36"/>
    <n v="3"/>
    <n v="12.2715"/>
    <x v="1"/>
    <n v="10"/>
    <x v="7"/>
    <n v="21"/>
    <n v="5"/>
    <n v="33.75"/>
    <n v="12.12"/>
    <x v="0"/>
    <x v="0"/>
    <x v="0"/>
  </r>
  <r>
    <s v="CA-2014-107314"/>
    <d v="2014-12-01T00:00:00"/>
    <d v="2014-12-04T00:00:00"/>
    <s v="MariaZettner@gmail.com"/>
    <x v="3"/>
    <x v="1"/>
    <x v="1115"/>
    <n v="25.83"/>
    <n v="3"/>
    <n v="9.5571000000000002"/>
    <x v="3"/>
    <n v="12"/>
    <x v="1"/>
    <n v="1"/>
    <n v="3"/>
    <n v="37"/>
    <n v="8.61"/>
    <x v="0"/>
    <x v="0"/>
    <x v="0"/>
  </r>
  <r>
    <s v="CA-2013-163328"/>
    <d v="2013-11-05T00:00:00"/>
    <d v="2013-11-07T00:00:00"/>
    <s v="TracyPoddar@gmail.com"/>
    <x v="147"/>
    <x v="11"/>
    <x v="775"/>
    <n v="17.584"/>
    <n v="7"/>
    <n v="-4.1761999999999997"/>
    <x v="0"/>
    <n v="11"/>
    <x v="6"/>
    <n v="5"/>
    <n v="2"/>
    <n v="-23.75"/>
    <n v="2.512"/>
    <x v="0"/>
    <x v="1"/>
    <x v="0"/>
  </r>
  <r>
    <s v="CA-2013-163328"/>
    <d v="2013-11-05T00:00:00"/>
    <d v="2013-11-07T00:00:00"/>
    <s v="TracyPoddar@gmail.com"/>
    <x v="147"/>
    <x v="9"/>
    <x v="1116"/>
    <n v="104.78400000000001"/>
    <n v="1"/>
    <n v="-14.4078"/>
    <x v="0"/>
    <n v="11"/>
    <x v="6"/>
    <n v="5"/>
    <n v="2"/>
    <n v="-13.75"/>
    <n v="104.78400000000001"/>
    <x v="0"/>
    <x v="1"/>
    <x v="0"/>
  </r>
  <r>
    <s v="CA-2013-163328"/>
    <d v="2013-11-05T00:00:00"/>
    <d v="2013-11-07T00:00:00"/>
    <s v="TracyPoddar@gmail.com"/>
    <x v="147"/>
    <x v="8"/>
    <x v="1117"/>
    <n v="47.951999999999998"/>
    <n v="3"/>
    <n v="16.783200000000001"/>
    <x v="0"/>
    <n v="11"/>
    <x v="6"/>
    <n v="5"/>
    <n v="2"/>
    <n v="35"/>
    <n v="15.984"/>
    <x v="0"/>
    <x v="0"/>
    <x v="0"/>
  </r>
  <r>
    <s v="CA-2013-163328"/>
    <d v="2013-11-05T00:00:00"/>
    <d v="2013-11-07T00:00:00"/>
    <s v="TracyPoddar@gmail.com"/>
    <x v="147"/>
    <x v="8"/>
    <x v="405"/>
    <n v="15.176"/>
    <n v="1"/>
    <n v="5.3116000000000003"/>
    <x v="0"/>
    <n v="11"/>
    <x v="6"/>
    <n v="5"/>
    <n v="2"/>
    <n v="35"/>
    <n v="15.176"/>
    <x v="0"/>
    <x v="0"/>
    <x v="0"/>
  </r>
  <r>
    <s v="CA-2011-112837"/>
    <d v="2011-09-11T00:00:00"/>
    <d v="2011-09-16T00:00:00"/>
    <s v="LizWillingham@gmail.com"/>
    <x v="148"/>
    <x v="1"/>
    <x v="26"/>
    <n v="127.95"/>
    <n v="3"/>
    <n v="21.7515"/>
    <x v="1"/>
    <n v="9"/>
    <x v="8"/>
    <n v="11"/>
    <n v="5"/>
    <n v="17"/>
    <n v="42.65"/>
    <x v="1"/>
    <x v="0"/>
    <x v="0"/>
  </r>
  <r>
    <s v="CA-2014-161459"/>
    <d v="2014-11-26T00:00:00"/>
    <d v="2014-11-30T00:00:00"/>
    <s v="EdwardBecker@gmail.com"/>
    <x v="66"/>
    <x v="6"/>
    <x v="834"/>
    <n v="39.96"/>
    <n v="5"/>
    <n v="3.4965000000000002"/>
    <x v="3"/>
    <n v="11"/>
    <x v="6"/>
    <n v="26"/>
    <n v="4"/>
    <n v="8.75"/>
    <n v="7.992"/>
    <x v="0"/>
    <x v="0"/>
    <x v="0"/>
  </r>
  <r>
    <s v="CA-2014-161459"/>
    <d v="2014-11-26T00:00:00"/>
    <d v="2014-11-30T00:00:00"/>
    <s v="EdwardBecker@gmail.com"/>
    <x v="66"/>
    <x v="8"/>
    <x v="385"/>
    <n v="34.08"/>
    <n v="6"/>
    <n v="15.336"/>
    <x v="3"/>
    <n v="11"/>
    <x v="6"/>
    <n v="26"/>
    <n v="4"/>
    <n v="45"/>
    <n v="5.68"/>
    <x v="0"/>
    <x v="0"/>
    <x v="0"/>
  </r>
  <r>
    <s v="CA-2012-110289"/>
    <d v="2012-10-29T00:00:00"/>
    <d v="2012-11-02T00:00:00"/>
    <s v="NonaBalk@gmail.com"/>
    <x v="3"/>
    <x v="8"/>
    <x v="307"/>
    <n v="33.4"/>
    <n v="5"/>
    <n v="16.032"/>
    <x v="2"/>
    <n v="10"/>
    <x v="7"/>
    <n v="29"/>
    <n v="4"/>
    <n v="48"/>
    <n v="6.68"/>
    <x v="0"/>
    <x v="0"/>
    <x v="0"/>
  </r>
  <r>
    <s v="CA-2012-110289"/>
    <d v="2012-10-29T00:00:00"/>
    <d v="2012-11-02T00:00:00"/>
    <s v="NonaBalk@gmail.com"/>
    <x v="3"/>
    <x v="12"/>
    <x v="970"/>
    <n v="210.84"/>
    <n v="4"/>
    <n v="103.3116"/>
    <x v="2"/>
    <n v="10"/>
    <x v="7"/>
    <n v="29"/>
    <n v="4"/>
    <n v="49"/>
    <n v="52.71"/>
    <x v="0"/>
    <x v="0"/>
    <x v="0"/>
  </r>
  <r>
    <s v="CA-2013-165995"/>
    <d v="2013-08-31T00:00:00"/>
    <d v="2013-09-07T00:00:00"/>
    <s v="BruceGeld@gmail.com"/>
    <x v="0"/>
    <x v="1"/>
    <x v="813"/>
    <n v="47.04"/>
    <n v="4"/>
    <n v="15.993600000000001"/>
    <x v="0"/>
    <n v="8"/>
    <x v="3"/>
    <n v="31"/>
    <n v="7"/>
    <n v="34"/>
    <n v="11.76"/>
    <x v="0"/>
    <x v="0"/>
    <x v="0"/>
  </r>
  <r>
    <s v="CA-2013-165995"/>
    <d v="2013-08-31T00:00:00"/>
    <d v="2013-09-07T00:00:00"/>
    <s v="BruceGeld@gmail.com"/>
    <x v="0"/>
    <x v="6"/>
    <x v="1118"/>
    <n v="339.96"/>
    <n v="5"/>
    <n v="42.494999999999997"/>
    <x v="0"/>
    <n v="8"/>
    <x v="3"/>
    <n v="31"/>
    <n v="7"/>
    <n v="12.5"/>
    <n v="67.99199999999999"/>
    <x v="0"/>
    <x v="0"/>
    <x v="1"/>
  </r>
  <r>
    <s v="CA-2012-104486"/>
    <d v="2012-05-01T00:00:00"/>
    <d v="2012-05-06T00:00:00"/>
    <s v="PatrickO'Brill@gmail.com"/>
    <x v="3"/>
    <x v="3"/>
    <x v="1119"/>
    <n v="12.176"/>
    <n v="1"/>
    <n v="4.4138000000000002"/>
    <x v="2"/>
    <n v="5"/>
    <x v="2"/>
    <n v="1"/>
    <n v="5"/>
    <n v="36.25"/>
    <n v="12.176"/>
    <x v="0"/>
    <x v="0"/>
    <x v="0"/>
  </r>
  <r>
    <s v="CA-2012-104486"/>
    <d v="2012-05-01T00:00:00"/>
    <d v="2012-05-06T00:00:00"/>
    <s v="PatrickO'Brill@gmail.com"/>
    <x v="3"/>
    <x v="5"/>
    <x v="579"/>
    <n v="37.32"/>
    <n v="3"/>
    <n v="10.4496"/>
    <x v="2"/>
    <n v="5"/>
    <x v="2"/>
    <n v="1"/>
    <n v="5"/>
    <n v="28"/>
    <n v="12.44"/>
    <x v="0"/>
    <x v="0"/>
    <x v="0"/>
  </r>
  <r>
    <s v="CA-2012-104486"/>
    <d v="2012-05-01T00:00:00"/>
    <d v="2012-05-06T00:00:00"/>
    <s v="PatrickO'Brill@gmail.com"/>
    <x v="3"/>
    <x v="11"/>
    <x v="1120"/>
    <n v="35.06"/>
    <n v="2"/>
    <n v="10.518000000000001"/>
    <x v="2"/>
    <n v="5"/>
    <x v="2"/>
    <n v="1"/>
    <n v="5"/>
    <n v="30"/>
    <n v="17.53"/>
    <x v="0"/>
    <x v="0"/>
    <x v="0"/>
  </r>
  <r>
    <s v="CA-2014-139080"/>
    <d v="2014-01-24T00:00:00"/>
    <d v="2014-01-29T00:00:00"/>
    <s v="ChrisSelesnick@gmail.com"/>
    <x v="1"/>
    <x v="3"/>
    <x v="1121"/>
    <n v="19.68"/>
    <n v="5"/>
    <n v="6.8879999999999999"/>
    <x v="3"/>
    <n v="1"/>
    <x v="4"/>
    <n v="24"/>
    <n v="5"/>
    <n v="35"/>
    <n v="3.9359999999999999"/>
    <x v="0"/>
    <x v="0"/>
    <x v="0"/>
  </r>
  <r>
    <s v="CA-2014-139080"/>
    <d v="2014-01-24T00:00:00"/>
    <d v="2014-01-29T00:00:00"/>
    <s v="ChrisSelesnick@gmail.com"/>
    <x v="1"/>
    <x v="8"/>
    <x v="1122"/>
    <n v="25.92"/>
    <n v="4"/>
    <n v="12.441599999999999"/>
    <x v="3"/>
    <n v="1"/>
    <x v="4"/>
    <n v="24"/>
    <n v="5"/>
    <n v="48"/>
    <n v="6.48"/>
    <x v="0"/>
    <x v="0"/>
    <x v="0"/>
  </r>
  <r>
    <s v="CA-2014-139080"/>
    <d v="2014-01-24T00:00:00"/>
    <d v="2014-01-29T00:00:00"/>
    <s v="ChrisSelesnick@gmail.com"/>
    <x v="1"/>
    <x v="8"/>
    <x v="350"/>
    <n v="6.48"/>
    <n v="1"/>
    <n v="3.1103999999999998"/>
    <x v="3"/>
    <n v="1"/>
    <x v="4"/>
    <n v="24"/>
    <n v="5"/>
    <n v="48"/>
    <n v="6.48"/>
    <x v="0"/>
    <x v="0"/>
    <x v="0"/>
  </r>
  <r>
    <s v="CA-2014-139080"/>
    <d v="2014-01-24T00:00:00"/>
    <d v="2014-01-29T00:00:00"/>
    <s v="ChrisSelesnick@gmail.com"/>
    <x v="1"/>
    <x v="6"/>
    <x v="1054"/>
    <n v="86.352000000000004"/>
    <n v="6"/>
    <n v="8.6351999999999993"/>
    <x v="3"/>
    <n v="1"/>
    <x v="4"/>
    <n v="24"/>
    <n v="5"/>
    <n v="10"/>
    <n v="14.391999999999999"/>
    <x v="0"/>
    <x v="0"/>
    <x v="0"/>
  </r>
  <r>
    <s v="CA-2012-115693"/>
    <d v="2012-12-10T00:00:00"/>
    <d v="2012-12-15T00:00:00"/>
    <s v="FrankCarlisle@gmail.com"/>
    <x v="0"/>
    <x v="2"/>
    <x v="826"/>
    <n v="56.3"/>
    <n v="2"/>
    <n v="15.763999999999999"/>
    <x v="2"/>
    <n v="12"/>
    <x v="1"/>
    <n v="10"/>
    <n v="5"/>
    <n v="28"/>
    <n v="28.15"/>
    <x v="0"/>
    <x v="0"/>
    <x v="0"/>
  </r>
  <r>
    <s v="US-2011-107993"/>
    <d v="2011-11-25T00:00:00"/>
    <d v="2011-11-30T00:00:00"/>
    <s v="SanjitEngle@gmail.com"/>
    <x v="77"/>
    <x v="2"/>
    <x v="771"/>
    <n v="51.015999999999998"/>
    <n v="7"/>
    <n v="8.2901000000000007"/>
    <x v="1"/>
    <n v="11"/>
    <x v="6"/>
    <n v="25"/>
    <n v="5"/>
    <n v="16.25"/>
    <n v="7.2879999999999994"/>
    <x v="0"/>
    <x v="0"/>
    <x v="0"/>
  </r>
  <r>
    <s v="CA-2014-110443"/>
    <d v="2014-11-22T00:00:00"/>
    <d v="2014-11-26T00:00:00"/>
    <s v="ChlorisKastensmidt@gmail.com"/>
    <x v="149"/>
    <x v="3"/>
    <x v="130"/>
    <n v="150.80000000000001"/>
    <n v="5"/>
    <n v="56.55"/>
    <x v="3"/>
    <n v="11"/>
    <x v="6"/>
    <n v="22"/>
    <n v="4"/>
    <n v="37.5"/>
    <n v="30.16"/>
    <x v="0"/>
    <x v="0"/>
    <x v="0"/>
  </r>
  <r>
    <s v="CA-2014-110443"/>
    <d v="2014-11-22T00:00:00"/>
    <d v="2014-11-26T00:00:00"/>
    <s v="ChlorisKastensmidt@gmail.com"/>
    <x v="149"/>
    <x v="8"/>
    <x v="1123"/>
    <n v="51.84"/>
    <n v="8"/>
    <n v="24.883199999999999"/>
    <x v="3"/>
    <n v="11"/>
    <x v="6"/>
    <n v="22"/>
    <n v="4"/>
    <n v="48"/>
    <n v="6.48"/>
    <x v="0"/>
    <x v="0"/>
    <x v="0"/>
  </r>
  <r>
    <s v="US-2014-147998"/>
    <d v="2014-05-20T00:00:00"/>
    <d v="2014-05-25T00:00:00"/>
    <s v="SueAnnReed@gmail.com"/>
    <x v="10"/>
    <x v="3"/>
    <x v="454"/>
    <n v="133.12"/>
    <n v="5"/>
    <n v="49.92"/>
    <x v="3"/>
    <n v="5"/>
    <x v="2"/>
    <n v="20"/>
    <n v="5"/>
    <n v="37.5"/>
    <n v="26.623999999999999"/>
    <x v="0"/>
    <x v="0"/>
    <x v="0"/>
  </r>
  <r>
    <s v="US-2013-116442"/>
    <d v="2013-12-16T00:00:00"/>
    <d v="2013-12-23T00:00:00"/>
    <s v="BenjaminPatterson@gmail.com"/>
    <x v="0"/>
    <x v="1"/>
    <x v="798"/>
    <n v="14.76"/>
    <n v="2"/>
    <n v="4.2804000000000002"/>
    <x v="0"/>
    <n v="12"/>
    <x v="1"/>
    <n v="16"/>
    <n v="7"/>
    <n v="29"/>
    <n v="7.38"/>
    <x v="0"/>
    <x v="0"/>
    <x v="0"/>
  </r>
  <r>
    <s v="US-2011-163797"/>
    <d v="2011-04-08T00:00:00"/>
    <d v="2011-04-13T00:00:00"/>
    <s v="PaulineChand@gmail.com"/>
    <x v="132"/>
    <x v="10"/>
    <x v="1124"/>
    <n v="49.792000000000002"/>
    <n v="8"/>
    <n v="-11.8256"/>
    <x v="1"/>
    <n v="4"/>
    <x v="10"/>
    <n v="8"/>
    <n v="5"/>
    <n v="-23.75"/>
    <n v="6.2240000000000002"/>
    <x v="0"/>
    <x v="1"/>
    <x v="0"/>
  </r>
  <r>
    <s v="CA-2014-154074"/>
    <d v="2014-09-01T00:00:00"/>
    <d v="2014-09-03T00:00:00"/>
    <s v="BartWatters@gmail.com"/>
    <x v="74"/>
    <x v="5"/>
    <x v="19"/>
    <n v="149.72999999999999"/>
    <n v="7"/>
    <n v="43.421700000000001"/>
    <x v="3"/>
    <n v="9"/>
    <x v="8"/>
    <n v="1"/>
    <n v="2"/>
    <n v="29"/>
    <n v="21.39"/>
    <x v="0"/>
    <x v="0"/>
    <x v="0"/>
  </r>
  <r>
    <s v="CA-2014-144750"/>
    <d v="2014-08-22T00:00:00"/>
    <d v="2014-08-22T00:00:00"/>
    <s v="DionisLloyd@gmail.com"/>
    <x v="132"/>
    <x v="8"/>
    <x v="1125"/>
    <n v="83.88"/>
    <n v="1"/>
    <n v="29.358000000000001"/>
    <x v="3"/>
    <n v="8"/>
    <x v="3"/>
    <n v="22"/>
    <n v="0"/>
    <n v="35"/>
    <n v="83.88"/>
    <x v="0"/>
    <x v="0"/>
    <x v="0"/>
  </r>
  <r>
    <s v="CA-2011-159121"/>
    <d v="2011-07-26T00:00:00"/>
    <d v="2011-08-01T00:00:00"/>
    <s v="JackO'Briant@gmail.com"/>
    <x v="137"/>
    <x v="7"/>
    <x v="1126"/>
    <n v="111.93"/>
    <n v="7"/>
    <n v="34.698300000000003"/>
    <x v="1"/>
    <n v="7"/>
    <x v="5"/>
    <n v="26"/>
    <n v="6"/>
    <n v="31"/>
    <n v="15.99"/>
    <x v="0"/>
    <x v="0"/>
    <x v="0"/>
  </r>
  <r>
    <s v="CA-2012-149650"/>
    <d v="2012-10-24T00:00:00"/>
    <d v="2012-10-27T00:00:00"/>
    <s v="RobertDilbeck@gmail.com"/>
    <x v="52"/>
    <x v="9"/>
    <x v="102"/>
    <n v="454.27199999999999"/>
    <n v="8"/>
    <n v="-73.819199999999995"/>
    <x v="2"/>
    <n v="10"/>
    <x v="7"/>
    <n v="24"/>
    <n v="3"/>
    <n v="-16.25"/>
    <n v="56.783999999999999"/>
    <x v="0"/>
    <x v="1"/>
    <x v="1"/>
  </r>
  <r>
    <s v="US-2014-116897"/>
    <d v="2014-05-28T00:00:00"/>
    <d v="2014-05-30T00:00:00"/>
    <s v="JamesGalang@gmail.com"/>
    <x v="139"/>
    <x v="1"/>
    <x v="636"/>
    <n v="35"/>
    <n v="4"/>
    <n v="14.7"/>
    <x v="3"/>
    <n v="5"/>
    <x v="2"/>
    <n v="28"/>
    <n v="2"/>
    <n v="42"/>
    <n v="8.75"/>
    <x v="0"/>
    <x v="0"/>
    <x v="0"/>
  </r>
  <r>
    <s v="US-2014-116897"/>
    <d v="2014-05-28T00:00:00"/>
    <d v="2014-05-30T00:00:00"/>
    <s v="JamesGalang@gmail.com"/>
    <x v="139"/>
    <x v="5"/>
    <x v="1127"/>
    <n v="477.15"/>
    <n v="5"/>
    <n v="28.629000000000001"/>
    <x v="3"/>
    <n v="5"/>
    <x v="2"/>
    <n v="28"/>
    <n v="2"/>
    <n v="6"/>
    <n v="95.429999999999993"/>
    <x v="0"/>
    <x v="0"/>
    <x v="1"/>
  </r>
  <r>
    <s v="US-2014-116897"/>
    <d v="2014-05-28T00:00:00"/>
    <d v="2014-05-30T00:00:00"/>
    <s v="JamesGalang@gmail.com"/>
    <x v="139"/>
    <x v="6"/>
    <x v="1128"/>
    <n v="302.37599999999998"/>
    <n v="3"/>
    <n v="22.6782"/>
    <x v="3"/>
    <n v="5"/>
    <x v="2"/>
    <n v="28"/>
    <n v="2"/>
    <n v="7.5"/>
    <n v="100.792"/>
    <x v="0"/>
    <x v="0"/>
    <x v="1"/>
  </r>
  <r>
    <s v="CA-2014-161102"/>
    <d v="2014-08-01T00:00:00"/>
    <d v="2014-08-04T00:00:00"/>
    <s v="ErinCreighton@gmail.com"/>
    <x v="3"/>
    <x v="5"/>
    <x v="396"/>
    <n v="56.56"/>
    <n v="2"/>
    <n v="15.2712"/>
    <x v="3"/>
    <n v="8"/>
    <x v="3"/>
    <n v="1"/>
    <n v="3"/>
    <n v="27"/>
    <n v="28.28"/>
    <x v="0"/>
    <x v="0"/>
    <x v="0"/>
  </r>
  <r>
    <s v="CA-2014-161102"/>
    <d v="2014-08-01T00:00:00"/>
    <d v="2014-08-04T00:00:00"/>
    <s v="ErinCreighton@gmail.com"/>
    <x v="3"/>
    <x v="1"/>
    <x v="874"/>
    <n v="36.96"/>
    <n v="7"/>
    <n v="11.457599999999999"/>
    <x v="3"/>
    <n v="8"/>
    <x v="3"/>
    <n v="1"/>
    <n v="3"/>
    <n v="31"/>
    <n v="5.28"/>
    <x v="0"/>
    <x v="0"/>
    <x v="0"/>
  </r>
  <r>
    <s v="CA-2014-153080"/>
    <d v="2014-05-23T00:00:00"/>
    <d v="2014-05-26T00:00:00"/>
    <s v="EricHoffmann@gmail.com"/>
    <x v="0"/>
    <x v="7"/>
    <x v="1129"/>
    <n v="68.459999999999994"/>
    <n v="7"/>
    <n v="25.330200000000001"/>
    <x v="3"/>
    <n v="5"/>
    <x v="2"/>
    <n v="23"/>
    <n v="3"/>
    <n v="37"/>
    <n v="9.7799999999999994"/>
    <x v="0"/>
    <x v="0"/>
    <x v="0"/>
  </r>
  <r>
    <s v="CA-2014-167640"/>
    <d v="2014-03-07T00:00:00"/>
    <d v="2014-03-11T00:00:00"/>
    <s v="FrankCarlisle@gmail.com"/>
    <x v="3"/>
    <x v="2"/>
    <x v="1130"/>
    <n v="23.88"/>
    <n v="6"/>
    <n v="8.1191999999999993"/>
    <x v="3"/>
    <n v="3"/>
    <x v="9"/>
    <n v="7"/>
    <n v="4"/>
    <n v="34"/>
    <n v="3.98"/>
    <x v="0"/>
    <x v="0"/>
    <x v="0"/>
  </r>
  <r>
    <s v="CA-2014-167640"/>
    <d v="2014-03-07T00:00:00"/>
    <d v="2014-03-11T00:00:00"/>
    <s v="FrankCarlisle@gmail.com"/>
    <x v="3"/>
    <x v="0"/>
    <x v="1131"/>
    <n v="11.52"/>
    <n v="4"/>
    <n v="5.6448"/>
    <x v="3"/>
    <n v="3"/>
    <x v="9"/>
    <n v="7"/>
    <n v="4"/>
    <n v="49"/>
    <n v="2.88"/>
    <x v="0"/>
    <x v="0"/>
    <x v="0"/>
  </r>
  <r>
    <s v="CA-2014-167640"/>
    <d v="2014-03-07T00:00:00"/>
    <d v="2014-03-11T00:00:00"/>
    <s v="FrankCarlisle@gmail.com"/>
    <x v="3"/>
    <x v="8"/>
    <x v="972"/>
    <n v="286.93"/>
    <n v="7"/>
    <n v="140.59569999999999"/>
    <x v="3"/>
    <n v="3"/>
    <x v="9"/>
    <n v="7"/>
    <n v="4"/>
    <n v="49"/>
    <n v="40.99"/>
    <x v="0"/>
    <x v="0"/>
    <x v="1"/>
  </r>
  <r>
    <s v="CA-2014-167640"/>
    <d v="2014-03-07T00:00:00"/>
    <d v="2014-03-11T00:00:00"/>
    <s v="FrankCarlisle@gmail.com"/>
    <x v="3"/>
    <x v="6"/>
    <x v="1013"/>
    <n v="206.38399999999999"/>
    <n v="2"/>
    <n v="23.2182"/>
    <x v="3"/>
    <n v="3"/>
    <x v="9"/>
    <n v="7"/>
    <n v="4"/>
    <n v="11.25"/>
    <n v="103.19199999999999"/>
    <x v="0"/>
    <x v="0"/>
    <x v="0"/>
  </r>
  <r>
    <s v="US-2014-116652"/>
    <d v="2014-09-16T00:00:00"/>
    <d v="2014-09-20T00:00:00"/>
    <s v="RickDuston@gmail.com"/>
    <x v="3"/>
    <x v="9"/>
    <x v="319"/>
    <n v="218.352"/>
    <n v="3"/>
    <n v="0"/>
    <x v="3"/>
    <n v="9"/>
    <x v="8"/>
    <n v="16"/>
    <n v="4"/>
    <n v="0"/>
    <n v="72.784000000000006"/>
    <x v="0"/>
    <x v="0"/>
    <x v="1"/>
  </r>
  <r>
    <s v="US-2014-116652"/>
    <d v="2014-09-16T00:00:00"/>
    <d v="2014-09-20T00:00:00"/>
    <s v="RickDuston@gmail.com"/>
    <x v="3"/>
    <x v="2"/>
    <x v="1093"/>
    <n v="99.3"/>
    <n v="10"/>
    <n v="41.706000000000003"/>
    <x v="3"/>
    <n v="9"/>
    <x v="8"/>
    <n v="16"/>
    <n v="4"/>
    <n v="42"/>
    <n v="9.93"/>
    <x v="0"/>
    <x v="0"/>
    <x v="0"/>
  </r>
  <r>
    <s v="US-2014-116652"/>
    <d v="2014-09-16T00:00:00"/>
    <d v="2014-09-20T00:00:00"/>
    <s v="RickDuston@gmail.com"/>
    <x v="3"/>
    <x v="4"/>
    <x v="1132"/>
    <n v="108.96"/>
    <n v="2"/>
    <n v="30.508800000000001"/>
    <x v="3"/>
    <n v="9"/>
    <x v="8"/>
    <n v="16"/>
    <n v="4"/>
    <n v="28"/>
    <n v="54.48"/>
    <x v="0"/>
    <x v="0"/>
    <x v="0"/>
  </r>
  <r>
    <s v="US-2014-116652"/>
    <d v="2014-09-16T00:00:00"/>
    <d v="2014-09-20T00:00:00"/>
    <s v="RickDuston@gmail.com"/>
    <x v="3"/>
    <x v="3"/>
    <x v="1065"/>
    <n v="2.6880000000000002"/>
    <n v="1"/>
    <n v="0.84"/>
    <x v="3"/>
    <n v="9"/>
    <x v="8"/>
    <n v="16"/>
    <n v="4"/>
    <n v="31.25"/>
    <n v="2.6880000000000002"/>
    <x v="0"/>
    <x v="0"/>
    <x v="0"/>
  </r>
  <r>
    <s v="US-2014-107888"/>
    <d v="2014-11-17T00:00:00"/>
    <d v="2014-11-20T00:00:00"/>
    <s v="ChrisCortes@gmail.com"/>
    <x v="1"/>
    <x v="8"/>
    <x v="955"/>
    <n v="73.680000000000007"/>
    <n v="6"/>
    <n v="34.629600000000003"/>
    <x v="3"/>
    <n v="11"/>
    <x v="6"/>
    <n v="17"/>
    <n v="3"/>
    <n v="47"/>
    <n v="12.28"/>
    <x v="0"/>
    <x v="0"/>
    <x v="0"/>
  </r>
  <r>
    <s v="US-2014-107888"/>
    <d v="2014-11-17T00:00:00"/>
    <d v="2014-11-20T00:00:00"/>
    <s v="ChrisCortes@gmail.com"/>
    <x v="1"/>
    <x v="1"/>
    <x v="184"/>
    <n v="139.91999999999999"/>
    <n v="2"/>
    <n v="23.7864"/>
    <x v="3"/>
    <n v="11"/>
    <x v="6"/>
    <n v="17"/>
    <n v="3"/>
    <n v="17"/>
    <n v="69.959999999999994"/>
    <x v="0"/>
    <x v="0"/>
    <x v="0"/>
  </r>
  <r>
    <s v="US-2014-107888"/>
    <d v="2014-11-17T00:00:00"/>
    <d v="2014-11-20T00:00:00"/>
    <s v="ChrisCortes@gmail.com"/>
    <x v="1"/>
    <x v="6"/>
    <x v="1078"/>
    <n v="107.88"/>
    <n v="3"/>
    <n v="10.788"/>
    <x v="3"/>
    <n v="11"/>
    <x v="6"/>
    <n v="17"/>
    <n v="3"/>
    <n v="10"/>
    <n v="35.96"/>
    <x v="0"/>
    <x v="0"/>
    <x v="0"/>
  </r>
  <r>
    <s v="US-2014-107888"/>
    <d v="2014-11-17T00:00:00"/>
    <d v="2014-11-20T00:00:00"/>
    <s v="ChrisCortes@gmail.com"/>
    <x v="1"/>
    <x v="5"/>
    <x v="529"/>
    <n v="33.29"/>
    <n v="1"/>
    <n v="7.9896000000000003"/>
    <x v="3"/>
    <n v="11"/>
    <x v="6"/>
    <n v="17"/>
    <n v="3"/>
    <n v="24"/>
    <n v="33.29"/>
    <x v="0"/>
    <x v="0"/>
    <x v="0"/>
  </r>
  <r>
    <s v="CA-2014-161578"/>
    <d v="2014-12-17T00:00:00"/>
    <d v="2014-12-22T00:00:00"/>
    <s v="RickBensley@gmail.com"/>
    <x v="0"/>
    <x v="8"/>
    <x v="307"/>
    <n v="13.36"/>
    <n v="2"/>
    <n v="6.4127999999999998"/>
    <x v="3"/>
    <n v="12"/>
    <x v="1"/>
    <n v="17"/>
    <n v="5"/>
    <n v="48"/>
    <n v="6.68"/>
    <x v="0"/>
    <x v="0"/>
    <x v="0"/>
  </r>
  <r>
    <s v="CA-2014-161578"/>
    <d v="2014-12-17T00:00:00"/>
    <d v="2014-12-22T00:00:00"/>
    <s v="RickBensley@gmail.com"/>
    <x v="0"/>
    <x v="5"/>
    <x v="330"/>
    <n v="158.9"/>
    <n v="5"/>
    <n v="7.9450000000000003"/>
    <x v="3"/>
    <n v="12"/>
    <x v="1"/>
    <n v="17"/>
    <n v="5"/>
    <n v="5"/>
    <n v="31.78"/>
    <x v="0"/>
    <x v="0"/>
    <x v="0"/>
  </r>
  <r>
    <s v="CA-2013-160941"/>
    <d v="2013-07-22T00:00:00"/>
    <d v="2013-07-27T00:00:00"/>
    <s v="DamalaKotsonis@gmail.com"/>
    <x v="8"/>
    <x v="12"/>
    <x v="1133"/>
    <n v="419.9"/>
    <n v="5"/>
    <n v="197.35300000000001"/>
    <x v="0"/>
    <n v="7"/>
    <x v="5"/>
    <n v="22"/>
    <n v="5"/>
    <n v="47"/>
    <n v="83.97999999999999"/>
    <x v="0"/>
    <x v="0"/>
    <x v="1"/>
  </r>
  <r>
    <s v="CA-2013-160941"/>
    <d v="2013-07-22T00:00:00"/>
    <d v="2013-07-27T00:00:00"/>
    <s v="DamalaKotsonis@gmail.com"/>
    <x v="8"/>
    <x v="0"/>
    <x v="100"/>
    <n v="3.15"/>
    <n v="1"/>
    <n v="1.512"/>
    <x v="0"/>
    <n v="7"/>
    <x v="5"/>
    <n v="22"/>
    <n v="5"/>
    <n v="48"/>
    <n v="3.15"/>
    <x v="0"/>
    <x v="0"/>
    <x v="0"/>
  </r>
  <r>
    <s v="CA-2013-161543"/>
    <d v="2013-05-11T00:00:00"/>
    <d v="2013-05-17T00:00:00"/>
    <s v="RogerDemir@gmail.com"/>
    <x v="1"/>
    <x v="8"/>
    <x v="1134"/>
    <n v="11.96"/>
    <n v="2"/>
    <n v="5.8604000000000003"/>
    <x v="0"/>
    <n v="5"/>
    <x v="2"/>
    <n v="11"/>
    <n v="6"/>
    <n v="49"/>
    <n v="5.98"/>
    <x v="0"/>
    <x v="0"/>
    <x v="0"/>
  </r>
  <r>
    <s v="CA-2014-123085"/>
    <d v="2014-03-04T00:00:00"/>
    <d v="2014-03-09T00:00:00"/>
    <s v="EdJacobs@gmail.com"/>
    <x v="0"/>
    <x v="9"/>
    <x v="967"/>
    <n v="170.352"/>
    <n v="3"/>
    <n v="-17.0352"/>
    <x v="3"/>
    <n v="3"/>
    <x v="9"/>
    <n v="4"/>
    <n v="5"/>
    <n v="-10"/>
    <n v="56.783999999999999"/>
    <x v="0"/>
    <x v="1"/>
    <x v="0"/>
  </r>
  <r>
    <s v="CA-2013-169887"/>
    <d v="2013-10-23T00:00:00"/>
    <d v="2013-10-23T00:00:00"/>
    <s v="MaryBethSkach@gmail.com"/>
    <x v="1"/>
    <x v="8"/>
    <x v="395"/>
    <n v="6.68"/>
    <n v="1"/>
    <n v="3.2063999999999999"/>
    <x v="0"/>
    <n v="10"/>
    <x v="7"/>
    <n v="23"/>
    <n v="0"/>
    <n v="48"/>
    <n v="6.68"/>
    <x v="0"/>
    <x v="0"/>
    <x v="0"/>
  </r>
  <r>
    <s v="CA-2013-169887"/>
    <d v="2013-10-23T00:00:00"/>
    <d v="2013-10-23T00:00:00"/>
    <s v="MaryBethSkach@gmail.com"/>
    <x v="1"/>
    <x v="2"/>
    <x v="596"/>
    <n v="8.34"/>
    <n v="3"/>
    <n v="2.2517999999999998"/>
    <x v="0"/>
    <n v="10"/>
    <x v="7"/>
    <n v="23"/>
    <n v="0"/>
    <n v="27"/>
    <n v="2.78"/>
    <x v="0"/>
    <x v="0"/>
    <x v="0"/>
  </r>
  <r>
    <s v="CA-2013-169887"/>
    <d v="2013-10-23T00:00:00"/>
    <d v="2013-10-23T00:00:00"/>
    <s v="MaryBethSkach@gmail.com"/>
    <x v="1"/>
    <x v="1"/>
    <x v="1135"/>
    <n v="101.94"/>
    <n v="3"/>
    <n v="30.582000000000001"/>
    <x v="0"/>
    <n v="10"/>
    <x v="7"/>
    <n v="23"/>
    <n v="0"/>
    <n v="30"/>
    <n v="33.979999999999997"/>
    <x v="0"/>
    <x v="0"/>
    <x v="0"/>
  </r>
  <r>
    <s v="CA-2013-148516"/>
    <d v="2013-08-08T00:00:00"/>
    <d v="2013-08-12T00:00:00"/>
    <s v="DorothyWardle@gmail.com"/>
    <x v="43"/>
    <x v="7"/>
    <x v="190"/>
    <n v="179.97"/>
    <n v="3"/>
    <n v="86.385599999999997"/>
    <x v="0"/>
    <n v="8"/>
    <x v="3"/>
    <n v="8"/>
    <n v="4"/>
    <n v="48"/>
    <n v="59.99"/>
    <x v="0"/>
    <x v="0"/>
    <x v="0"/>
  </r>
  <r>
    <s v="CA-2012-103716"/>
    <d v="2012-04-30T00:00:00"/>
    <d v="2012-05-06T00:00:00"/>
    <s v="KenBlack@gmail.com"/>
    <x v="3"/>
    <x v="2"/>
    <x v="91"/>
    <n v="34.65"/>
    <n v="3"/>
    <n v="9.702"/>
    <x v="2"/>
    <n v="4"/>
    <x v="10"/>
    <n v="30"/>
    <n v="6"/>
    <n v="28"/>
    <n v="11.55"/>
    <x v="0"/>
    <x v="0"/>
    <x v="0"/>
  </r>
  <r>
    <s v="CA-2012-103716"/>
    <d v="2012-04-30T00:00:00"/>
    <d v="2012-05-06T00:00:00"/>
    <s v="KenBlack@gmail.com"/>
    <x v="3"/>
    <x v="6"/>
    <x v="642"/>
    <n v="19.8"/>
    <n v="5"/>
    <n v="1.7324999999999999"/>
    <x v="2"/>
    <n v="4"/>
    <x v="10"/>
    <n v="30"/>
    <n v="6"/>
    <n v="8.75"/>
    <n v="3.96"/>
    <x v="0"/>
    <x v="0"/>
    <x v="0"/>
  </r>
  <r>
    <s v="CA-2014-146346"/>
    <d v="2014-06-18T00:00:00"/>
    <d v="2014-06-21T00:00:00"/>
    <s v="RyanAkin@gmail.com"/>
    <x v="150"/>
    <x v="5"/>
    <x v="1057"/>
    <n v="146.352"/>
    <n v="3"/>
    <n v="-32.929200000000002"/>
    <x v="3"/>
    <n v="6"/>
    <x v="0"/>
    <n v="18"/>
    <n v="3"/>
    <n v="-22.5"/>
    <n v="48.783999999999999"/>
    <x v="0"/>
    <x v="1"/>
    <x v="0"/>
  </r>
  <r>
    <s v="CA-2013-148852"/>
    <d v="2013-05-27T00:00:00"/>
    <d v="2013-06-01T00:00:00"/>
    <s v="StewartVisinsky@gmail.com"/>
    <x v="44"/>
    <x v="10"/>
    <x v="148"/>
    <n v="5.94"/>
    <n v="3"/>
    <n v="0"/>
    <x v="0"/>
    <n v="5"/>
    <x v="2"/>
    <n v="27"/>
    <n v="5"/>
    <n v="0"/>
    <n v="1.98"/>
    <x v="0"/>
    <x v="0"/>
    <x v="0"/>
  </r>
  <r>
    <s v="CA-2013-148852"/>
    <d v="2013-05-27T00:00:00"/>
    <d v="2013-06-01T00:00:00"/>
    <s v="StewartVisinsky@gmail.com"/>
    <x v="44"/>
    <x v="8"/>
    <x v="1136"/>
    <n v="45.36"/>
    <n v="7"/>
    <n v="21.7728"/>
    <x v="0"/>
    <n v="5"/>
    <x v="2"/>
    <n v="27"/>
    <n v="5"/>
    <n v="48"/>
    <n v="6.48"/>
    <x v="0"/>
    <x v="0"/>
    <x v="0"/>
  </r>
  <r>
    <s v="CA-2013-148852"/>
    <d v="2013-05-27T00:00:00"/>
    <d v="2013-06-01T00:00:00"/>
    <s v="StewartVisinsky@gmail.com"/>
    <x v="44"/>
    <x v="6"/>
    <x v="1137"/>
    <n v="211.16800000000001"/>
    <n v="4"/>
    <n v="23.756399999999999"/>
    <x v="0"/>
    <n v="5"/>
    <x v="2"/>
    <n v="27"/>
    <n v="5"/>
    <n v="11.25"/>
    <n v="52.792000000000002"/>
    <x v="0"/>
    <x v="0"/>
    <x v="0"/>
  </r>
  <r>
    <s v="CA-2013-148852"/>
    <d v="2013-05-27T00:00:00"/>
    <d v="2013-06-01T00:00:00"/>
    <s v="StewartVisinsky@gmail.com"/>
    <x v="44"/>
    <x v="9"/>
    <x v="896"/>
    <n v="484.70400000000001"/>
    <n v="6"/>
    <n v="-84.8232"/>
    <x v="0"/>
    <n v="5"/>
    <x v="2"/>
    <n v="27"/>
    <n v="5"/>
    <n v="-17.5"/>
    <n v="80.784000000000006"/>
    <x v="0"/>
    <x v="1"/>
    <x v="1"/>
  </r>
  <r>
    <s v="CA-2013-148852"/>
    <d v="2013-05-27T00:00:00"/>
    <d v="2013-06-01T00:00:00"/>
    <s v="StewartVisinsky@gmail.com"/>
    <x v="44"/>
    <x v="15"/>
    <x v="1138"/>
    <n v="371.976"/>
    <n v="3"/>
    <n v="116.24250000000001"/>
    <x v="0"/>
    <n v="5"/>
    <x v="2"/>
    <n v="27"/>
    <n v="5"/>
    <n v="31.25"/>
    <n v="123.992"/>
    <x v="0"/>
    <x v="0"/>
    <x v="1"/>
  </r>
  <r>
    <s v="CA-2013-168921"/>
    <d v="2013-10-21T00:00:00"/>
    <d v="2013-10-23T00:00:00"/>
    <s v="AndrewGjertsen@gmail.com"/>
    <x v="0"/>
    <x v="3"/>
    <x v="473"/>
    <n v="19.295999999999999"/>
    <n v="3"/>
    <n v="6.03"/>
    <x v="0"/>
    <n v="10"/>
    <x v="7"/>
    <n v="21"/>
    <n v="2"/>
    <n v="31.25"/>
    <n v="6.4319999999999986"/>
    <x v="0"/>
    <x v="0"/>
    <x v="0"/>
  </r>
  <r>
    <s v="CA-2013-123512"/>
    <d v="2013-06-18T00:00:00"/>
    <d v="2013-06-20T00:00:00"/>
    <s v="MikeVittorini@gmail.com"/>
    <x v="0"/>
    <x v="14"/>
    <x v="1061"/>
    <n v="239.666"/>
    <n v="2"/>
    <n v="14.098000000000001"/>
    <x v="0"/>
    <n v="6"/>
    <x v="0"/>
    <n v="18"/>
    <n v="2"/>
    <n v="5.88"/>
    <n v="119.833"/>
    <x v="0"/>
    <x v="0"/>
    <x v="1"/>
  </r>
  <r>
    <s v="CA-2013-123512"/>
    <d v="2013-06-18T00:00:00"/>
    <d v="2013-06-20T00:00:00"/>
    <s v="MikeVittorini@gmail.com"/>
    <x v="0"/>
    <x v="0"/>
    <x v="1139"/>
    <n v="22.5"/>
    <n v="6"/>
    <n v="10.8"/>
    <x v="0"/>
    <n v="6"/>
    <x v="0"/>
    <n v="18"/>
    <n v="2"/>
    <n v="48"/>
    <n v="3.75"/>
    <x v="0"/>
    <x v="0"/>
    <x v="0"/>
  </r>
  <r>
    <s v="CA-2013-123512"/>
    <d v="2013-06-18T00:00:00"/>
    <d v="2013-06-20T00:00:00"/>
    <s v="MikeVittorini@gmail.com"/>
    <x v="0"/>
    <x v="8"/>
    <x v="1140"/>
    <n v="219.84"/>
    <n v="4"/>
    <n v="107.7216"/>
    <x v="0"/>
    <n v="6"/>
    <x v="0"/>
    <n v="18"/>
    <n v="2"/>
    <n v="49"/>
    <n v="54.96"/>
    <x v="0"/>
    <x v="0"/>
    <x v="1"/>
  </r>
  <r>
    <s v="CA-2011-130449"/>
    <d v="2011-09-06T00:00:00"/>
    <d v="2011-09-09T00:00:00"/>
    <s v="VictoriaPisteka@gmail.com"/>
    <x v="3"/>
    <x v="1"/>
    <x v="1"/>
    <n v="41.88"/>
    <n v="6"/>
    <n v="12.145200000000001"/>
    <x v="1"/>
    <n v="9"/>
    <x v="8"/>
    <n v="6"/>
    <n v="3"/>
    <n v="29"/>
    <n v="6.98"/>
    <x v="0"/>
    <x v="0"/>
    <x v="0"/>
  </r>
  <r>
    <s v="CA-2011-130449"/>
    <d v="2011-09-06T00:00:00"/>
    <d v="2011-09-09T00:00:00"/>
    <s v="VictoriaPisteka@gmail.com"/>
    <x v="3"/>
    <x v="0"/>
    <x v="1141"/>
    <n v="58.48"/>
    <n v="8"/>
    <n v="27.485600000000002"/>
    <x v="1"/>
    <n v="9"/>
    <x v="8"/>
    <n v="6"/>
    <n v="3"/>
    <n v="47"/>
    <n v="7.31"/>
    <x v="0"/>
    <x v="0"/>
    <x v="0"/>
  </r>
  <r>
    <s v="CA-2011-138513"/>
    <d v="2011-05-23T00:00:00"/>
    <d v="2011-05-27T00:00:00"/>
    <s v="EricaHackney@gmail.com"/>
    <x v="67"/>
    <x v="8"/>
    <x v="1142"/>
    <n v="12.96"/>
    <n v="2"/>
    <n v="6.2207999999999997"/>
    <x v="1"/>
    <n v="5"/>
    <x v="2"/>
    <n v="23"/>
    <n v="4"/>
    <n v="48"/>
    <n v="6.48"/>
    <x v="0"/>
    <x v="0"/>
    <x v="0"/>
  </r>
  <r>
    <s v="CA-2013-166275"/>
    <d v="2013-10-25T00:00:00"/>
    <d v="2013-10-25T00:00:00"/>
    <s v="SoniaSunley@gmail.com"/>
    <x v="3"/>
    <x v="7"/>
    <x v="1143"/>
    <n v="199.99"/>
    <n v="1"/>
    <n v="85.995699999999999"/>
    <x v="0"/>
    <n v="10"/>
    <x v="7"/>
    <n v="25"/>
    <n v="0"/>
    <n v="43"/>
    <n v="199.99"/>
    <x v="0"/>
    <x v="0"/>
    <x v="0"/>
  </r>
  <r>
    <s v="US-2012-156496"/>
    <d v="2012-08-10T00:00:00"/>
    <d v="2012-08-16T00:00:00"/>
    <s v="WilliamBrown@gmail.com"/>
    <x v="72"/>
    <x v="6"/>
    <x v="269"/>
    <n v="438.36799999999999"/>
    <n v="4"/>
    <n v="38.357199999999999"/>
    <x v="2"/>
    <n v="8"/>
    <x v="3"/>
    <n v="10"/>
    <n v="6"/>
    <n v="8.75"/>
    <n v="109.592"/>
    <x v="0"/>
    <x v="0"/>
    <x v="1"/>
  </r>
  <r>
    <s v="US-2012-156496"/>
    <d v="2012-08-10T00:00:00"/>
    <d v="2012-08-16T00:00:00"/>
    <s v="WilliamBrown@gmail.com"/>
    <x v="72"/>
    <x v="6"/>
    <x v="1144"/>
    <n v="139.94399999999999"/>
    <n v="7"/>
    <n v="-31.487400000000001"/>
    <x v="2"/>
    <n v="8"/>
    <x v="3"/>
    <n v="10"/>
    <n v="6"/>
    <n v="-22.5"/>
    <n v="19.992000000000001"/>
    <x v="0"/>
    <x v="1"/>
    <x v="0"/>
  </r>
  <r>
    <s v="US-2012-156496"/>
    <d v="2012-08-10T00:00:00"/>
    <d v="2012-08-16T00:00:00"/>
    <s v="WilliamBrown@gmail.com"/>
    <x v="72"/>
    <x v="4"/>
    <x v="1145"/>
    <n v="133.47200000000001"/>
    <n v="4"/>
    <n v="15.015599999999999"/>
    <x v="2"/>
    <n v="8"/>
    <x v="3"/>
    <n v="10"/>
    <n v="6"/>
    <n v="11.25"/>
    <n v="33.368000000000002"/>
    <x v="0"/>
    <x v="0"/>
    <x v="0"/>
  </r>
  <r>
    <s v="US-2013-127334"/>
    <d v="2013-12-16T00:00:00"/>
    <d v="2013-12-22T00:00:00"/>
    <s v="MikePelletier@gmail.com"/>
    <x v="77"/>
    <x v="4"/>
    <x v="1132"/>
    <n v="87.168000000000006"/>
    <n v="2"/>
    <n v="8.7167999999999992"/>
    <x v="0"/>
    <n v="12"/>
    <x v="1"/>
    <n v="16"/>
    <n v="6"/>
    <n v="10"/>
    <n v="43.584000000000003"/>
    <x v="0"/>
    <x v="0"/>
    <x v="0"/>
  </r>
  <r>
    <s v="CA-2014-135937"/>
    <d v="2014-02-21T00:00:00"/>
    <d v="2014-02-28T00:00:00"/>
    <s v="KatherineMurray@gmail.com"/>
    <x v="4"/>
    <x v="6"/>
    <x v="1044"/>
    <n v="333.57600000000002"/>
    <n v="3"/>
    <n v="25.0182"/>
    <x v="3"/>
    <n v="2"/>
    <x v="11"/>
    <n v="21"/>
    <n v="7"/>
    <n v="7.5"/>
    <n v="111.19199999999999"/>
    <x v="0"/>
    <x v="0"/>
    <x v="1"/>
  </r>
  <r>
    <s v="CA-2014-135937"/>
    <d v="2014-02-21T00:00:00"/>
    <d v="2014-02-28T00:00:00"/>
    <s v="KatherineMurray@gmail.com"/>
    <x v="4"/>
    <x v="7"/>
    <x v="1146"/>
    <n v="31.992000000000001"/>
    <n v="1"/>
    <n v="4.7988"/>
    <x v="3"/>
    <n v="2"/>
    <x v="11"/>
    <n v="21"/>
    <n v="7"/>
    <n v="15"/>
    <n v="31.992000000000001"/>
    <x v="0"/>
    <x v="0"/>
    <x v="0"/>
  </r>
  <r>
    <s v="CA-2014-135937"/>
    <d v="2014-02-21T00:00:00"/>
    <d v="2014-02-28T00:00:00"/>
    <s v="KatherineMurray@gmail.com"/>
    <x v="4"/>
    <x v="5"/>
    <x v="399"/>
    <n v="51.167999999999999"/>
    <n v="2"/>
    <n v="-6.3959999999999999"/>
    <x v="3"/>
    <n v="2"/>
    <x v="11"/>
    <n v="21"/>
    <n v="7"/>
    <n v="-12.5"/>
    <n v="25.584"/>
    <x v="0"/>
    <x v="1"/>
    <x v="0"/>
  </r>
  <r>
    <s v="CA-2014-135937"/>
    <d v="2014-02-21T00:00:00"/>
    <d v="2014-02-28T00:00:00"/>
    <s v="KatherineMurray@gmail.com"/>
    <x v="4"/>
    <x v="12"/>
    <x v="692"/>
    <n v="10.64"/>
    <n v="5"/>
    <n v="3.8570000000000002"/>
    <x v="3"/>
    <n v="2"/>
    <x v="11"/>
    <n v="21"/>
    <n v="7"/>
    <n v="36.25"/>
    <n v="2.1280000000000001"/>
    <x v="0"/>
    <x v="0"/>
    <x v="0"/>
  </r>
  <r>
    <s v="CA-2014-135937"/>
    <d v="2014-02-21T00:00:00"/>
    <d v="2014-02-28T00:00:00"/>
    <s v="KatherineMurray@gmail.com"/>
    <x v="4"/>
    <x v="1"/>
    <x v="364"/>
    <n v="68.703999999999994"/>
    <n v="2"/>
    <n v="16.3172"/>
    <x v="3"/>
    <n v="2"/>
    <x v="11"/>
    <n v="21"/>
    <n v="7"/>
    <n v="23.75"/>
    <n v="34.351999999999997"/>
    <x v="0"/>
    <x v="0"/>
    <x v="0"/>
  </r>
  <r>
    <s v="CA-2014-135937"/>
    <d v="2014-02-21T00:00:00"/>
    <d v="2014-02-28T00:00:00"/>
    <s v="KatherineMurray@gmail.com"/>
    <x v="4"/>
    <x v="13"/>
    <x v="373"/>
    <n v="386.91"/>
    <n v="9"/>
    <n v="-185.71680000000001"/>
    <x v="3"/>
    <n v="2"/>
    <x v="11"/>
    <n v="21"/>
    <n v="7"/>
    <n v="-48"/>
    <n v="42.99"/>
    <x v="0"/>
    <x v="1"/>
    <x v="1"/>
  </r>
  <r>
    <s v="CA-2011-154837"/>
    <d v="2011-08-23T00:00:00"/>
    <d v="2011-08-27T00:00:00"/>
    <s v="RobertBarroso@gmail.com"/>
    <x v="0"/>
    <x v="3"/>
    <x v="1147"/>
    <n v="49.567999999999998"/>
    <n v="2"/>
    <n v="17.348800000000001"/>
    <x v="1"/>
    <n v="8"/>
    <x v="3"/>
    <n v="23"/>
    <n v="4"/>
    <n v="35"/>
    <n v="24.783999999999999"/>
    <x v="0"/>
    <x v="0"/>
    <x v="0"/>
  </r>
  <r>
    <s v="CA-2012-153794"/>
    <d v="2012-09-11T00:00:00"/>
    <d v="2012-09-16T00:00:00"/>
    <s v="SeanBraxton@gmail.com"/>
    <x v="16"/>
    <x v="2"/>
    <x v="922"/>
    <n v="265.86"/>
    <n v="7"/>
    <n v="79.757999999999996"/>
    <x v="2"/>
    <n v="9"/>
    <x v="8"/>
    <n v="11"/>
    <n v="5"/>
    <n v="30"/>
    <n v="37.979999999999997"/>
    <x v="1"/>
    <x v="0"/>
    <x v="1"/>
  </r>
  <r>
    <s v="CA-2011-150329"/>
    <d v="2011-10-10T00:00:00"/>
    <d v="2011-10-14T00:00:00"/>
    <s v="ShirleyDaniels@gmail.com"/>
    <x v="7"/>
    <x v="1"/>
    <x v="315"/>
    <n v="46.872"/>
    <n v="7"/>
    <n v="3.5154000000000001"/>
    <x v="1"/>
    <n v="10"/>
    <x v="7"/>
    <n v="10"/>
    <n v="4"/>
    <n v="7.5"/>
    <n v="6.6959999999999997"/>
    <x v="1"/>
    <x v="0"/>
    <x v="0"/>
  </r>
  <r>
    <s v="CA-2011-109134"/>
    <d v="2011-11-05T00:00:00"/>
    <d v="2011-11-10T00:00:00"/>
    <s v="DeanraEno@gmail.com"/>
    <x v="0"/>
    <x v="1"/>
    <x v="1010"/>
    <n v="20.04"/>
    <n v="6"/>
    <n v="8.8176000000000005"/>
    <x v="1"/>
    <n v="11"/>
    <x v="6"/>
    <n v="5"/>
    <n v="5"/>
    <n v="44"/>
    <n v="3.34"/>
    <x v="0"/>
    <x v="0"/>
    <x v="0"/>
  </r>
  <r>
    <s v="CA-2014-140494"/>
    <d v="2014-03-11T00:00:00"/>
    <d v="2014-03-16T00:00:00"/>
    <s v="CandaceMcMahon@gmail.com"/>
    <x v="3"/>
    <x v="7"/>
    <x v="475"/>
    <n v="111.96"/>
    <n v="4"/>
    <n v="21.272400000000001"/>
    <x v="3"/>
    <n v="3"/>
    <x v="9"/>
    <n v="11"/>
    <n v="5"/>
    <n v="19"/>
    <n v="27.99"/>
    <x v="0"/>
    <x v="0"/>
    <x v="0"/>
  </r>
  <r>
    <s v="CA-2014-145429"/>
    <d v="2014-07-22T00:00:00"/>
    <d v="2014-07-26T00:00:00"/>
    <s v="ShaunWeien@gmail.com"/>
    <x v="16"/>
    <x v="8"/>
    <x v="1148"/>
    <n v="16.34"/>
    <n v="2"/>
    <n v="7.6798000000000002"/>
    <x v="3"/>
    <n v="7"/>
    <x v="5"/>
    <n v="22"/>
    <n v="4"/>
    <n v="47"/>
    <n v="8.17"/>
    <x v="0"/>
    <x v="0"/>
    <x v="0"/>
  </r>
  <r>
    <s v="CA-2014-145429"/>
    <d v="2014-07-22T00:00:00"/>
    <d v="2014-07-26T00:00:00"/>
    <s v="ShaunWeien@gmail.com"/>
    <x v="16"/>
    <x v="9"/>
    <x v="601"/>
    <n v="225.29599999999999"/>
    <n v="2"/>
    <n v="22.529599999999999"/>
    <x v="3"/>
    <n v="7"/>
    <x v="5"/>
    <n v="22"/>
    <n v="4"/>
    <n v="10"/>
    <n v="112.648"/>
    <x v="0"/>
    <x v="0"/>
    <x v="1"/>
  </r>
  <r>
    <s v="CA-2014-145429"/>
    <d v="2014-07-22T00:00:00"/>
    <d v="2014-07-26T00:00:00"/>
    <s v="ShaunWeien@gmail.com"/>
    <x v="16"/>
    <x v="3"/>
    <x v="838"/>
    <n v="50.351999999999997"/>
    <n v="3"/>
    <n v="17.623200000000001"/>
    <x v="3"/>
    <n v="7"/>
    <x v="5"/>
    <n v="22"/>
    <n v="4"/>
    <n v="35"/>
    <n v="16.783999999999999"/>
    <x v="0"/>
    <x v="0"/>
    <x v="0"/>
  </r>
  <r>
    <s v="CA-2012-139164"/>
    <d v="2012-06-23T00:00:00"/>
    <d v="2012-06-28T00:00:00"/>
    <s v="ChristineSundaresam@gmail.com"/>
    <x v="21"/>
    <x v="6"/>
    <x v="1149"/>
    <n v="217.584"/>
    <n v="2"/>
    <n v="19.038599999999999"/>
    <x v="2"/>
    <n v="6"/>
    <x v="0"/>
    <n v="23"/>
    <n v="5"/>
    <n v="8.75"/>
    <n v="108.792"/>
    <x v="0"/>
    <x v="0"/>
    <x v="1"/>
  </r>
  <r>
    <s v="CA-2012-139164"/>
    <d v="2012-06-23T00:00:00"/>
    <d v="2012-06-28T00:00:00"/>
    <s v="ChristineSundaresam@gmail.com"/>
    <x v="21"/>
    <x v="10"/>
    <x v="1150"/>
    <n v="5.43"/>
    <n v="3"/>
    <n v="1.7919"/>
    <x v="2"/>
    <n v="6"/>
    <x v="0"/>
    <n v="23"/>
    <n v="5"/>
    <n v="33"/>
    <n v="1.81"/>
    <x v="0"/>
    <x v="0"/>
    <x v="0"/>
  </r>
  <r>
    <s v="CA-2012-139164"/>
    <d v="2012-06-23T00:00:00"/>
    <d v="2012-06-28T00:00:00"/>
    <s v="ChristineSundaresam@gmail.com"/>
    <x v="21"/>
    <x v="6"/>
    <x v="1151"/>
    <n v="143.976"/>
    <n v="3"/>
    <n v="8.9984999999999999"/>
    <x v="2"/>
    <n v="6"/>
    <x v="0"/>
    <n v="23"/>
    <n v="5"/>
    <n v="6.25"/>
    <n v="47.991999999999997"/>
    <x v="0"/>
    <x v="0"/>
    <x v="0"/>
  </r>
  <r>
    <s v="CA-2012-123141"/>
    <d v="2012-11-14T00:00:00"/>
    <d v="2012-11-19T00:00:00"/>
    <s v="GaryZandusky@gmail.com"/>
    <x v="151"/>
    <x v="9"/>
    <x v="74"/>
    <n v="230.352"/>
    <n v="3"/>
    <n v="20.155799999999999"/>
    <x v="2"/>
    <n v="11"/>
    <x v="6"/>
    <n v="14"/>
    <n v="5"/>
    <n v="8.75"/>
    <n v="76.784000000000006"/>
    <x v="0"/>
    <x v="0"/>
    <x v="1"/>
  </r>
  <r>
    <s v="CA-2013-149503"/>
    <d v="2013-12-10T00:00:00"/>
    <d v="2013-12-13T00:00:00"/>
    <s v="StephaniePhelps@gmail.com"/>
    <x v="84"/>
    <x v="3"/>
    <x v="1152"/>
    <n v="273.92"/>
    <n v="8"/>
    <n v="99.296000000000006"/>
    <x v="0"/>
    <n v="12"/>
    <x v="1"/>
    <n v="10"/>
    <n v="3"/>
    <n v="36.25"/>
    <n v="34.24"/>
    <x v="0"/>
    <x v="0"/>
    <x v="1"/>
  </r>
  <r>
    <s v="CA-2014-102974"/>
    <d v="2014-09-20T00:00:00"/>
    <d v="2014-09-25T00:00:00"/>
    <s v="DavePoirier@gmail.com"/>
    <x v="0"/>
    <x v="7"/>
    <x v="1153"/>
    <n v="149.94999999999999"/>
    <n v="5"/>
    <n v="31.4895"/>
    <x v="3"/>
    <n v="9"/>
    <x v="8"/>
    <n v="20"/>
    <n v="5"/>
    <n v="21"/>
    <n v="29.99"/>
    <x v="0"/>
    <x v="0"/>
    <x v="0"/>
  </r>
  <r>
    <s v="CA-2014-102974"/>
    <d v="2014-09-20T00:00:00"/>
    <d v="2014-09-25T00:00:00"/>
    <s v="DavePoirier@gmail.com"/>
    <x v="0"/>
    <x v="2"/>
    <x v="1154"/>
    <n v="23.32"/>
    <n v="2"/>
    <n v="6.0632000000000001"/>
    <x v="3"/>
    <n v="9"/>
    <x v="8"/>
    <n v="20"/>
    <n v="5"/>
    <n v="26"/>
    <n v="11.66"/>
    <x v="0"/>
    <x v="0"/>
    <x v="0"/>
  </r>
  <r>
    <s v="CA-2014-102974"/>
    <d v="2014-09-20T00:00:00"/>
    <d v="2014-09-25T00:00:00"/>
    <s v="DavePoirier@gmail.com"/>
    <x v="0"/>
    <x v="2"/>
    <x v="1155"/>
    <n v="16.739999999999998"/>
    <n v="3"/>
    <n v="4.8545999999999996"/>
    <x v="3"/>
    <n v="9"/>
    <x v="8"/>
    <n v="20"/>
    <n v="5"/>
    <n v="29"/>
    <n v="5.5799999999999992"/>
    <x v="0"/>
    <x v="0"/>
    <x v="0"/>
  </r>
  <r>
    <s v="CA-2013-128811"/>
    <d v="2013-09-13T00:00:00"/>
    <d v="2013-09-17T00:00:00"/>
    <s v="SarahFoster@gmail.com"/>
    <x v="1"/>
    <x v="10"/>
    <x v="369"/>
    <n v="10.47"/>
    <n v="3"/>
    <n v="4.8162000000000003"/>
    <x v="0"/>
    <n v="9"/>
    <x v="8"/>
    <n v="13"/>
    <n v="4"/>
    <n v="46"/>
    <n v="3.49"/>
    <x v="0"/>
    <x v="0"/>
    <x v="0"/>
  </r>
  <r>
    <s v="CA-2013-128811"/>
    <d v="2013-09-13T00:00:00"/>
    <d v="2013-09-17T00:00:00"/>
    <s v="SarahFoster@gmail.com"/>
    <x v="1"/>
    <x v="0"/>
    <x v="1156"/>
    <n v="11.07"/>
    <n v="3"/>
    <n v="5.2028999999999996"/>
    <x v="0"/>
    <n v="9"/>
    <x v="8"/>
    <n v="13"/>
    <n v="4"/>
    <n v="47"/>
    <n v="3.69"/>
    <x v="0"/>
    <x v="0"/>
    <x v="0"/>
  </r>
  <r>
    <s v="CA-2013-128811"/>
    <d v="2013-09-13T00:00:00"/>
    <d v="2013-09-17T00:00:00"/>
    <s v="SarahFoster@gmail.com"/>
    <x v="1"/>
    <x v="3"/>
    <x v="1157"/>
    <n v="20.704000000000001"/>
    <n v="4"/>
    <n v="7.7640000000000002"/>
    <x v="0"/>
    <n v="9"/>
    <x v="8"/>
    <n v="13"/>
    <n v="4"/>
    <n v="37.5"/>
    <n v="5.1760000000000002"/>
    <x v="0"/>
    <x v="0"/>
    <x v="0"/>
  </r>
  <r>
    <s v="CA-2011-120096"/>
    <d v="2011-07-04T00:00:00"/>
    <d v="2011-07-07T00:00:00"/>
    <s v="KatrinaEdelman@gmail.com"/>
    <x v="6"/>
    <x v="8"/>
    <x v="1086"/>
    <n v="177.536"/>
    <n v="4"/>
    <n v="62.137599999999999"/>
    <x v="1"/>
    <n v="7"/>
    <x v="5"/>
    <n v="4"/>
    <n v="3"/>
    <n v="35"/>
    <n v="44.384"/>
    <x v="0"/>
    <x v="0"/>
    <x v="0"/>
  </r>
  <r>
    <s v="CA-2011-120096"/>
    <d v="2011-07-04T00:00:00"/>
    <d v="2011-07-07T00:00:00"/>
    <s v="KatrinaEdelman@gmail.com"/>
    <x v="6"/>
    <x v="4"/>
    <x v="502"/>
    <n v="32.432000000000002"/>
    <n v="2"/>
    <n v="3.2431999999999999"/>
    <x v="1"/>
    <n v="7"/>
    <x v="5"/>
    <n v="4"/>
    <n v="3"/>
    <n v="10"/>
    <n v="16.216000000000001"/>
    <x v="0"/>
    <x v="0"/>
    <x v="0"/>
  </r>
  <r>
    <s v="CA-2013-123358"/>
    <d v="2013-04-11T00:00:00"/>
    <d v="2013-04-18T00:00:00"/>
    <s v="BrianThompson@gmail.com"/>
    <x v="3"/>
    <x v="4"/>
    <x v="336"/>
    <n v="113.76"/>
    <n v="3"/>
    <n v="44.366399999999999"/>
    <x v="0"/>
    <n v="4"/>
    <x v="10"/>
    <n v="11"/>
    <n v="7"/>
    <n v="39"/>
    <n v="37.92"/>
    <x v="0"/>
    <x v="0"/>
    <x v="0"/>
  </r>
  <r>
    <s v="CA-2013-123358"/>
    <d v="2013-04-11T00:00:00"/>
    <d v="2013-04-18T00:00:00"/>
    <s v="BrianThompson@gmail.com"/>
    <x v="3"/>
    <x v="5"/>
    <x v="1055"/>
    <n v="150.66"/>
    <n v="9"/>
    <n v="6.0263999999999998"/>
    <x v="0"/>
    <n v="4"/>
    <x v="10"/>
    <n v="11"/>
    <n v="7"/>
    <n v="4"/>
    <n v="16.739999999999998"/>
    <x v="0"/>
    <x v="0"/>
    <x v="0"/>
  </r>
  <r>
    <s v="CA-2013-123358"/>
    <d v="2013-04-11T00:00:00"/>
    <d v="2013-04-18T00:00:00"/>
    <s v="BrianThompson@gmail.com"/>
    <x v="3"/>
    <x v="3"/>
    <x v="147"/>
    <n v="48.031999999999996"/>
    <n v="4"/>
    <n v="15.6104"/>
    <x v="0"/>
    <n v="4"/>
    <x v="10"/>
    <n v="11"/>
    <n v="7"/>
    <n v="32.5"/>
    <n v="12.007999999999999"/>
    <x v="0"/>
    <x v="0"/>
    <x v="0"/>
  </r>
  <r>
    <s v="US-2014-101784"/>
    <d v="2014-07-07T00:00:00"/>
    <d v="2014-07-12T00:00:00"/>
    <s v="PatrickO'Brill@gmail.com"/>
    <x v="0"/>
    <x v="9"/>
    <x v="30"/>
    <n v="122.136"/>
    <n v="3"/>
    <n v="-13.7403"/>
    <x v="3"/>
    <n v="7"/>
    <x v="5"/>
    <n v="7"/>
    <n v="5"/>
    <n v="-11.25"/>
    <n v="40.712000000000003"/>
    <x v="0"/>
    <x v="1"/>
    <x v="0"/>
  </r>
  <r>
    <s v="CA-2014-139402"/>
    <d v="2014-12-10T00:00:00"/>
    <d v="2014-12-14T00:00:00"/>
    <s v="NickCrebassa@gmail.com"/>
    <x v="7"/>
    <x v="8"/>
    <x v="393"/>
    <n v="419.4"/>
    <n v="5"/>
    <n v="146.79"/>
    <x v="3"/>
    <n v="12"/>
    <x v="1"/>
    <n v="10"/>
    <n v="4"/>
    <n v="35"/>
    <n v="83.88"/>
    <x v="0"/>
    <x v="0"/>
    <x v="1"/>
  </r>
  <r>
    <s v="CA-2014-139402"/>
    <d v="2014-12-10T00:00:00"/>
    <d v="2014-12-14T00:00:00"/>
    <s v="NickCrebassa@gmail.com"/>
    <x v="7"/>
    <x v="3"/>
    <x v="1158"/>
    <n v="13.005000000000001"/>
    <n v="3"/>
    <n v="-9.9704999999999995"/>
    <x v="3"/>
    <n v="12"/>
    <x v="1"/>
    <n v="10"/>
    <n v="4"/>
    <n v="-76.67"/>
    <n v="4.335"/>
    <x v="0"/>
    <x v="1"/>
    <x v="0"/>
  </r>
  <r>
    <s v="CA-2013-119018"/>
    <d v="2013-11-05T00:00:00"/>
    <d v="2013-11-09T00:00:00"/>
    <s v="CarlWeiss@gmail.com"/>
    <x v="0"/>
    <x v="3"/>
    <x v="86"/>
    <n v="7.7119999999999997"/>
    <n v="2"/>
    <n v="2.7955999999999999"/>
    <x v="0"/>
    <n v="11"/>
    <x v="6"/>
    <n v="5"/>
    <n v="4"/>
    <n v="36.25"/>
    <n v="3.8559999999999999"/>
    <x v="0"/>
    <x v="0"/>
    <x v="0"/>
  </r>
  <r>
    <s v="CA-2013-119018"/>
    <d v="2013-11-05T00:00:00"/>
    <d v="2013-11-09T00:00:00"/>
    <s v="CarlWeiss@gmail.com"/>
    <x v="0"/>
    <x v="3"/>
    <x v="1159"/>
    <n v="4.1760000000000002"/>
    <n v="1"/>
    <n v="1.3049999999999999"/>
    <x v="0"/>
    <n v="11"/>
    <x v="6"/>
    <n v="5"/>
    <n v="4"/>
    <n v="31.25"/>
    <n v="4.1760000000000002"/>
    <x v="0"/>
    <x v="0"/>
    <x v="0"/>
  </r>
  <r>
    <s v="CA-2013-119018"/>
    <d v="2013-11-05T00:00:00"/>
    <d v="2013-11-09T00:00:00"/>
    <s v="CarlWeiss@gmail.com"/>
    <x v="0"/>
    <x v="8"/>
    <x v="1160"/>
    <n v="38.880000000000003"/>
    <n v="6"/>
    <n v="18.662400000000002"/>
    <x v="0"/>
    <n v="11"/>
    <x v="6"/>
    <n v="5"/>
    <n v="4"/>
    <n v="48"/>
    <n v="6.48"/>
    <x v="0"/>
    <x v="0"/>
    <x v="0"/>
  </r>
  <r>
    <s v="CA-2013-124527"/>
    <d v="2013-11-17T00:00:00"/>
    <d v="2013-11-18T00:00:00"/>
    <s v="IoniaMcGrath@gmail.com"/>
    <x v="8"/>
    <x v="3"/>
    <x v="262"/>
    <n v="8.32"/>
    <n v="5"/>
    <n v="2.8079999999999998"/>
    <x v="0"/>
    <n v="11"/>
    <x v="6"/>
    <n v="17"/>
    <n v="1"/>
    <n v="33.75"/>
    <n v="1.6639999999999999"/>
    <x v="0"/>
    <x v="0"/>
    <x v="0"/>
  </r>
  <r>
    <s v="CA-2013-162348"/>
    <d v="2013-11-11T00:00:00"/>
    <d v="2013-11-16T00:00:00"/>
    <s v="BenFerrer@gmail.com"/>
    <x v="91"/>
    <x v="1"/>
    <x v="949"/>
    <n v="9.98"/>
    <n v="1"/>
    <n v="2.7944"/>
    <x v="0"/>
    <n v="11"/>
    <x v="6"/>
    <n v="11"/>
    <n v="5"/>
    <n v="28"/>
    <n v="9.98"/>
    <x v="0"/>
    <x v="0"/>
    <x v="0"/>
  </r>
  <r>
    <s v="CA-2013-109827"/>
    <d v="2013-12-26T00:00:00"/>
    <d v="2014-01-02T00:00:00"/>
    <s v="LaurelWorkman@gmail.com"/>
    <x v="7"/>
    <x v="13"/>
    <x v="425"/>
    <n v="35.445"/>
    <n v="1"/>
    <n v="-24.102599999999999"/>
    <x v="0"/>
    <n v="12"/>
    <x v="1"/>
    <n v="26"/>
    <n v="7"/>
    <n v="-68"/>
    <n v="35.445"/>
    <x v="0"/>
    <x v="1"/>
    <x v="0"/>
  </r>
  <r>
    <s v="CA-2013-109827"/>
    <d v="2013-12-26T00:00:00"/>
    <d v="2014-01-02T00:00:00"/>
    <s v="LaurelWorkman@gmail.com"/>
    <x v="7"/>
    <x v="15"/>
    <x v="1161"/>
    <n v="269.97000000000003"/>
    <n v="2"/>
    <n v="-386.95699999999999"/>
    <x v="0"/>
    <n v="12"/>
    <x v="1"/>
    <n v="26"/>
    <n v="7"/>
    <n v="-143.33000000000001"/>
    <n v="134.98500000000001"/>
    <x v="0"/>
    <x v="1"/>
    <x v="1"/>
  </r>
  <r>
    <s v="CA-2013-109827"/>
    <d v="2013-12-26T00:00:00"/>
    <d v="2014-01-02T00:00:00"/>
    <s v="LaurelWorkman@gmail.com"/>
    <x v="7"/>
    <x v="7"/>
    <x v="719"/>
    <n v="45.12"/>
    <n v="3"/>
    <n v="-7.8959999999999999"/>
    <x v="0"/>
    <n v="12"/>
    <x v="1"/>
    <n v="26"/>
    <n v="7"/>
    <n v="-17.5"/>
    <n v="15.04"/>
    <x v="0"/>
    <x v="1"/>
    <x v="0"/>
  </r>
  <r>
    <s v="CA-2013-109827"/>
    <d v="2013-12-26T00:00:00"/>
    <d v="2014-01-02T00:00:00"/>
    <s v="LaurelWorkman@gmail.com"/>
    <x v="7"/>
    <x v="7"/>
    <x v="1162"/>
    <n v="100.8"/>
    <n v="2"/>
    <n v="21.42"/>
    <x v="0"/>
    <n v="12"/>
    <x v="1"/>
    <n v="26"/>
    <n v="7"/>
    <n v="21.25"/>
    <n v="50.4"/>
    <x v="0"/>
    <x v="0"/>
    <x v="0"/>
  </r>
  <r>
    <s v="CA-2013-109827"/>
    <d v="2013-12-26T00:00:00"/>
    <d v="2014-01-02T00:00:00"/>
    <s v="LaurelWorkman@gmail.com"/>
    <x v="7"/>
    <x v="9"/>
    <x v="1163"/>
    <n v="47.968000000000004"/>
    <n v="2"/>
    <n v="4.1971999999999996"/>
    <x v="0"/>
    <n v="12"/>
    <x v="1"/>
    <n v="26"/>
    <n v="7"/>
    <n v="8.75"/>
    <n v="23.984000000000002"/>
    <x v="0"/>
    <x v="0"/>
    <x v="0"/>
  </r>
  <r>
    <s v="CA-2011-152233"/>
    <d v="2011-10-05T00:00:00"/>
    <d v="2011-10-06T00:00:00"/>
    <s v="KeithHerrera@gmail.com"/>
    <x v="64"/>
    <x v="7"/>
    <x v="477"/>
    <n v="99.98"/>
    <n v="2"/>
    <n v="34.993000000000002"/>
    <x v="1"/>
    <n v="10"/>
    <x v="7"/>
    <n v="5"/>
    <n v="1"/>
    <n v="35"/>
    <n v="49.99"/>
    <x v="0"/>
    <x v="0"/>
    <x v="0"/>
  </r>
  <r>
    <s v="CA-2014-162880"/>
    <d v="2014-12-26T00:00:00"/>
    <d v="2014-12-30T00:00:00"/>
    <s v="GiuliettaDortch@gmail.com"/>
    <x v="152"/>
    <x v="3"/>
    <x v="86"/>
    <n v="3.8559999999999999"/>
    <n v="1"/>
    <n v="1.3977999999999999"/>
    <x v="3"/>
    <n v="12"/>
    <x v="1"/>
    <n v="26"/>
    <n v="4"/>
    <n v="36.25"/>
    <n v="3.8559999999999999"/>
    <x v="0"/>
    <x v="0"/>
    <x v="0"/>
  </r>
  <r>
    <s v="CA-2011-144414"/>
    <d v="2011-06-17T00:00:00"/>
    <d v="2011-06-21T00:00:00"/>
    <s v="GaryHwang@gmail.com"/>
    <x v="1"/>
    <x v="1"/>
    <x v="112"/>
    <n v="6.24"/>
    <n v="3"/>
    <n v="2.6208"/>
    <x v="1"/>
    <n v="6"/>
    <x v="0"/>
    <n v="17"/>
    <n v="4"/>
    <n v="42"/>
    <n v="2.08"/>
    <x v="0"/>
    <x v="0"/>
    <x v="0"/>
  </r>
  <r>
    <s v="CA-2011-144414"/>
    <d v="2011-06-17T00:00:00"/>
    <d v="2011-06-21T00:00:00"/>
    <s v="GaryHwang@gmail.com"/>
    <x v="1"/>
    <x v="10"/>
    <x v="82"/>
    <n v="17.899999999999999"/>
    <n v="5"/>
    <n v="8.9499999999999993"/>
    <x v="1"/>
    <n v="6"/>
    <x v="0"/>
    <n v="17"/>
    <n v="4"/>
    <n v="50"/>
    <n v="3.58"/>
    <x v="0"/>
    <x v="0"/>
    <x v="0"/>
  </r>
  <r>
    <s v="US-2014-115609"/>
    <d v="2014-11-03T00:00:00"/>
    <d v="2014-11-08T00:00:00"/>
    <s v="CindyStewart@gmail.com"/>
    <x v="0"/>
    <x v="4"/>
    <x v="231"/>
    <n v="168.1"/>
    <n v="5"/>
    <n v="43.706000000000003"/>
    <x v="3"/>
    <n v="11"/>
    <x v="6"/>
    <n v="3"/>
    <n v="5"/>
    <n v="26"/>
    <n v="33.619999999999997"/>
    <x v="0"/>
    <x v="0"/>
    <x v="0"/>
  </r>
  <r>
    <s v="CA-2013-153101"/>
    <d v="2013-09-09T00:00:00"/>
    <d v="2013-09-09T00:00:00"/>
    <s v="PaulineJohnson@gmail.com"/>
    <x v="44"/>
    <x v="13"/>
    <x v="1164"/>
    <n v="146.04"/>
    <n v="1"/>
    <n v="-12.778499999999999"/>
    <x v="0"/>
    <n v="9"/>
    <x v="8"/>
    <n v="9"/>
    <n v="0"/>
    <n v="-8.75"/>
    <n v="146.04"/>
    <x v="0"/>
    <x v="1"/>
    <x v="0"/>
  </r>
  <r>
    <s v="CA-2013-142615"/>
    <d v="2013-11-21T00:00:00"/>
    <d v="2013-11-25T00:00:00"/>
    <s v="BrendanMurry@gmail.com"/>
    <x v="153"/>
    <x v="7"/>
    <x v="1165"/>
    <n v="27.88"/>
    <n v="2"/>
    <n v="3.9032"/>
    <x v="0"/>
    <n v="11"/>
    <x v="6"/>
    <n v="21"/>
    <n v="4"/>
    <n v="14"/>
    <n v="13.94"/>
    <x v="0"/>
    <x v="0"/>
    <x v="0"/>
  </r>
  <r>
    <s v="CA-2014-142643"/>
    <d v="2014-10-16T00:00:00"/>
    <d v="2014-10-21T00:00:00"/>
    <s v="DionisLloyd@gmail.com"/>
    <x v="92"/>
    <x v="0"/>
    <x v="341"/>
    <n v="152.65"/>
    <n v="5"/>
    <n v="70.218999999999994"/>
    <x v="3"/>
    <n v="10"/>
    <x v="7"/>
    <n v="16"/>
    <n v="5"/>
    <n v="46"/>
    <n v="30.53"/>
    <x v="0"/>
    <x v="0"/>
    <x v="0"/>
  </r>
  <r>
    <s v="CA-2014-142643"/>
    <d v="2014-10-16T00:00:00"/>
    <d v="2014-10-21T00:00:00"/>
    <s v="DionisLloyd@gmail.com"/>
    <x v="92"/>
    <x v="1"/>
    <x v="1166"/>
    <n v="22.72"/>
    <n v="1"/>
    <n v="9.3152000000000008"/>
    <x v="3"/>
    <n v="10"/>
    <x v="7"/>
    <n v="16"/>
    <n v="5"/>
    <n v="41"/>
    <n v="22.72"/>
    <x v="0"/>
    <x v="0"/>
    <x v="0"/>
  </r>
  <r>
    <s v="CA-2014-107517"/>
    <d v="2014-02-06T00:00:00"/>
    <d v="2014-02-10T00:00:00"/>
    <s v="FredChung@gmail.com"/>
    <x v="48"/>
    <x v="6"/>
    <x v="410"/>
    <n v="371.2"/>
    <n v="5"/>
    <n v="41.76"/>
    <x v="3"/>
    <n v="2"/>
    <x v="11"/>
    <n v="6"/>
    <n v="4"/>
    <n v="11.25"/>
    <n v="74.239999999999995"/>
    <x v="0"/>
    <x v="0"/>
    <x v="1"/>
  </r>
  <r>
    <s v="CA-2011-147543"/>
    <d v="2011-07-06T00:00:00"/>
    <d v="2011-07-12T00:00:00"/>
    <s v="BeckyCastell@gmail.com"/>
    <x v="154"/>
    <x v="9"/>
    <x v="443"/>
    <n v="478.48"/>
    <n v="2"/>
    <n v="47.847999999999999"/>
    <x v="1"/>
    <n v="7"/>
    <x v="5"/>
    <n v="6"/>
    <n v="6"/>
    <n v="10"/>
    <n v="239.24"/>
    <x v="0"/>
    <x v="0"/>
    <x v="1"/>
  </r>
  <r>
    <s v="US-2013-159093"/>
    <d v="2013-05-10T00:00:00"/>
    <d v="2013-05-15T00:00:00"/>
    <s v="RicardoSperren@gmail.com"/>
    <x v="0"/>
    <x v="8"/>
    <x v="1167"/>
    <n v="32.04"/>
    <n v="4"/>
    <n v="14.417999999999999"/>
    <x v="0"/>
    <n v="5"/>
    <x v="2"/>
    <n v="10"/>
    <n v="5"/>
    <n v="45"/>
    <n v="8.01"/>
    <x v="0"/>
    <x v="0"/>
    <x v="0"/>
  </r>
  <r>
    <s v="CA-2013-162110"/>
    <d v="2013-07-19T00:00:00"/>
    <d v="2013-07-23T00:00:00"/>
    <s v="NoraPaige@gmail.com"/>
    <x v="7"/>
    <x v="6"/>
    <x v="124"/>
    <n v="55.991999999999997"/>
    <n v="1"/>
    <n v="3.4994999999999998"/>
    <x v="0"/>
    <n v="7"/>
    <x v="5"/>
    <n v="19"/>
    <n v="4"/>
    <n v="6.25"/>
    <n v="55.991999999999997"/>
    <x v="0"/>
    <x v="0"/>
    <x v="0"/>
  </r>
  <r>
    <s v="CA-2011-101462"/>
    <d v="2011-04-20T00:00:00"/>
    <d v="2011-04-25T00:00:00"/>
    <s v="BenjaminPatterson@gmail.com"/>
    <x v="0"/>
    <x v="1"/>
    <x v="1168"/>
    <n v="59.92"/>
    <n v="4"/>
    <n v="27.563199999999998"/>
    <x v="1"/>
    <n v="4"/>
    <x v="10"/>
    <n v="20"/>
    <n v="5"/>
    <n v="46"/>
    <n v="14.98"/>
    <x v="0"/>
    <x v="0"/>
    <x v="0"/>
  </r>
  <r>
    <s v="CA-2014-128965"/>
    <d v="2014-04-18T00:00:00"/>
    <d v="2014-04-23T00:00:00"/>
    <s v="PamelaStobb@gmail.com"/>
    <x v="0"/>
    <x v="8"/>
    <x v="1169"/>
    <n v="28.14"/>
    <n v="3"/>
    <n v="13.507199999999999"/>
    <x v="3"/>
    <n v="4"/>
    <x v="10"/>
    <n v="18"/>
    <n v="5"/>
    <n v="48"/>
    <n v="9.3800000000000008"/>
    <x v="0"/>
    <x v="0"/>
    <x v="0"/>
  </r>
  <r>
    <s v="CA-2014-128965"/>
    <d v="2014-04-18T00:00:00"/>
    <d v="2014-04-23T00:00:00"/>
    <s v="PamelaStobb@gmail.com"/>
    <x v="0"/>
    <x v="0"/>
    <x v="580"/>
    <n v="7.38"/>
    <n v="2"/>
    <n v="3.4685999999999999"/>
    <x v="3"/>
    <n v="4"/>
    <x v="10"/>
    <n v="18"/>
    <n v="5"/>
    <n v="47"/>
    <n v="3.69"/>
    <x v="0"/>
    <x v="0"/>
    <x v="0"/>
  </r>
  <r>
    <s v="CA-2014-128965"/>
    <d v="2014-04-18T00:00:00"/>
    <d v="2014-04-23T00:00:00"/>
    <s v="PamelaStobb@gmail.com"/>
    <x v="0"/>
    <x v="10"/>
    <x v="277"/>
    <n v="10.9"/>
    <n v="5"/>
    <n v="3.597"/>
    <x v="3"/>
    <n v="4"/>
    <x v="10"/>
    <n v="18"/>
    <n v="5"/>
    <n v="33"/>
    <n v="2.1800000000000002"/>
    <x v="0"/>
    <x v="0"/>
    <x v="0"/>
  </r>
  <r>
    <s v="CA-2014-128965"/>
    <d v="2014-04-18T00:00:00"/>
    <d v="2014-04-23T00:00:00"/>
    <s v="PamelaStobb@gmail.com"/>
    <x v="0"/>
    <x v="7"/>
    <x v="195"/>
    <n v="274.89"/>
    <n v="11"/>
    <n v="46.731299999999997"/>
    <x v="3"/>
    <n v="4"/>
    <x v="10"/>
    <n v="18"/>
    <n v="5"/>
    <n v="17"/>
    <n v="24.99"/>
    <x v="0"/>
    <x v="0"/>
    <x v="1"/>
  </r>
  <r>
    <s v="CA-2014-128965"/>
    <d v="2014-04-18T00:00:00"/>
    <d v="2014-04-23T00:00:00"/>
    <s v="PamelaStobb@gmail.com"/>
    <x v="0"/>
    <x v="0"/>
    <x v="703"/>
    <n v="23.04"/>
    <n v="8"/>
    <n v="11.2896"/>
    <x v="3"/>
    <n v="4"/>
    <x v="10"/>
    <n v="18"/>
    <n v="5"/>
    <n v="49"/>
    <n v="2.88"/>
    <x v="0"/>
    <x v="0"/>
    <x v="0"/>
  </r>
  <r>
    <s v="CA-2014-128965"/>
    <d v="2014-04-18T00:00:00"/>
    <d v="2014-04-23T00:00:00"/>
    <s v="PamelaStobb@gmail.com"/>
    <x v="0"/>
    <x v="9"/>
    <x v="1170"/>
    <n v="218.352"/>
    <n v="3"/>
    <n v="-19.105799999999999"/>
    <x v="3"/>
    <n v="4"/>
    <x v="10"/>
    <n v="18"/>
    <n v="5"/>
    <n v="-8.75"/>
    <n v="72.784000000000006"/>
    <x v="0"/>
    <x v="1"/>
    <x v="1"/>
  </r>
  <r>
    <s v="US-2013-126452"/>
    <d v="2013-08-22T00:00:00"/>
    <d v="2013-08-29T00:00:00"/>
    <s v="ScotCoram@gmail.com"/>
    <x v="0"/>
    <x v="3"/>
    <x v="237"/>
    <n v="12.672000000000001"/>
    <n v="2"/>
    <n v="4.7519999999999998"/>
    <x v="0"/>
    <n v="8"/>
    <x v="3"/>
    <n v="22"/>
    <n v="7"/>
    <n v="37.5"/>
    <n v="6.3360000000000003"/>
    <x v="0"/>
    <x v="0"/>
    <x v="0"/>
  </r>
  <r>
    <s v="US-2013-126452"/>
    <d v="2013-08-22T00:00:00"/>
    <d v="2013-08-29T00:00:00"/>
    <s v="ScotCoram@gmail.com"/>
    <x v="0"/>
    <x v="6"/>
    <x v="138"/>
    <n v="91.96"/>
    <n v="5"/>
    <n v="-20.690999999999999"/>
    <x v="0"/>
    <n v="8"/>
    <x v="3"/>
    <n v="22"/>
    <n v="7"/>
    <n v="-22.5"/>
    <n v="18.391999999999999"/>
    <x v="0"/>
    <x v="1"/>
    <x v="0"/>
  </r>
  <r>
    <s v="US-2013-126452"/>
    <d v="2013-08-22T00:00:00"/>
    <d v="2013-08-29T00:00:00"/>
    <s v="ScotCoram@gmail.com"/>
    <x v="0"/>
    <x v="7"/>
    <x v="1171"/>
    <n v="254.97"/>
    <n v="3"/>
    <n v="91.789199999999994"/>
    <x v="0"/>
    <n v="8"/>
    <x v="3"/>
    <n v="22"/>
    <n v="7"/>
    <n v="36"/>
    <n v="84.99"/>
    <x v="0"/>
    <x v="0"/>
    <x v="1"/>
  </r>
  <r>
    <s v="US-2013-126452"/>
    <d v="2013-08-22T00:00:00"/>
    <d v="2013-08-29T00:00:00"/>
    <s v="ScotCoram@gmail.com"/>
    <x v="0"/>
    <x v="6"/>
    <x v="1172"/>
    <n v="31.984000000000002"/>
    <n v="2"/>
    <n v="-7.9960000000000004"/>
    <x v="0"/>
    <n v="8"/>
    <x v="3"/>
    <n v="22"/>
    <n v="7"/>
    <n v="-25"/>
    <n v="15.992000000000001"/>
    <x v="0"/>
    <x v="1"/>
    <x v="0"/>
  </r>
  <r>
    <s v="US-2013-126452"/>
    <d v="2013-08-22T00:00:00"/>
    <d v="2013-08-29T00:00:00"/>
    <s v="ScotCoram@gmail.com"/>
    <x v="0"/>
    <x v="8"/>
    <x v="1173"/>
    <n v="12.96"/>
    <n v="2"/>
    <n v="6.2207999999999997"/>
    <x v="0"/>
    <n v="8"/>
    <x v="3"/>
    <n v="22"/>
    <n v="7"/>
    <n v="48"/>
    <n v="6.48"/>
    <x v="0"/>
    <x v="0"/>
    <x v="0"/>
  </r>
  <r>
    <s v="US-2013-126452"/>
    <d v="2013-08-22T00:00:00"/>
    <d v="2013-08-29T00:00:00"/>
    <s v="ScotCoram@gmail.com"/>
    <x v="0"/>
    <x v="8"/>
    <x v="956"/>
    <n v="47.52"/>
    <n v="9"/>
    <n v="21.384"/>
    <x v="0"/>
    <n v="8"/>
    <x v="3"/>
    <n v="22"/>
    <n v="7"/>
    <n v="45"/>
    <n v="5.28"/>
    <x v="0"/>
    <x v="0"/>
    <x v="0"/>
  </r>
  <r>
    <s v="CA-2012-162544"/>
    <d v="2012-12-16T00:00:00"/>
    <d v="2012-12-19T00:00:00"/>
    <s v="SandraGlassco@gmail.com"/>
    <x v="1"/>
    <x v="8"/>
    <x v="1174"/>
    <n v="4.9800000000000004"/>
    <n v="1"/>
    <n v="2.3405999999999998"/>
    <x v="2"/>
    <n v="12"/>
    <x v="1"/>
    <n v="16"/>
    <n v="3"/>
    <n v="47"/>
    <n v="4.9800000000000004"/>
    <x v="0"/>
    <x v="0"/>
    <x v="0"/>
  </r>
  <r>
    <s v="CA-2012-137113"/>
    <d v="2012-12-01T00:00:00"/>
    <d v="2012-12-05T00:00:00"/>
    <s v="TamaraWillingham@gmail.com"/>
    <x v="1"/>
    <x v="8"/>
    <x v="1175"/>
    <n v="32.4"/>
    <n v="5"/>
    <n v="15.552"/>
    <x v="2"/>
    <n v="12"/>
    <x v="1"/>
    <n v="1"/>
    <n v="4"/>
    <n v="48"/>
    <n v="6.48"/>
    <x v="0"/>
    <x v="0"/>
    <x v="0"/>
  </r>
  <r>
    <s v="CA-2012-137113"/>
    <d v="2012-12-01T00:00:00"/>
    <d v="2012-12-05T00:00:00"/>
    <s v="TamaraWillingham@gmail.com"/>
    <x v="1"/>
    <x v="5"/>
    <x v="1011"/>
    <n v="146.72999999999999"/>
    <n v="3"/>
    <n v="2.9346000000000001"/>
    <x v="2"/>
    <n v="12"/>
    <x v="1"/>
    <n v="1"/>
    <n v="4"/>
    <n v="2"/>
    <n v="48.91"/>
    <x v="0"/>
    <x v="0"/>
    <x v="0"/>
  </r>
  <r>
    <s v="CA-2012-137113"/>
    <d v="2012-12-01T00:00:00"/>
    <d v="2012-12-05T00:00:00"/>
    <s v="TamaraWillingham@gmail.com"/>
    <x v="1"/>
    <x v="8"/>
    <x v="495"/>
    <n v="114.2"/>
    <n v="5"/>
    <n v="52.531999999999996"/>
    <x v="2"/>
    <n v="12"/>
    <x v="1"/>
    <n v="1"/>
    <n v="4"/>
    <n v="46"/>
    <n v="22.84"/>
    <x v="0"/>
    <x v="0"/>
    <x v="0"/>
  </r>
  <r>
    <s v="CA-2014-120222"/>
    <d v="2014-04-26T00:00:00"/>
    <d v="2014-05-03T00:00:00"/>
    <s v="LaurenLeatherbury@gmail.com"/>
    <x v="0"/>
    <x v="8"/>
    <x v="1176"/>
    <n v="19.05"/>
    <n v="3"/>
    <n v="8.7629999999999999"/>
    <x v="3"/>
    <n v="4"/>
    <x v="10"/>
    <n v="26"/>
    <n v="7"/>
    <n v="46"/>
    <n v="6.3500000000000014"/>
    <x v="0"/>
    <x v="0"/>
    <x v="0"/>
  </r>
  <r>
    <s v="CA-2014-120222"/>
    <d v="2014-04-26T00:00:00"/>
    <d v="2014-05-03T00:00:00"/>
    <s v="LaurenLeatherbury@gmail.com"/>
    <x v="0"/>
    <x v="3"/>
    <x v="1177"/>
    <n v="73.343999999999994"/>
    <n v="3"/>
    <n v="27.504000000000001"/>
    <x v="3"/>
    <n v="4"/>
    <x v="10"/>
    <n v="26"/>
    <n v="7"/>
    <n v="37.5"/>
    <n v="24.448"/>
    <x v="0"/>
    <x v="0"/>
    <x v="0"/>
  </r>
  <r>
    <s v="US-2014-149006"/>
    <d v="2014-12-07T00:00:00"/>
    <d v="2014-12-09T00:00:00"/>
    <s v="BradNorvell@gmail.com"/>
    <x v="17"/>
    <x v="5"/>
    <x v="50"/>
    <n v="10.68"/>
    <n v="1"/>
    <n v="2.8835999999999999"/>
    <x v="3"/>
    <n v="12"/>
    <x v="1"/>
    <n v="7"/>
    <n v="2"/>
    <n v="27"/>
    <n v="10.68"/>
    <x v="1"/>
    <x v="0"/>
    <x v="0"/>
  </r>
  <r>
    <s v="US-2014-115301"/>
    <d v="2014-07-30T00:00:00"/>
    <d v="2014-08-03T00:00:00"/>
    <s v="VivekGonzalez@gmail.com"/>
    <x v="1"/>
    <x v="14"/>
    <x v="1178"/>
    <n v="115.96"/>
    <n v="2"/>
    <n v="25.511199999999999"/>
    <x v="3"/>
    <n v="7"/>
    <x v="5"/>
    <n v="30"/>
    <n v="4"/>
    <n v="22"/>
    <n v="57.98"/>
    <x v="0"/>
    <x v="0"/>
    <x v="0"/>
  </r>
  <r>
    <s v="CA-2014-168942"/>
    <d v="2014-08-02T00:00:00"/>
    <d v="2014-08-06T00:00:00"/>
    <s v="EricMurdock@gmail.com"/>
    <x v="3"/>
    <x v="5"/>
    <x v="279"/>
    <n v="186.54"/>
    <n v="3"/>
    <n v="50.3658"/>
    <x v="3"/>
    <n v="8"/>
    <x v="3"/>
    <n v="2"/>
    <n v="4"/>
    <n v="27"/>
    <n v="62.18"/>
    <x v="0"/>
    <x v="0"/>
    <x v="0"/>
  </r>
  <r>
    <s v="US-2014-128398"/>
    <d v="2014-05-03T00:00:00"/>
    <d v="2014-05-06T00:00:00"/>
    <s v="ElizabethMoffitt@gmail.com"/>
    <x v="0"/>
    <x v="7"/>
    <x v="1179"/>
    <n v="159.56"/>
    <n v="4"/>
    <n v="59.037199999999999"/>
    <x v="3"/>
    <n v="5"/>
    <x v="2"/>
    <n v="3"/>
    <n v="3"/>
    <n v="37"/>
    <n v="39.89"/>
    <x v="0"/>
    <x v="0"/>
    <x v="0"/>
  </r>
  <r>
    <s v="CA-2013-105473"/>
    <d v="2013-04-17T00:00:00"/>
    <d v="2013-04-19T00:00:00"/>
    <s v="BryanMills@gmail.com"/>
    <x v="1"/>
    <x v="11"/>
    <x v="693"/>
    <n v="28.8"/>
    <n v="3"/>
    <n v="0.86399999999999999"/>
    <x v="0"/>
    <n v="4"/>
    <x v="10"/>
    <n v="17"/>
    <n v="2"/>
    <n v="3"/>
    <n v="9.6"/>
    <x v="0"/>
    <x v="0"/>
    <x v="0"/>
  </r>
  <r>
    <s v="CA-2014-121706"/>
    <d v="2014-02-27T00:00:00"/>
    <d v="2014-03-03T00:00:00"/>
    <s v="BeckyMartin@gmail.com"/>
    <x v="136"/>
    <x v="4"/>
    <x v="174"/>
    <n v="356.79"/>
    <n v="7"/>
    <n v="99.901200000000003"/>
    <x v="3"/>
    <n v="2"/>
    <x v="11"/>
    <n v="27"/>
    <n v="4"/>
    <n v="28"/>
    <n v="50.970000000000013"/>
    <x v="0"/>
    <x v="0"/>
    <x v="1"/>
  </r>
  <r>
    <s v="CA-2013-140046"/>
    <d v="2013-07-29T00:00:00"/>
    <d v="2013-08-04T00:00:00"/>
    <s v="KhloeMiller@gmail.com"/>
    <x v="0"/>
    <x v="0"/>
    <x v="1180"/>
    <n v="18.899999999999999"/>
    <n v="3"/>
    <n v="8.6940000000000008"/>
    <x v="0"/>
    <n v="7"/>
    <x v="5"/>
    <n v="29"/>
    <n v="6"/>
    <n v="46"/>
    <n v="6.3"/>
    <x v="0"/>
    <x v="0"/>
    <x v="0"/>
  </r>
  <r>
    <s v="CA-2013-140382"/>
    <d v="2013-06-24T00:00:00"/>
    <d v="2013-06-26T00:00:00"/>
    <s v="RubenDartt@gmail.com"/>
    <x v="3"/>
    <x v="5"/>
    <x v="493"/>
    <n v="93.68"/>
    <n v="4"/>
    <n v="25.293600000000001"/>
    <x v="0"/>
    <n v="6"/>
    <x v="0"/>
    <n v="24"/>
    <n v="2"/>
    <n v="27"/>
    <n v="23.42"/>
    <x v="0"/>
    <x v="0"/>
    <x v="0"/>
  </r>
  <r>
    <s v="CA-2013-140382"/>
    <d v="2013-06-24T00:00:00"/>
    <d v="2013-06-26T00:00:00"/>
    <s v="RubenDartt@gmail.com"/>
    <x v="3"/>
    <x v="0"/>
    <x v="1141"/>
    <n v="21.93"/>
    <n v="3"/>
    <n v="10.3071"/>
    <x v="0"/>
    <n v="6"/>
    <x v="0"/>
    <n v="24"/>
    <n v="2"/>
    <n v="47"/>
    <n v="7.31"/>
    <x v="0"/>
    <x v="0"/>
    <x v="0"/>
  </r>
  <r>
    <s v="CA-2013-140382"/>
    <d v="2013-06-24T00:00:00"/>
    <d v="2013-06-26T00:00:00"/>
    <s v="RubenDartt@gmail.com"/>
    <x v="3"/>
    <x v="8"/>
    <x v="1181"/>
    <n v="19.98"/>
    <n v="1"/>
    <n v="9.3905999999999992"/>
    <x v="0"/>
    <n v="6"/>
    <x v="0"/>
    <n v="24"/>
    <n v="2"/>
    <n v="47"/>
    <n v="19.98"/>
    <x v="0"/>
    <x v="0"/>
    <x v="0"/>
  </r>
  <r>
    <s v="CA-2013-125094"/>
    <d v="2013-11-06T00:00:00"/>
    <d v="2013-11-10T00:00:00"/>
    <s v="NoraPreis@gmail.com"/>
    <x v="1"/>
    <x v="7"/>
    <x v="1182"/>
    <n v="479.72"/>
    <n v="4"/>
    <n v="52.769199999999998"/>
    <x v="0"/>
    <n v="11"/>
    <x v="6"/>
    <n v="6"/>
    <n v="4"/>
    <n v="11"/>
    <n v="119.93"/>
    <x v="0"/>
    <x v="0"/>
    <x v="1"/>
  </r>
  <r>
    <s v="CA-2012-126466"/>
    <d v="2012-11-09T00:00:00"/>
    <d v="2012-11-13T00:00:00"/>
    <s v="JesusOcampo@gmail.com"/>
    <x v="8"/>
    <x v="10"/>
    <x v="87"/>
    <n v="2.48"/>
    <n v="2"/>
    <n v="1.1656"/>
    <x v="2"/>
    <n v="11"/>
    <x v="6"/>
    <n v="9"/>
    <n v="4"/>
    <n v="47"/>
    <n v="1.24"/>
    <x v="0"/>
    <x v="0"/>
    <x v="0"/>
  </r>
  <r>
    <s v="CA-2012-129917"/>
    <d v="2012-10-02T00:00:00"/>
    <d v="2012-10-03T00:00:00"/>
    <s v="HenryMacAllister@gmail.com"/>
    <x v="0"/>
    <x v="3"/>
    <x v="1121"/>
    <n v="11.808"/>
    <n v="3"/>
    <n v="4.1327999999999996"/>
    <x v="2"/>
    <n v="10"/>
    <x v="7"/>
    <n v="2"/>
    <n v="1"/>
    <n v="35"/>
    <n v="3.9359999999999999"/>
    <x v="0"/>
    <x v="0"/>
    <x v="0"/>
  </r>
  <r>
    <s v="CA-2012-129917"/>
    <d v="2012-10-02T00:00:00"/>
    <d v="2012-10-03T00:00:00"/>
    <s v="HenryMacAllister@gmail.com"/>
    <x v="0"/>
    <x v="3"/>
    <x v="815"/>
    <n v="53.567999999999998"/>
    <n v="4"/>
    <n v="19.418399999999998"/>
    <x v="2"/>
    <n v="10"/>
    <x v="7"/>
    <n v="2"/>
    <n v="1"/>
    <n v="36.25"/>
    <n v="13.391999999999999"/>
    <x v="0"/>
    <x v="0"/>
    <x v="0"/>
  </r>
  <r>
    <s v="CA-2012-129917"/>
    <d v="2012-10-02T00:00:00"/>
    <d v="2012-10-03T00:00:00"/>
    <s v="HenryMacAllister@gmail.com"/>
    <x v="0"/>
    <x v="6"/>
    <x v="1183"/>
    <n v="503.96"/>
    <n v="5"/>
    <n v="50.396000000000001"/>
    <x v="2"/>
    <n v="10"/>
    <x v="7"/>
    <n v="2"/>
    <n v="1"/>
    <n v="10"/>
    <n v="100.792"/>
    <x v="0"/>
    <x v="0"/>
    <x v="1"/>
  </r>
  <r>
    <s v="CA-2012-115420"/>
    <d v="2012-04-25T00:00:00"/>
    <d v="2012-05-02T00:00:00"/>
    <s v="LindaSouthworth@gmail.com"/>
    <x v="0"/>
    <x v="12"/>
    <x v="1184"/>
    <n v="21.34"/>
    <n v="2"/>
    <n v="9.8163999999999998"/>
    <x v="2"/>
    <n v="4"/>
    <x v="10"/>
    <n v="25"/>
    <n v="7"/>
    <n v="46"/>
    <n v="10.67"/>
    <x v="0"/>
    <x v="0"/>
    <x v="0"/>
  </r>
  <r>
    <s v="CA-2012-167255"/>
    <d v="2012-09-27T00:00:00"/>
    <d v="2012-09-29T00:00:00"/>
    <s v="RickHuthwaite@gmail.com"/>
    <x v="3"/>
    <x v="5"/>
    <x v="60"/>
    <n v="15.51"/>
    <n v="1"/>
    <n v="4.3428000000000004"/>
    <x v="2"/>
    <n v="9"/>
    <x v="8"/>
    <n v="27"/>
    <n v="2"/>
    <n v="28"/>
    <n v="15.51"/>
    <x v="0"/>
    <x v="0"/>
    <x v="0"/>
  </r>
  <r>
    <s v="CA-2012-167255"/>
    <d v="2012-09-27T00:00:00"/>
    <d v="2012-09-29T00:00:00"/>
    <s v="RickHuthwaite@gmail.com"/>
    <x v="3"/>
    <x v="8"/>
    <x v="1185"/>
    <n v="146.82"/>
    <n v="3"/>
    <n v="73.41"/>
    <x v="2"/>
    <n v="9"/>
    <x v="8"/>
    <n v="27"/>
    <n v="2"/>
    <n v="50"/>
    <n v="48.94"/>
    <x v="0"/>
    <x v="0"/>
    <x v="0"/>
  </r>
  <r>
    <s v="CA-2012-167255"/>
    <d v="2012-09-27T00:00:00"/>
    <d v="2012-09-29T00:00:00"/>
    <s v="RickHuthwaite@gmail.com"/>
    <x v="3"/>
    <x v="8"/>
    <x v="145"/>
    <n v="12.96"/>
    <n v="2"/>
    <n v="6.2207999999999997"/>
    <x v="2"/>
    <n v="9"/>
    <x v="8"/>
    <n v="27"/>
    <n v="2"/>
    <n v="48"/>
    <n v="6.48"/>
    <x v="0"/>
    <x v="0"/>
    <x v="0"/>
  </r>
  <r>
    <s v="CA-2014-162096"/>
    <d v="2014-11-11T00:00:00"/>
    <d v="2014-11-11T00:00:00"/>
    <s v="ThomasBrumley@gmail.com"/>
    <x v="47"/>
    <x v="2"/>
    <x v="1186"/>
    <n v="7.8"/>
    <n v="3"/>
    <n v="2.1059999999999999"/>
    <x v="3"/>
    <n v="11"/>
    <x v="6"/>
    <n v="11"/>
    <n v="0"/>
    <n v="27"/>
    <n v="2.6"/>
    <x v="0"/>
    <x v="0"/>
    <x v="0"/>
  </r>
  <r>
    <s v="CA-2013-163937"/>
    <d v="2013-01-10T00:00:00"/>
    <d v="2013-01-13T00:00:00"/>
    <s v="JoyBell-@gmail.com"/>
    <x v="146"/>
    <x v="1"/>
    <x v="358"/>
    <n v="24.85"/>
    <n v="5"/>
    <n v="7.7035"/>
    <x v="0"/>
    <n v="1"/>
    <x v="4"/>
    <n v="10"/>
    <n v="3"/>
    <n v="31"/>
    <n v="4.9700000000000006"/>
    <x v="0"/>
    <x v="0"/>
    <x v="0"/>
  </r>
  <r>
    <s v="CA-2014-153822"/>
    <d v="2014-09-20T00:00:00"/>
    <d v="2014-09-26T00:00:00"/>
    <s v="AdrianBarton@gmail.com"/>
    <x v="7"/>
    <x v="5"/>
    <x v="990"/>
    <n v="12.624000000000001"/>
    <n v="2"/>
    <n v="-2.5247999999999999"/>
    <x v="3"/>
    <n v="9"/>
    <x v="8"/>
    <n v="20"/>
    <n v="6"/>
    <n v="-20"/>
    <n v="6.3120000000000003"/>
    <x v="0"/>
    <x v="1"/>
    <x v="0"/>
  </r>
  <r>
    <s v="CA-2014-153822"/>
    <d v="2014-09-20T00:00:00"/>
    <d v="2014-09-26T00:00:00"/>
    <s v="AdrianBarton@gmail.com"/>
    <x v="7"/>
    <x v="7"/>
    <x v="212"/>
    <n v="89.584000000000003"/>
    <n v="2"/>
    <n v="4.4791999999999996"/>
    <x v="3"/>
    <n v="9"/>
    <x v="8"/>
    <n v="20"/>
    <n v="6"/>
    <n v="5"/>
    <n v="44.792000000000002"/>
    <x v="0"/>
    <x v="0"/>
    <x v="0"/>
  </r>
  <r>
    <s v="CA-2014-153822"/>
    <d v="2014-09-20T00:00:00"/>
    <d v="2014-09-26T00:00:00"/>
    <s v="AdrianBarton@gmail.com"/>
    <x v="7"/>
    <x v="6"/>
    <x v="1187"/>
    <n v="471.92"/>
    <n v="2"/>
    <n v="29.495000000000001"/>
    <x v="3"/>
    <n v="9"/>
    <x v="8"/>
    <n v="20"/>
    <n v="6"/>
    <n v="6.25"/>
    <n v="235.96"/>
    <x v="0"/>
    <x v="0"/>
    <x v="1"/>
  </r>
  <r>
    <s v="CA-2014-153822"/>
    <d v="2014-09-20T00:00:00"/>
    <d v="2014-09-26T00:00:00"/>
    <s v="AdrianBarton@gmail.com"/>
    <x v="7"/>
    <x v="3"/>
    <x v="1114"/>
    <n v="18.18"/>
    <n v="4"/>
    <n v="-13.938000000000001"/>
    <x v="3"/>
    <n v="9"/>
    <x v="8"/>
    <n v="20"/>
    <n v="6"/>
    <n v="-76.67"/>
    <n v="4.5449999999999999"/>
    <x v="0"/>
    <x v="1"/>
    <x v="0"/>
  </r>
  <r>
    <s v="CA-2012-112144"/>
    <d v="2012-06-28T00:00:00"/>
    <d v="2012-07-02T00:00:00"/>
    <s v="CraigYedwab@gmail.com"/>
    <x v="4"/>
    <x v="0"/>
    <x v="426"/>
    <n v="5.9039999999999999"/>
    <n v="2"/>
    <n v="1.9925999999999999"/>
    <x v="2"/>
    <n v="6"/>
    <x v="0"/>
    <n v="28"/>
    <n v="4"/>
    <n v="33.75"/>
    <n v="2.952"/>
    <x v="0"/>
    <x v="0"/>
    <x v="0"/>
  </r>
  <r>
    <s v="CA-2014-149076"/>
    <d v="2014-01-15T00:00:00"/>
    <d v="2014-01-20T00:00:00"/>
    <s v="SeanO'Donnell@gmail.com"/>
    <x v="0"/>
    <x v="8"/>
    <x v="900"/>
    <n v="154.9"/>
    <n v="5"/>
    <n v="69.704999999999998"/>
    <x v="3"/>
    <n v="1"/>
    <x v="4"/>
    <n v="15"/>
    <n v="5"/>
    <n v="45"/>
    <n v="30.98"/>
    <x v="0"/>
    <x v="0"/>
    <x v="0"/>
  </r>
  <r>
    <s v="CA-2012-166800"/>
    <d v="2012-11-19T00:00:00"/>
    <d v="2012-11-26T00:00:00"/>
    <s v="AleksandraGannaway@gmail.com"/>
    <x v="26"/>
    <x v="4"/>
    <x v="1053"/>
    <n v="31.08"/>
    <n v="4"/>
    <n v="8.3916000000000004"/>
    <x v="2"/>
    <n v="11"/>
    <x v="6"/>
    <n v="19"/>
    <n v="7"/>
    <n v="27"/>
    <n v="7.77"/>
    <x v="0"/>
    <x v="0"/>
    <x v="0"/>
  </r>
  <r>
    <s v="US-2013-134369"/>
    <d v="2013-09-17T00:00:00"/>
    <d v="2013-09-23T00:00:00"/>
    <s v="BeckyCastell@gmail.com"/>
    <x v="66"/>
    <x v="8"/>
    <x v="749"/>
    <n v="12.96"/>
    <n v="2"/>
    <n v="6.3503999999999996"/>
    <x v="0"/>
    <n v="9"/>
    <x v="8"/>
    <n v="17"/>
    <n v="6"/>
    <n v="49"/>
    <n v="6.48"/>
    <x v="0"/>
    <x v="0"/>
    <x v="0"/>
  </r>
  <r>
    <s v="CA-2011-133158"/>
    <d v="2011-08-19T00:00:00"/>
    <d v="2011-08-21T00:00:00"/>
    <s v="DavidWiener@gmail.com"/>
    <x v="0"/>
    <x v="1"/>
    <x v="889"/>
    <n v="289.24"/>
    <n v="7"/>
    <n v="26.031600000000001"/>
    <x v="1"/>
    <n v="8"/>
    <x v="3"/>
    <n v="19"/>
    <n v="2"/>
    <n v="9"/>
    <n v="41.32"/>
    <x v="0"/>
    <x v="0"/>
    <x v="1"/>
  </r>
  <r>
    <s v="CA-2011-133158"/>
    <d v="2011-08-19T00:00:00"/>
    <d v="2011-08-21T00:00:00"/>
    <s v="DavidWiener@gmail.com"/>
    <x v="0"/>
    <x v="3"/>
    <x v="540"/>
    <n v="69.456000000000003"/>
    <n v="2"/>
    <n v="22.5732"/>
    <x v="1"/>
    <n v="8"/>
    <x v="3"/>
    <n v="19"/>
    <n v="2"/>
    <n v="32.5"/>
    <n v="34.728000000000002"/>
    <x v="0"/>
    <x v="0"/>
    <x v="0"/>
  </r>
  <r>
    <s v="CA-2014-141201"/>
    <d v="2014-12-10T00:00:00"/>
    <d v="2014-12-12T00:00:00"/>
    <s v="DanielByrd@gmail.com"/>
    <x v="45"/>
    <x v="14"/>
    <x v="832"/>
    <n v="148.25700000000001"/>
    <n v="3"/>
    <n v="15.697800000000001"/>
    <x v="3"/>
    <n v="12"/>
    <x v="1"/>
    <n v="10"/>
    <n v="2"/>
    <n v="10.59"/>
    <n v="49.418999999999997"/>
    <x v="0"/>
    <x v="0"/>
    <x v="0"/>
  </r>
  <r>
    <s v="CA-2011-124737"/>
    <d v="2011-08-23T00:00:00"/>
    <d v="2011-08-27T00:00:00"/>
    <s v="ArthurPrichep@gmail.com"/>
    <x v="13"/>
    <x v="8"/>
    <x v="1188"/>
    <n v="15.552"/>
    <n v="3"/>
    <n v="5.4432"/>
    <x v="1"/>
    <n v="8"/>
    <x v="3"/>
    <n v="23"/>
    <n v="4"/>
    <n v="35"/>
    <n v="5.1840000000000002"/>
    <x v="0"/>
    <x v="0"/>
    <x v="0"/>
  </r>
  <r>
    <s v="CA-2011-124737"/>
    <d v="2011-08-23T00:00:00"/>
    <d v="2011-08-27T00:00:00"/>
    <s v="ArthurPrichep@gmail.com"/>
    <x v="13"/>
    <x v="11"/>
    <x v="1189"/>
    <n v="6.8"/>
    <n v="1"/>
    <n v="0.51"/>
    <x v="1"/>
    <n v="8"/>
    <x v="3"/>
    <n v="23"/>
    <n v="4"/>
    <n v="7.5"/>
    <n v="6.8"/>
    <x v="0"/>
    <x v="0"/>
    <x v="0"/>
  </r>
  <r>
    <s v="CA-2011-124737"/>
    <d v="2011-08-23T00:00:00"/>
    <d v="2011-08-27T00:00:00"/>
    <s v="ArthurPrichep@gmail.com"/>
    <x v="13"/>
    <x v="1"/>
    <x v="67"/>
    <n v="4.2240000000000002"/>
    <n v="3"/>
    <n v="1.2672000000000001"/>
    <x v="1"/>
    <n v="8"/>
    <x v="3"/>
    <n v="23"/>
    <n v="4"/>
    <n v="30"/>
    <n v="1.4079999999999999"/>
    <x v="0"/>
    <x v="0"/>
    <x v="0"/>
  </r>
  <r>
    <s v="CA-2011-124737"/>
    <d v="2011-08-23T00:00:00"/>
    <d v="2011-08-27T00:00:00"/>
    <s v="ArthurPrichep@gmail.com"/>
    <x v="13"/>
    <x v="6"/>
    <x v="121"/>
    <n v="143.63999999999999"/>
    <n v="9"/>
    <n v="10.773"/>
    <x v="1"/>
    <n v="8"/>
    <x v="3"/>
    <n v="23"/>
    <n v="4"/>
    <n v="7.5"/>
    <n v="15.96"/>
    <x v="0"/>
    <x v="0"/>
    <x v="0"/>
  </r>
  <r>
    <s v="CA-2011-124737"/>
    <d v="2011-08-23T00:00:00"/>
    <d v="2011-08-27T00:00:00"/>
    <s v="ArthurPrichep@gmail.com"/>
    <x v="13"/>
    <x v="8"/>
    <x v="228"/>
    <n v="31.103999999999999"/>
    <n v="6"/>
    <n v="10.8864"/>
    <x v="1"/>
    <n v="8"/>
    <x v="3"/>
    <n v="23"/>
    <n v="4"/>
    <n v="35"/>
    <n v="5.1840000000000002"/>
    <x v="0"/>
    <x v="0"/>
    <x v="0"/>
  </r>
  <r>
    <s v="CA-2011-124737"/>
    <d v="2011-08-23T00:00:00"/>
    <d v="2011-08-27T00:00:00"/>
    <s v="ArthurPrichep@gmail.com"/>
    <x v="13"/>
    <x v="8"/>
    <x v="505"/>
    <n v="223.05600000000001"/>
    <n v="9"/>
    <n v="69.704999999999998"/>
    <x v="1"/>
    <n v="8"/>
    <x v="3"/>
    <n v="23"/>
    <n v="4"/>
    <n v="31.25"/>
    <n v="24.783999999999999"/>
    <x v="0"/>
    <x v="0"/>
    <x v="1"/>
  </r>
  <r>
    <s v="CA-2011-150581"/>
    <d v="2011-04-08T00:00:00"/>
    <d v="2011-04-12T00:00:00"/>
    <s v="NathanMautz@gmail.com"/>
    <x v="29"/>
    <x v="13"/>
    <x v="612"/>
    <n v="99.591999999999999"/>
    <n v="1"/>
    <n v="2.4897999999999998"/>
    <x v="1"/>
    <n v="4"/>
    <x v="10"/>
    <n v="8"/>
    <n v="4"/>
    <n v="2.5"/>
    <n v="99.591999999999999"/>
    <x v="0"/>
    <x v="0"/>
    <x v="0"/>
  </r>
  <r>
    <s v="CA-2011-150581"/>
    <d v="2011-04-08T00:00:00"/>
    <d v="2011-04-12T00:00:00"/>
    <s v="NathanMautz@gmail.com"/>
    <x v="29"/>
    <x v="7"/>
    <x v="83"/>
    <n v="399.96"/>
    <n v="4"/>
    <n v="139.98599999999999"/>
    <x v="1"/>
    <n v="4"/>
    <x v="10"/>
    <n v="8"/>
    <n v="4"/>
    <n v="35"/>
    <n v="99.99"/>
    <x v="0"/>
    <x v="0"/>
    <x v="1"/>
  </r>
  <r>
    <s v="CA-2011-141355"/>
    <d v="2011-09-25T00:00:00"/>
    <d v="2011-09-30T00:00:00"/>
    <s v="BarryFranz@gmail.com"/>
    <x v="6"/>
    <x v="2"/>
    <x v="771"/>
    <n v="14.576000000000001"/>
    <n v="2"/>
    <n v="2.3685999999999998"/>
    <x v="1"/>
    <n v="9"/>
    <x v="8"/>
    <n v="25"/>
    <n v="5"/>
    <n v="16.25"/>
    <n v="7.2880000000000003"/>
    <x v="0"/>
    <x v="0"/>
    <x v="0"/>
  </r>
  <r>
    <s v="CA-2013-165330"/>
    <d v="2013-12-12T00:00:00"/>
    <d v="2013-12-12T00:00:00"/>
    <s v="WilliamBrown@gmail.com"/>
    <x v="104"/>
    <x v="3"/>
    <x v="76"/>
    <n v="209.6"/>
    <n v="5"/>
    <n v="68.12"/>
    <x v="0"/>
    <n v="12"/>
    <x v="1"/>
    <n v="12"/>
    <n v="0"/>
    <n v="32.5"/>
    <n v="41.92"/>
    <x v="0"/>
    <x v="0"/>
    <x v="0"/>
  </r>
  <r>
    <s v="CA-2013-165330"/>
    <d v="2013-12-12T00:00:00"/>
    <d v="2013-12-12T00:00:00"/>
    <s v="WilliamBrown@gmail.com"/>
    <x v="104"/>
    <x v="2"/>
    <x v="1154"/>
    <n v="23.32"/>
    <n v="2"/>
    <n v="6.0632000000000001"/>
    <x v="0"/>
    <n v="12"/>
    <x v="1"/>
    <n v="12"/>
    <n v="0"/>
    <n v="26"/>
    <n v="11.66"/>
    <x v="0"/>
    <x v="0"/>
    <x v="0"/>
  </r>
  <r>
    <s v="CA-2013-165330"/>
    <d v="2013-12-12T00:00:00"/>
    <d v="2013-12-12T00:00:00"/>
    <s v="WilliamBrown@gmail.com"/>
    <x v="104"/>
    <x v="8"/>
    <x v="440"/>
    <n v="30.98"/>
    <n v="1"/>
    <n v="13.941000000000001"/>
    <x v="0"/>
    <n v="12"/>
    <x v="1"/>
    <n v="12"/>
    <n v="0"/>
    <n v="45"/>
    <n v="30.98"/>
    <x v="0"/>
    <x v="0"/>
    <x v="0"/>
  </r>
  <r>
    <s v="CA-2013-165330"/>
    <d v="2013-12-12T00:00:00"/>
    <d v="2013-12-12T00:00:00"/>
    <s v="WilliamBrown@gmail.com"/>
    <x v="104"/>
    <x v="7"/>
    <x v="1153"/>
    <n v="119.96"/>
    <n v="4"/>
    <n v="25.191600000000001"/>
    <x v="0"/>
    <n v="12"/>
    <x v="1"/>
    <n v="12"/>
    <n v="0"/>
    <n v="21"/>
    <n v="29.99"/>
    <x v="0"/>
    <x v="0"/>
    <x v="0"/>
  </r>
  <r>
    <s v="CA-2013-165330"/>
    <d v="2013-12-12T00:00:00"/>
    <d v="2013-12-12T00:00:00"/>
    <s v="WilliamBrown@gmail.com"/>
    <x v="104"/>
    <x v="9"/>
    <x v="1170"/>
    <n v="363.92"/>
    <n v="5"/>
    <n v="-31.843"/>
    <x v="0"/>
    <n v="12"/>
    <x v="1"/>
    <n v="12"/>
    <n v="0"/>
    <n v="-8.75"/>
    <n v="72.784000000000006"/>
    <x v="0"/>
    <x v="1"/>
    <x v="1"/>
  </r>
  <r>
    <s v="CA-2013-165330"/>
    <d v="2013-12-12T00:00:00"/>
    <d v="2013-12-12T00:00:00"/>
    <s v="WilliamBrown@gmail.com"/>
    <x v="104"/>
    <x v="3"/>
    <x v="1190"/>
    <n v="35.808"/>
    <n v="3"/>
    <n v="11.19"/>
    <x v="0"/>
    <n v="12"/>
    <x v="1"/>
    <n v="12"/>
    <n v="0"/>
    <n v="31.25"/>
    <n v="11.936"/>
    <x v="0"/>
    <x v="0"/>
    <x v="0"/>
  </r>
  <r>
    <s v="CA-2013-165330"/>
    <d v="2013-12-12T00:00:00"/>
    <d v="2013-12-12T00:00:00"/>
    <s v="WilliamBrown@gmail.com"/>
    <x v="104"/>
    <x v="3"/>
    <x v="724"/>
    <n v="122.688"/>
    <n v="9"/>
    <n v="39.873600000000003"/>
    <x v="0"/>
    <n v="12"/>
    <x v="1"/>
    <n v="12"/>
    <n v="0"/>
    <n v="32.5"/>
    <n v="13.632"/>
    <x v="0"/>
    <x v="0"/>
    <x v="0"/>
  </r>
  <r>
    <s v="CA-2013-165330"/>
    <d v="2013-12-12T00:00:00"/>
    <d v="2013-12-12T00:00:00"/>
    <s v="WilliamBrown@gmail.com"/>
    <x v="104"/>
    <x v="5"/>
    <x v="1055"/>
    <n v="50.22"/>
    <n v="3"/>
    <n v="2.0087999999999999"/>
    <x v="0"/>
    <n v="12"/>
    <x v="1"/>
    <n v="12"/>
    <n v="0"/>
    <n v="4"/>
    <n v="16.739999999999998"/>
    <x v="0"/>
    <x v="0"/>
    <x v="0"/>
  </r>
  <r>
    <s v="CA-2013-165330"/>
    <d v="2013-12-12T00:00:00"/>
    <d v="2013-12-12T00:00:00"/>
    <s v="WilliamBrown@gmail.com"/>
    <x v="104"/>
    <x v="4"/>
    <x v="1145"/>
    <n v="83.42"/>
    <n v="2"/>
    <n v="24.191800000000001"/>
    <x v="0"/>
    <n v="12"/>
    <x v="1"/>
    <n v="12"/>
    <n v="0"/>
    <n v="29"/>
    <n v="41.71"/>
    <x v="0"/>
    <x v="0"/>
    <x v="0"/>
  </r>
  <r>
    <s v="CA-2013-165330"/>
    <d v="2013-12-12T00:00:00"/>
    <d v="2013-12-12T00:00:00"/>
    <s v="WilliamBrown@gmail.com"/>
    <x v="104"/>
    <x v="3"/>
    <x v="1191"/>
    <n v="5.8719999999999999"/>
    <n v="2"/>
    <n v="2.1286"/>
    <x v="0"/>
    <n v="12"/>
    <x v="1"/>
    <n v="12"/>
    <n v="0"/>
    <n v="36.25"/>
    <n v="2.9359999999999999"/>
    <x v="0"/>
    <x v="0"/>
    <x v="0"/>
  </r>
  <r>
    <s v="CA-2012-132633"/>
    <d v="2012-02-03T00:00:00"/>
    <d v="2012-02-05T00:00:00"/>
    <s v="KenHeidel@gmail.com"/>
    <x v="61"/>
    <x v="3"/>
    <x v="963"/>
    <n v="12.144"/>
    <n v="3"/>
    <n v="4.0986000000000002"/>
    <x v="2"/>
    <n v="2"/>
    <x v="11"/>
    <n v="3"/>
    <n v="2"/>
    <n v="33.75"/>
    <n v="4.048"/>
    <x v="0"/>
    <x v="0"/>
    <x v="0"/>
  </r>
  <r>
    <s v="CA-2013-157742"/>
    <d v="2013-12-30T00:00:00"/>
    <d v="2014-01-01T00:00:00"/>
    <s v="KenLonsdale@gmail.com"/>
    <x v="77"/>
    <x v="12"/>
    <x v="969"/>
    <n v="27.792000000000002"/>
    <n v="3"/>
    <n v="10.422000000000001"/>
    <x v="0"/>
    <n v="12"/>
    <x v="1"/>
    <n v="30"/>
    <n v="2"/>
    <n v="37.5"/>
    <n v="9.2640000000000011"/>
    <x v="0"/>
    <x v="0"/>
    <x v="0"/>
  </r>
  <r>
    <s v="CA-2014-127712"/>
    <d v="2014-09-01T00:00:00"/>
    <d v="2014-09-06T00:00:00"/>
    <s v="MichaelGranlund@gmail.com"/>
    <x v="35"/>
    <x v="11"/>
    <x v="750"/>
    <n v="6.2080000000000002"/>
    <n v="2"/>
    <n v="0.69840000000000002"/>
    <x v="3"/>
    <n v="9"/>
    <x v="8"/>
    <n v="1"/>
    <n v="5"/>
    <n v="11.25"/>
    <n v="3.1040000000000001"/>
    <x v="0"/>
    <x v="0"/>
    <x v="0"/>
  </r>
  <r>
    <s v="CA-2013-147473"/>
    <d v="2013-05-31T00:00:00"/>
    <d v="2013-06-04T00:00:00"/>
    <s v="NancyLomonaco@gmail.com"/>
    <x v="0"/>
    <x v="8"/>
    <x v="610"/>
    <n v="38.880000000000003"/>
    <n v="6"/>
    <n v="18.662400000000002"/>
    <x v="0"/>
    <n v="5"/>
    <x v="2"/>
    <n v="31"/>
    <n v="4"/>
    <n v="48"/>
    <n v="6.48"/>
    <x v="0"/>
    <x v="0"/>
    <x v="0"/>
  </r>
  <r>
    <s v="CA-2011-141901"/>
    <d v="2011-08-09T00:00:00"/>
    <d v="2011-08-14T00:00:00"/>
    <s v="GeneMcClure@gmail.com"/>
    <x v="57"/>
    <x v="8"/>
    <x v="137"/>
    <n v="5.98"/>
    <n v="1"/>
    <n v="2.6909999999999998"/>
    <x v="1"/>
    <n v="8"/>
    <x v="3"/>
    <n v="9"/>
    <n v="5"/>
    <n v="45"/>
    <n v="5.98"/>
    <x v="0"/>
    <x v="0"/>
    <x v="0"/>
  </r>
  <r>
    <s v="CA-2013-167416"/>
    <d v="2013-05-13T00:00:00"/>
    <d v="2013-05-18T00:00:00"/>
    <s v="JillMatthias@gmail.com"/>
    <x v="1"/>
    <x v="12"/>
    <x v="759"/>
    <n v="54.9"/>
    <n v="5"/>
    <n v="26.901"/>
    <x v="0"/>
    <n v="5"/>
    <x v="2"/>
    <n v="13"/>
    <n v="5"/>
    <n v="49"/>
    <n v="10.98"/>
    <x v="0"/>
    <x v="0"/>
    <x v="0"/>
  </r>
  <r>
    <s v="CA-2014-118724"/>
    <d v="2014-07-22T00:00:00"/>
    <d v="2014-07-26T00:00:00"/>
    <s v="AnthonyRawles@gmail.com"/>
    <x v="29"/>
    <x v="2"/>
    <x v="884"/>
    <n v="3.52"/>
    <n v="2"/>
    <n v="1.6896"/>
    <x v="3"/>
    <n v="7"/>
    <x v="5"/>
    <n v="22"/>
    <n v="4"/>
    <n v="48"/>
    <n v="1.76"/>
    <x v="0"/>
    <x v="0"/>
    <x v="0"/>
  </r>
  <r>
    <s v="US-2014-143175"/>
    <d v="2014-08-04T00:00:00"/>
    <d v="2014-08-07T00:00:00"/>
    <s v="GeorgeAshbrook@gmail.com"/>
    <x v="0"/>
    <x v="5"/>
    <x v="529"/>
    <n v="99.87"/>
    <n v="3"/>
    <n v="23.968800000000002"/>
    <x v="3"/>
    <n v="8"/>
    <x v="3"/>
    <n v="4"/>
    <n v="3"/>
    <n v="24"/>
    <n v="33.29"/>
    <x v="0"/>
    <x v="0"/>
    <x v="0"/>
  </r>
  <r>
    <s v="CA-2012-105844"/>
    <d v="2012-10-25T00:00:00"/>
    <d v="2012-10-27T00:00:00"/>
    <s v="JenniferFerguson@gmail.com"/>
    <x v="135"/>
    <x v="2"/>
    <x v="535"/>
    <n v="79.36"/>
    <n v="4"/>
    <n v="23.808"/>
    <x v="2"/>
    <n v="10"/>
    <x v="7"/>
    <n v="25"/>
    <n v="2"/>
    <n v="30"/>
    <n v="19.84"/>
    <x v="0"/>
    <x v="0"/>
    <x v="0"/>
  </r>
  <r>
    <s v="CA-2014-118864"/>
    <d v="2014-06-16T00:00:00"/>
    <d v="2014-06-20T00:00:00"/>
    <s v="KristenHastings@gmail.com"/>
    <x v="0"/>
    <x v="6"/>
    <x v="1192"/>
    <n v="119.96"/>
    <n v="1"/>
    <n v="7.4974999999999996"/>
    <x v="3"/>
    <n v="6"/>
    <x v="0"/>
    <n v="16"/>
    <n v="4"/>
    <n v="6.25"/>
    <n v="119.96"/>
    <x v="0"/>
    <x v="0"/>
    <x v="0"/>
  </r>
  <r>
    <s v="CA-2011-159625"/>
    <d v="2011-11-23T00:00:00"/>
    <d v="2011-11-28T00:00:00"/>
    <s v="SallyMatthias@gmail.com"/>
    <x v="9"/>
    <x v="12"/>
    <x v="50"/>
    <n v="23.472000000000001"/>
    <n v="3"/>
    <n v="8.8019999999999996"/>
    <x v="1"/>
    <n v="11"/>
    <x v="6"/>
    <n v="23"/>
    <n v="5"/>
    <n v="37.5"/>
    <n v="7.8240000000000007"/>
    <x v="1"/>
    <x v="0"/>
    <x v="0"/>
  </r>
  <r>
    <s v="CA-2014-147410"/>
    <d v="2014-09-05T00:00:00"/>
    <d v="2014-09-09T00:00:00"/>
    <s v="EvaJacobs@gmail.com"/>
    <x v="44"/>
    <x v="5"/>
    <x v="1193"/>
    <n v="421.1"/>
    <n v="2"/>
    <n v="105.27500000000001"/>
    <x v="3"/>
    <n v="9"/>
    <x v="8"/>
    <n v="5"/>
    <n v="4"/>
    <n v="25"/>
    <n v="210.55"/>
    <x v="0"/>
    <x v="0"/>
    <x v="1"/>
  </r>
  <r>
    <s v="US-2013-102239"/>
    <d v="2013-05-06T00:00:00"/>
    <d v="2013-05-07T00:00:00"/>
    <s v="LindsayWilliams@gmail.com"/>
    <x v="73"/>
    <x v="3"/>
    <x v="1194"/>
    <n v="5.7279999999999998"/>
    <n v="2"/>
    <n v="2.0047999999999999"/>
    <x v="0"/>
    <n v="5"/>
    <x v="2"/>
    <n v="6"/>
    <n v="1"/>
    <n v="35"/>
    <n v="2.8639999999999999"/>
    <x v="0"/>
    <x v="0"/>
    <x v="0"/>
  </r>
  <r>
    <s v="CA-2011-143168"/>
    <d v="2011-10-18T00:00:00"/>
    <d v="2011-10-23T00:00:00"/>
    <s v="IvanGibson@gmail.com"/>
    <x v="1"/>
    <x v="8"/>
    <x v="1015"/>
    <n v="61.96"/>
    <n v="2"/>
    <n v="27.882000000000001"/>
    <x v="1"/>
    <n v="10"/>
    <x v="7"/>
    <n v="18"/>
    <n v="5"/>
    <n v="45"/>
    <n v="30.98"/>
    <x v="0"/>
    <x v="0"/>
    <x v="0"/>
  </r>
  <r>
    <s v="CA-2011-143168"/>
    <d v="2011-10-18T00:00:00"/>
    <d v="2011-10-23T00:00:00"/>
    <s v="IvanGibson@gmail.com"/>
    <x v="1"/>
    <x v="3"/>
    <x v="611"/>
    <n v="1.3440000000000001"/>
    <n v="1"/>
    <n v="0.47039999999999998"/>
    <x v="1"/>
    <n v="10"/>
    <x v="7"/>
    <n v="18"/>
    <n v="5"/>
    <n v="35"/>
    <n v="1.3440000000000001"/>
    <x v="0"/>
    <x v="0"/>
    <x v="0"/>
  </r>
  <r>
    <s v="CA-2014-118122"/>
    <d v="2014-11-18T00:00:00"/>
    <d v="2014-11-25T00:00:00"/>
    <s v="GregGuthrie@gmail.com"/>
    <x v="1"/>
    <x v="3"/>
    <x v="305"/>
    <n v="13.904"/>
    <n v="2"/>
    <n v="4.5187999999999997"/>
    <x v="3"/>
    <n v="11"/>
    <x v="6"/>
    <n v="18"/>
    <n v="7"/>
    <n v="32.5"/>
    <n v="6.952"/>
    <x v="0"/>
    <x v="0"/>
    <x v="0"/>
  </r>
  <r>
    <s v="CA-2014-166926"/>
    <d v="2014-12-02T00:00:00"/>
    <d v="2014-12-09T00:00:00"/>
    <s v="SeanO'Donnell@gmail.com"/>
    <x v="1"/>
    <x v="8"/>
    <x v="1094"/>
    <n v="41.86"/>
    <n v="7"/>
    <n v="18.837"/>
    <x v="3"/>
    <n v="12"/>
    <x v="1"/>
    <n v="2"/>
    <n v="7"/>
    <n v="45"/>
    <n v="5.98"/>
    <x v="0"/>
    <x v="0"/>
    <x v="0"/>
  </r>
  <r>
    <s v="CA-2014-166926"/>
    <d v="2014-12-02T00:00:00"/>
    <d v="2014-12-09T00:00:00"/>
    <s v="SeanO'Donnell@gmail.com"/>
    <x v="1"/>
    <x v="14"/>
    <x v="713"/>
    <n v="141.96"/>
    <n v="2"/>
    <n v="41.168399999999998"/>
    <x v="3"/>
    <n v="12"/>
    <x v="1"/>
    <n v="2"/>
    <n v="7"/>
    <n v="29"/>
    <n v="70.98"/>
    <x v="0"/>
    <x v="0"/>
    <x v="0"/>
  </r>
  <r>
    <s v="CA-2014-142909"/>
    <d v="2014-12-23T00:00:00"/>
    <d v="2014-12-26T00:00:00"/>
    <s v="AlexGrayson@gmail.com"/>
    <x v="33"/>
    <x v="13"/>
    <x v="1164"/>
    <n v="182.55"/>
    <n v="2"/>
    <n v="-135.08699999999999"/>
    <x v="3"/>
    <n v="12"/>
    <x v="1"/>
    <n v="23"/>
    <n v="3"/>
    <n v="-74"/>
    <n v="91.275000000000006"/>
    <x v="0"/>
    <x v="1"/>
    <x v="0"/>
  </r>
  <r>
    <s v="CA-2013-131380"/>
    <d v="2013-03-29T00:00:00"/>
    <d v="2013-04-01T00:00:00"/>
    <s v="ChrisCortes@gmail.com"/>
    <x v="0"/>
    <x v="5"/>
    <x v="1096"/>
    <n v="87.92"/>
    <n v="4"/>
    <n v="0.87919999999999998"/>
    <x v="0"/>
    <n v="3"/>
    <x v="9"/>
    <n v="29"/>
    <n v="3"/>
    <n v="1"/>
    <n v="21.98"/>
    <x v="0"/>
    <x v="0"/>
    <x v="0"/>
  </r>
  <r>
    <s v="CA-2013-131380"/>
    <d v="2013-03-29T00:00:00"/>
    <d v="2013-04-01T00:00:00"/>
    <s v="ChrisCortes@gmail.com"/>
    <x v="0"/>
    <x v="8"/>
    <x v="1195"/>
    <n v="5.98"/>
    <n v="1"/>
    <n v="2.9302000000000001"/>
    <x v="0"/>
    <n v="3"/>
    <x v="9"/>
    <n v="29"/>
    <n v="3"/>
    <n v="49"/>
    <n v="5.98"/>
    <x v="0"/>
    <x v="0"/>
    <x v="0"/>
  </r>
  <r>
    <s v="CA-2011-117464"/>
    <d v="2011-07-22T00:00:00"/>
    <d v="2011-07-24T00:00:00"/>
    <s v="NaresjPatel@gmail.com"/>
    <x v="3"/>
    <x v="2"/>
    <x v="208"/>
    <n v="11.52"/>
    <n v="4"/>
    <n v="3.2256"/>
    <x v="1"/>
    <n v="7"/>
    <x v="5"/>
    <n v="22"/>
    <n v="2"/>
    <n v="28"/>
    <n v="2.88"/>
    <x v="0"/>
    <x v="0"/>
    <x v="0"/>
  </r>
  <r>
    <s v="CA-2011-117464"/>
    <d v="2011-07-22T00:00:00"/>
    <d v="2011-07-24T00:00:00"/>
    <s v="NaresjPatel@gmail.com"/>
    <x v="3"/>
    <x v="5"/>
    <x v="1196"/>
    <n v="236.5"/>
    <n v="10"/>
    <n v="68.584999999999994"/>
    <x v="1"/>
    <n v="7"/>
    <x v="5"/>
    <n v="22"/>
    <n v="2"/>
    <n v="29"/>
    <n v="23.65"/>
    <x v="0"/>
    <x v="0"/>
    <x v="1"/>
  </r>
  <r>
    <s v="CA-2011-117464"/>
    <d v="2011-07-22T00:00:00"/>
    <d v="2011-07-24T00:00:00"/>
    <s v="NaresjPatel@gmail.com"/>
    <x v="3"/>
    <x v="13"/>
    <x v="435"/>
    <n v="170.352"/>
    <n v="3"/>
    <n v="19.1646"/>
    <x v="1"/>
    <n v="7"/>
    <x v="5"/>
    <n v="22"/>
    <n v="2"/>
    <n v="11.25"/>
    <n v="56.783999999999999"/>
    <x v="0"/>
    <x v="0"/>
    <x v="0"/>
  </r>
  <r>
    <s v="CA-2014-125381"/>
    <d v="2014-04-26T00:00:00"/>
    <d v="2014-04-28T00:00:00"/>
    <s v="SperosGoranitis@gmail.com"/>
    <x v="3"/>
    <x v="7"/>
    <x v="97"/>
    <n v="107.97"/>
    <n v="3"/>
    <n v="22.6737"/>
    <x v="3"/>
    <n v="4"/>
    <x v="10"/>
    <n v="26"/>
    <n v="2"/>
    <n v="21"/>
    <n v="35.99"/>
    <x v="1"/>
    <x v="0"/>
    <x v="0"/>
  </r>
  <r>
    <s v="CA-2014-150609"/>
    <d v="2014-05-01T00:00:00"/>
    <d v="2014-05-05T00:00:00"/>
    <s v="NickZandusky@gmail.com"/>
    <x v="0"/>
    <x v="3"/>
    <x v="221"/>
    <n v="23.24"/>
    <n v="5"/>
    <n v="7.5529999999999999"/>
    <x v="3"/>
    <n v="5"/>
    <x v="2"/>
    <n v="1"/>
    <n v="4"/>
    <n v="32.5"/>
    <n v="4.6479999999999997"/>
    <x v="0"/>
    <x v="0"/>
    <x v="0"/>
  </r>
  <r>
    <s v="CA-2013-164399"/>
    <d v="2013-11-13T00:00:00"/>
    <d v="2013-11-16T00:00:00"/>
    <s v="DiannaWilson@gmail.com"/>
    <x v="16"/>
    <x v="6"/>
    <x v="1118"/>
    <n v="203.976"/>
    <n v="3"/>
    <n v="25.497"/>
    <x v="0"/>
    <n v="11"/>
    <x v="6"/>
    <n v="13"/>
    <n v="3"/>
    <n v="12.5"/>
    <n v="67.992000000000004"/>
    <x v="0"/>
    <x v="0"/>
    <x v="0"/>
  </r>
  <r>
    <s v="CA-2013-147683"/>
    <d v="2013-11-14T00:00:00"/>
    <d v="2013-11-18T00:00:00"/>
    <s v="PhilisseOvercash@gmail.com"/>
    <x v="1"/>
    <x v="1"/>
    <x v="1197"/>
    <n v="19.54"/>
    <n v="2"/>
    <n v="7.2298"/>
    <x v="0"/>
    <n v="11"/>
    <x v="6"/>
    <n v="14"/>
    <n v="4"/>
    <n v="37"/>
    <n v="9.77"/>
    <x v="0"/>
    <x v="0"/>
    <x v="0"/>
  </r>
  <r>
    <s v="CA-2011-116785"/>
    <d v="2011-04-26T00:00:00"/>
    <d v="2011-04-30T00:00:00"/>
    <s v="MarcHarrigan@gmail.com"/>
    <x v="0"/>
    <x v="2"/>
    <x v="957"/>
    <n v="21.4"/>
    <n v="5"/>
    <n v="6.2060000000000004"/>
    <x v="1"/>
    <n v="4"/>
    <x v="10"/>
    <n v="26"/>
    <n v="4"/>
    <n v="29"/>
    <n v="4.2799999999999994"/>
    <x v="0"/>
    <x v="0"/>
    <x v="0"/>
  </r>
  <r>
    <s v="CA-2011-116785"/>
    <d v="2011-04-26T00:00:00"/>
    <d v="2011-04-30T00:00:00"/>
    <s v="MarcHarrigan@gmail.com"/>
    <x v="0"/>
    <x v="0"/>
    <x v="1180"/>
    <n v="12.6"/>
    <n v="2"/>
    <n v="5.7960000000000003"/>
    <x v="1"/>
    <n v="4"/>
    <x v="10"/>
    <n v="26"/>
    <n v="4"/>
    <n v="46"/>
    <n v="6.3"/>
    <x v="0"/>
    <x v="0"/>
    <x v="0"/>
  </r>
  <r>
    <s v="CA-2014-137414"/>
    <d v="2014-10-03T00:00:00"/>
    <d v="2014-10-07T00:00:00"/>
    <s v="ChadMcGuire@gmail.com"/>
    <x v="3"/>
    <x v="1"/>
    <x v="294"/>
    <n v="17.46"/>
    <n v="2"/>
    <n v="5.9363999999999999"/>
    <x v="3"/>
    <n v="10"/>
    <x v="7"/>
    <n v="3"/>
    <n v="4"/>
    <n v="34"/>
    <n v="8.73"/>
    <x v="0"/>
    <x v="0"/>
    <x v="0"/>
  </r>
  <r>
    <s v="CA-2014-137414"/>
    <d v="2014-10-03T00:00:00"/>
    <d v="2014-10-07T00:00:00"/>
    <s v="ChadMcGuire@gmail.com"/>
    <x v="3"/>
    <x v="15"/>
    <x v="1198"/>
    <n v="369.16"/>
    <n v="11"/>
    <n v="32.301499999999997"/>
    <x v="3"/>
    <n v="10"/>
    <x v="7"/>
    <n v="3"/>
    <n v="4"/>
    <n v="8.75"/>
    <n v="33.56"/>
    <x v="0"/>
    <x v="0"/>
    <x v="1"/>
  </r>
  <r>
    <s v="CA-2013-143476"/>
    <d v="2013-09-12T00:00:00"/>
    <d v="2013-09-14T00:00:00"/>
    <s v="LindaCazamias@gmail.com"/>
    <x v="7"/>
    <x v="2"/>
    <x v="280"/>
    <n v="2.9119999999999999"/>
    <n v="2"/>
    <n v="0.91"/>
    <x v="0"/>
    <n v="9"/>
    <x v="8"/>
    <n v="12"/>
    <n v="2"/>
    <n v="31.25"/>
    <n v="1.456"/>
    <x v="0"/>
    <x v="0"/>
    <x v="0"/>
  </r>
  <r>
    <s v="CA-2013-143476"/>
    <d v="2013-09-12T00:00:00"/>
    <d v="2013-09-14T00:00:00"/>
    <s v="LindaCazamias@gmail.com"/>
    <x v="7"/>
    <x v="8"/>
    <x v="1188"/>
    <n v="20.736000000000001"/>
    <n v="4"/>
    <n v="7.2576000000000001"/>
    <x v="0"/>
    <n v="9"/>
    <x v="8"/>
    <n v="12"/>
    <n v="2"/>
    <n v="35"/>
    <n v="5.1840000000000002"/>
    <x v="0"/>
    <x v="0"/>
    <x v="0"/>
  </r>
  <r>
    <s v="CA-2013-143476"/>
    <d v="2013-09-12T00:00:00"/>
    <d v="2013-09-14T00:00:00"/>
    <s v="LindaCazamias@gmail.com"/>
    <x v="7"/>
    <x v="8"/>
    <x v="137"/>
    <n v="9.5679999999999996"/>
    <n v="2"/>
    <n v="2.99"/>
    <x v="0"/>
    <n v="9"/>
    <x v="8"/>
    <n v="12"/>
    <n v="2"/>
    <n v="31.25"/>
    <n v="4.7839999999999998"/>
    <x v="0"/>
    <x v="0"/>
    <x v="0"/>
  </r>
  <r>
    <s v="US-2013-119046"/>
    <d v="2013-06-03T00:00:00"/>
    <d v="2013-06-07T00:00:00"/>
    <s v="EdwardHooks@gmail.com"/>
    <x v="1"/>
    <x v="8"/>
    <x v="790"/>
    <n v="30.18"/>
    <n v="3"/>
    <n v="13.8828"/>
    <x v="0"/>
    <n v="6"/>
    <x v="0"/>
    <n v="3"/>
    <n v="4"/>
    <n v="46"/>
    <n v="10.06"/>
    <x v="0"/>
    <x v="0"/>
    <x v="0"/>
  </r>
  <r>
    <s v="US-2013-119046"/>
    <d v="2013-06-03T00:00:00"/>
    <d v="2013-06-07T00:00:00"/>
    <s v="EdwardHooks@gmail.com"/>
    <x v="1"/>
    <x v="3"/>
    <x v="14"/>
    <n v="51.648000000000003"/>
    <n v="12"/>
    <n v="18.7224"/>
    <x v="0"/>
    <n v="6"/>
    <x v="0"/>
    <n v="3"/>
    <n v="4"/>
    <n v="36.25"/>
    <n v="4.3040000000000003"/>
    <x v="0"/>
    <x v="0"/>
    <x v="0"/>
  </r>
  <r>
    <s v="US-2013-119046"/>
    <d v="2013-06-03T00:00:00"/>
    <d v="2013-06-07T00:00:00"/>
    <s v="EdwardHooks@gmail.com"/>
    <x v="1"/>
    <x v="3"/>
    <x v="194"/>
    <n v="11.231999999999999"/>
    <n v="3"/>
    <n v="3.9312"/>
    <x v="0"/>
    <n v="6"/>
    <x v="0"/>
    <n v="3"/>
    <n v="4"/>
    <n v="35"/>
    <n v="3.7440000000000002"/>
    <x v="0"/>
    <x v="0"/>
    <x v="0"/>
  </r>
  <r>
    <s v="CA-2014-154949"/>
    <d v="2014-10-16T00:00:00"/>
    <d v="2014-10-20T00:00:00"/>
    <s v="MarcCrier@gmail.com"/>
    <x v="155"/>
    <x v="0"/>
    <x v="643"/>
    <n v="14.73"/>
    <n v="3"/>
    <n v="7.2176999999999998"/>
    <x v="3"/>
    <n v="10"/>
    <x v="7"/>
    <n v="16"/>
    <n v="4"/>
    <n v="49"/>
    <n v="4.91"/>
    <x v="0"/>
    <x v="0"/>
    <x v="0"/>
  </r>
  <r>
    <s v="CA-2012-150770"/>
    <d v="2012-05-03T00:00:00"/>
    <d v="2012-05-06T00:00:00"/>
    <s v="LenaCacioppo@gmail.com"/>
    <x v="3"/>
    <x v="2"/>
    <x v="135"/>
    <n v="8.82"/>
    <n v="3"/>
    <n v="2.5577999999999999"/>
    <x v="2"/>
    <n v="5"/>
    <x v="2"/>
    <n v="3"/>
    <n v="3"/>
    <n v="29"/>
    <n v="2.94"/>
    <x v="0"/>
    <x v="0"/>
    <x v="0"/>
  </r>
  <r>
    <s v="CA-2012-150770"/>
    <d v="2012-05-03T00:00:00"/>
    <d v="2012-05-06T00:00:00"/>
    <s v="LenaCacioppo@gmail.com"/>
    <x v="3"/>
    <x v="3"/>
    <x v="1199"/>
    <n v="62.496000000000002"/>
    <n v="2"/>
    <n v="21.8736"/>
    <x v="2"/>
    <n v="5"/>
    <x v="2"/>
    <n v="3"/>
    <n v="3"/>
    <n v="35"/>
    <n v="31.248000000000001"/>
    <x v="0"/>
    <x v="0"/>
    <x v="0"/>
  </r>
  <r>
    <s v="CA-2012-150770"/>
    <d v="2012-05-03T00:00:00"/>
    <d v="2012-05-06T00:00:00"/>
    <s v="LenaCacioppo@gmail.com"/>
    <x v="3"/>
    <x v="7"/>
    <x v="1171"/>
    <n v="339.96"/>
    <n v="4"/>
    <n v="122.3856"/>
    <x v="2"/>
    <n v="5"/>
    <x v="2"/>
    <n v="3"/>
    <n v="3"/>
    <n v="36"/>
    <n v="84.99"/>
    <x v="0"/>
    <x v="0"/>
    <x v="1"/>
  </r>
  <r>
    <s v="CA-2012-150770"/>
    <d v="2012-05-03T00:00:00"/>
    <d v="2012-05-06T00:00:00"/>
    <s v="LenaCacioppo@gmail.com"/>
    <x v="3"/>
    <x v="3"/>
    <x v="1147"/>
    <n v="49.567999999999998"/>
    <n v="2"/>
    <n v="17.348800000000001"/>
    <x v="2"/>
    <n v="5"/>
    <x v="2"/>
    <n v="3"/>
    <n v="3"/>
    <n v="35"/>
    <n v="24.783999999999999"/>
    <x v="0"/>
    <x v="0"/>
    <x v="0"/>
  </r>
  <r>
    <s v="CA-2013-109953"/>
    <d v="2013-07-15T00:00:00"/>
    <d v="2013-07-19T00:00:00"/>
    <s v="RaymondBuch@gmail.com"/>
    <x v="3"/>
    <x v="6"/>
    <x v="21"/>
    <n v="110.376"/>
    <n v="3"/>
    <n v="12.417299999999999"/>
    <x v="0"/>
    <n v="7"/>
    <x v="5"/>
    <n v="15"/>
    <n v="4"/>
    <n v="11.25"/>
    <n v="36.792000000000002"/>
    <x v="0"/>
    <x v="0"/>
    <x v="0"/>
  </r>
  <r>
    <s v="CA-2013-109953"/>
    <d v="2013-07-15T00:00:00"/>
    <d v="2013-07-19T00:00:00"/>
    <s v="RaymondBuch@gmail.com"/>
    <x v="3"/>
    <x v="4"/>
    <x v="860"/>
    <n v="151.62"/>
    <n v="7"/>
    <n v="50.034599999999998"/>
    <x v="0"/>
    <n v="7"/>
    <x v="5"/>
    <n v="15"/>
    <n v="4"/>
    <n v="33"/>
    <n v="21.66"/>
    <x v="0"/>
    <x v="0"/>
    <x v="0"/>
  </r>
  <r>
    <s v="CA-2013-109953"/>
    <d v="2013-07-15T00:00:00"/>
    <d v="2013-07-19T00:00:00"/>
    <s v="RaymondBuch@gmail.com"/>
    <x v="3"/>
    <x v="1"/>
    <x v="129"/>
    <n v="30.8"/>
    <n v="4"/>
    <n v="10.164"/>
    <x v="0"/>
    <n v="7"/>
    <x v="5"/>
    <n v="15"/>
    <n v="4"/>
    <n v="33"/>
    <n v="7.7"/>
    <x v="0"/>
    <x v="0"/>
    <x v="0"/>
  </r>
  <r>
    <s v="CA-2011-157546"/>
    <d v="2011-07-20T00:00:00"/>
    <d v="2011-07-22T00:00:00"/>
    <s v="RogerDemir@gmail.com"/>
    <x v="3"/>
    <x v="3"/>
    <x v="126"/>
    <n v="89.712000000000003"/>
    <n v="6"/>
    <n v="30.277799999999999"/>
    <x v="1"/>
    <n v="7"/>
    <x v="5"/>
    <n v="20"/>
    <n v="2"/>
    <n v="33.75"/>
    <n v="14.952"/>
    <x v="0"/>
    <x v="0"/>
    <x v="0"/>
  </r>
  <r>
    <s v="CA-2011-157546"/>
    <d v="2011-07-20T00:00:00"/>
    <d v="2011-07-22T00:00:00"/>
    <s v="RogerDemir@gmail.com"/>
    <x v="3"/>
    <x v="8"/>
    <x v="64"/>
    <n v="22.83"/>
    <n v="3"/>
    <n v="10.7301"/>
    <x v="1"/>
    <n v="7"/>
    <x v="5"/>
    <n v="20"/>
    <n v="2"/>
    <n v="47"/>
    <n v="7.6099999999999994"/>
    <x v="0"/>
    <x v="0"/>
    <x v="0"/>
  </r>
  <r>
    <s v="CA-2011-138737"/>
    <d v="2011-12-07T00:00:00"/>
    <d v="2011-12-10T00:00:00"/>
    <s v="FrankPreis@gmail.com"/>
    <x v="0"/>
    <x v="2"/>
    <x v="208"/>
    <n v="8.64"/>
    <n v="3"/>
    <n v="2.4192"/>
    <x v="1"/>
    <n v="12"/>
    <x v="1"/>
    <n v="7"/>
    <n v="3"/>
    <n v="28"/>
    <n v="2.88"/>
    <x v="0"/>
    <x v="0"/>
    <x v="0"/>
  </r>
  <r>
    <s v="CA-2013-101651"/>
    <d v="2013-12-25T00:00:00"/>
    <d v="2013-12-31T00:00:00"/>
    <s v="SeanChristensen@gmail.com"/>
    <x v="10"/>
    <x v="1"/>
    <x v="1070"/>
    <n v="43.96"/>
    <n v="7"/>
    <n v="18.463200000000001"/>
    <x v="0"/>
    <n v="12"/>
    <x v="1"/>
    <n v="25"/>
    <n v="6"/>
    <n v="42"/>
    <n v="6.28"/>
    <x v="0"/>
    <x v="0"/>
    <x v="0"/>
  </r>
  <r>
    <s v="CA-2013-101651"/>
    <d v="2013-12-25T00:00:00"/>
    <d v="2013-12-31T00:00:00"/>
    <s v="SeanChristensen@gmail.com"/>
    <x v="10"/>
    <x v="12"/>
    <x v="50"/>
    <n v="39.76"/>
    <n v="7"/>
    <n v="18.687200000000001"/>
    <x v="0"/>
    <n v="12"/>
    <x v="1"/>
    <n v="25"/>
    <n v="6"/>
    <n v="47"/>
    <n v="5.68"/>
    <x v="0"/>
    <x v="0"/>
    <x v="0"/>
  </r>
  <r>
    <s v="CA-2014-136651"/>
    <d v="2014-04-24T00:00:00"/>
    <d v="2014-04-26T00:00:00"/>
    <s v="JayFein@gmail.com"/>
    <x v="59"/>
    <x v="1"/>
    <x v="644"/>
    <n v="66.36"/>
    <n v="7"/>
    <n v="26.544"/>
    <x v="3"/>
    <n v="4"/>
    <x v="10"/>
    <n v="24"/>
    <n v="2"/>
    <n v="40"/>
    <n v="9.48"/>
    <x v="0"/>
    <x v="0"/>
    <x v="0"/>
  </r>
  <r>
    <s v="CA-2014-136651"/>
    <d v="2014-04-24T00:00:00"/>
    <d v="2014-04-26T00:00:00"/>
    <s v="JayFein@gmail.com"/>
    <x v="59"/>
    <x v="3"/>
    <x v="800"/>
    <n v="92.88"/>
    <n v="6"/>
    <n v="30.186"/>
    <x v="3"/>
    <n v="4"/>
    <x v="10"/>
    <n v="24"/>
    <n v="2"/>
    <n v="32.5"/>
    <n v="15.48"/>
    <x v="0"/>
    <x v="0"/>
    <x v="0"/>
  </r>
  <r>
    <s v="CA-2014-136651"/>
    <d v="2014-04-24T00:00:00"/>
    <d v="2014-04-26T00:00:00"/>
    <s v="JayFein@gmail.com"/>
    <x v="59"/>
    <x v="1"/>
    <x v="1200"/>
    <n v="24.14"/>
    <n v="2"/>
    <n v="7.9661999999999997"/>
    <x v="3"/>
    <n v="4"/>
    <x v="10"/>
    <n v="24"/>
    <n v="2"/>
    <n v="33"/>
    <n v="12.07"/>
    <x v="0"/>
    <x v="0"/>
    <x v="0"/>
  </r>
  <r>
    <s v="US-2014-151127"/>
    <d v="2014-05-23T00:00:00"/>
    <d v="2014-05-26T00:00:00"/>
    <s v="RobLucas@gmail.com"/>
    <x v="0"/>
    <x v="2"/>
    <x v="851"/>
    <n v="49.56"/>
    <n v="7"/>
    <n v="18.832799999999999"/>
    <x v="3"/>
    <n v="5"/>
    <x v="2"/>
    <n v="23"/>
    <n v="3"/>
    <n v="38"/>
    <n v="7.08"/>
    <x v="0"/>
    <x v="0"/>
    <x v="0"/>
  </r>
  <r>
    <s v="CA-2014-145807"/>
    <d v="2014-02-10T00:00:00"/>
    <d v="2014-02-14T00:00:00"/>
    <s v="SarahBern@gmail.com"/>
    <x v="0"/>
    <x v="5"/>
    <x v="767"/>
    <n v="354.9"/>
    <n v="5"/>
    <n v="17.745000000000001"/>
    <x v="3"/>
    <n v="2"/>
    <x v="11"/>
    <n v="10"/>
    <n v="4"/>
    <n v="5"/>
    <n v="70.97999999999999"/>
    <x v="1"/>
    <x v="0"/>
    <x v="1"/>
  </r>
  <r>
    <s v="CA-2012-158491"/>
    <d v="2012-06-04T00:00:00"/>
    <d v="2012-06-09T00:00:00"/>
    <s v="BeckyPak@gmail.com"/>
    <x v="0"/>
    <x v="7"/>
    <x v="1201"/>
    <n v="119.98"/>
    <n v="2"/>
    <n v="35.994"/>
    <x v="2"/>
    <n v="6"/>
    <x v="0"/>
    <n v="4"/>
    <n v="5"/>
    <n v="30"/>
    <n v="59.99"/>
    <x v="0"/>
    <x v="0"/>
    <x v="0"/>
  </r>
  <r>
    <s v="CA-2014-137001"/>
    <d v="2014-06-11T00:00:00"/>
    <d v="2014-06-14T00:00:00"/>
    <s v="GeorgeZrebassa@gmail.com"/>
    <x v="92"/>
    <x v="2"/>
    <x v="928"/>
    <n v="14.7"/>
    <n v="7"/>
    <n v="4.1159999999999997"/>
    <x v="3"/>
    <n v="6"/>
    <x v="0"/>
    <n v="11"/>
    <n v="3"/>
    <n v="28"/>
    <n v="2.1"/>
    <x v="0"/>
    <x v="0"/>
    <x v="0"/>
  </r>
  <r>
    <s v="CA-2013-123337"/>
    <d v="2013-09-17T00:00:00"/>
    <d v="2013-09-23T00:00:00"/>
    <s v="KeithDawkins@gmail.com"/>
    <x v="10"/>
    <x v="14"/>
    <x v="1202"/>
    <n v="273.666"/>
    <n v="2"/>
    <n v="-12.878399999999999"/>
    <x v="0"/>
    <n v="9"/>
    <x v="8"/>
    <n v="17"/>
    <n v="6"/>
    <n v="-4.71"/>
    <n v="136.833"/>
    <x v="0"/>
    <x v="1"/>
    <x v="1"/>
  </r>
  <r>
    <s v="CA-2013-123337"/>
    <d v="2013-09-17T00:00:00"/>
    <d v="2013-09-23T00:00:00"/>
    <s v="KeithDawkins@gmail.com"/>
    <x v="10"/>
    <x v="4"/>
    <x v="1203"/>
    <n v="17.48"/>
    <n v="4"/>
    <n v="4.5448000000000004"/>
    <x v="0"/>
    <n v="9"/>
    <x v="8"/>
    <n v="17"/>
    <n v="6"/>
    <n v="26"/>
    <n v="4.37"/>
    <x v="0"/>
    <x v="0"/>
    <x v="0"/>
  </r>
  <r>
    <s v="CA-2012-144519"/>
    <d v="2012-11-13T00:00:00"/>
    <d v="2012-11-17T00:00:00"/>
    <s v="ArthurWiediger@gmail.com"/>
    <x v="133"/>
    <x v="6"/>
    <x v="1118"/>
    <n v="339.96"/>
    <n v="5"/>
    <n v="42.494999999999997"/>
    <x v="2"/>
    <n v="11"/>
    <x v="6"/>
    <n v="13"/>
    <n v="4"/>
    <n v="12.5"/>
    <n v="67.99199999999999"/>
    <x v="0"/>
    <x v="0"/>
    <x v="1"/>
  </r>
  <r>
    <s v="CA-2012-144519"/>
    <d v="2012-11-13T00:00:00"/>
    <d v="2012-11-17T00:00:00"/>
    <s v="ArthurWiediger@gmail.com"/>
    <x v="133"/>
    <x v="1"/>
    <x v="206"/>
    <n v="63.98"/>
    <n v="7"/>
    <n v="21.7532"/>
    <x v="2"/>
    <n v="11"/>
    <x v="6"/>
    <n v="13"/>
    <n v="4"/>
    <n v="34"/>
    <n v="9.1399999999999988"/>
    <x v="0"/>
    <x v="0"/>
    <x v="0"/>
  </r>
  <r>
    <s v="CA-2013-157217"/>
    <d v="2013-07-20T00:00:00"/>
    <d v="2013-07-22T00:00:00"/>
    <s v="TracyCollins@gmail.com"/>
    <x v="3"/>
    <x v="6"/>
    <x v="1204"/>
    <n v="35.984000000000002"/>
    <n v="2"/>
    <n v="4.4980000000000002"/>
    <x v="0"/>
    <n v="7"/>
    <x v="5"/>
    <n v="20"/>
    <n v="2"/>
    <n v="12.5"/>
    <n v="17.992000000000001"/>
    <x v="0"/>
    <x v="0"/>
    <x v="0"/>
  </r>
  <r>
    <s v="CA-2013-157217"/>
    <d v="2013-07-20T00:00:00"/>
    <d v="2013-07-22T00:00:00"/>
    <s v="TracyCollins@gmail.com"/>
    <x v="3"/>
    <x v="7"/>
    <x v="1034"/>
    <n v="389.97"/>
    <n v="3"/>
    <n v="132.5898"/>
    <x v="0"/>
    <n v="7"/>
    <x v="5"/>
    <n v="20"/>
    <n v="2"/>
    <n v="34"/>
    <n v="129.99"/>
    <x v="0"/>
    <x v="0"/>
    <x v="1"/>
  </r>
  <r>
    <s v="CA-2013-108224"/>
    <d v="2013-05-15T00:00:00"/>
    <d v="2013-05-15T00:00:00"/>
    <s v="TiffanyHouse@gmail.com"/>
    <x v="127"/>
    <x v="7"/>
    <x v="139"/>
    <n v="185.52799999999999"/>
    <n v="7"/>
    <n v="48.701099999999997"/>
    <x v="0"/>
    <n v="5"/>
    <x v="2"/>
    <n v="15"/>
    <n v="0"/>
    <n v="26.25"/>
    <n v="26.504000000000001"/>
    <x v="0"/>
    <x v="0"/>
    <x v="0"/>
  </r>
  <r>
    <s v="CA-2014-151183"/>
    <d v="2014-10-15T00:00:00"/>
    <d v="2014-10-20T00:00:00"/>
    <s v="BerenikeKampe@gmail.com"/>
    <x v="3"/>
    <x v="7"/>
    <x v="1205"/>
    <n v="46.36"/>
    <n v="4"/>
    <n v="15.2988"/>
    <x v="3"/>
    <n v="10"/>
    <x v="7"/>
    <n v="15"/>
    <n v="5"/>
    <n v="33"/>
    <n v="11.59"/>
    <x v="0"/>
    <x v="0"/>
    <x v="0"/>
  </r>
  <r>
    <s v="CA-2013-153661"/>
    <d v="2013-01-30T00:00:00"/>
    <d v="2013-01-31T00:00:00"/>
    <s v="StevenCartwright@gmail.com"/>
    <x v="3"/>
    <x v="5"/>
    <x v="633"/>
    <n v="305.01"/>
    <n v="9"/>
    <n v="76.252499999999998"/>
    <x v="0"/>
    <n v="1"/>
    <x v="4"/>
    <n v="30"/>
    <n v="1"/>
    <n v="25"/>
    <n v="33.89"/>
    <x v="0"/>
    <x v="0"/>
    <x v="1"/>
  </r>
  <r>
    <s v="CA-2013-153661"/>
    <d v="2013-01-30T00:00:00"/>
    <d v="2013-01-31T00:00:00"/>
    <s v="StevenCartwright@gmail.com"/>
    <x v="3"/>
    <x v="3"/>
    <x v="36"/>
    <n v="50.783999999999999"/>
    <n v="2"/>
    <n v="17.7744"/>
    <x v="0"/>
    <n v="1"/>
    <x v="4"/>
    <n v="30"/>
    <n v="1"/>
    <n v="35"/>
    <n v="25.391999999999999"/>
    <x v="0"/>
    <x v="0"/>
    <x v="0"/>
  </r>
  <r>
    <s v="CA-2013-153661"/>
    <d v="2013-01-30T00:00:00"/>
    <d v="2013-01-31T00:00:00"/>
    <s v="StevenCartwright@gmail.com"/>
    <x v="3"/>
    <x v="0"/>
    <x v="597"/>
    <n v="26.01"/>
    <n v="9"/>
    <n v="12.2247"/>
    <x v="0"/>
    <n v="1"/>
    <x v="4"/>
    <n v="30"/>
    <n v="1"/>
    <n v="47"/>
    <n v="2.89"/>
    <x v="0"/>
    <x v="0"/>
    <x v="0"/>
  </r>
  <r>
    <s v="CA-2013-113656"/>
    <d v="2013-01-23T00:00:00"/>
    <d v="2013-01-29T00:00:00"/>
    <s v="ChristyBrittain@gmail.com"/>
    <x v="0"/>
    <x v="1"/>
    <x v="1206"/>
    <n v="59.99"/>
    <n v="7"/>
    <n v="21.596399999999999"/>
    <x v="0"/>
    <n v="1"/>
    <x v="4"/>
    <n v="23"/>
    <n v="6"/>
    <n v="36"/>
    <n v="8.57"/>
    <x v="1"/>
    <x v="0"/>
    <x v="0"/>
  </r>
  <r>
    <s v="CA-2012-148964"/>
    <d v="2012-05-26T00:00:00"/>
    <d v="2012-05-31T00:00:00"/>
    <s v="RubenDartt@gmail.com"/>
    <x v="67"/>
    <x v="1"/>
    <x v="1207"/>
    <n v="20.239999999999998"/>
    <n v="1"/>
    <n v="7.8936000000000002"/>
    <x v="2"/>
    <n v="5"/>
    <x v="2"/>
    <n v="26"/>
    <n v="5"/>
    <n v="39"/>
    <n v="20.239999999999998"/>
    <x v="0"/>
    <x v="0"/>
    <x v="0"/>
  </r>
  <r>
    <s v="CA-2013-144092"/>
    <d v="2013-11-06T00:00:00"/>
    <d v="2013-11-08T00:00:00"/>
    <s v="LoganHaushalter@gmail.com"/>
    <x v="10"/>
    <x v="7"/>
    <x v="1014"/>
    <n v="72"/>
    <n v="4"/>
    <n v="12.96"/>
    <x v="0"/>
    <n v="11"/>
    <x v="6"/>
    <n v="6"/>
    <n v="2"/>
    <n v="18"/>
    <n v="18"/>
    <x v="0"/>
    <x v="0"/>
    <x v="0"/>
  </r>
  <r>
    <s v="CA-2013-144092"/>
    <d v="2013-11-06T00:00:00"/>
    <d v="2013-11-08T00:00:00"/>
    <s v="LoganHaushalter@gmail.com"/>
    <x v="10"/>
    <x v="9"/>
    <x v="640"/>
    <n v="113.88800000000001"/>
    <n v="2"/>
    <n v="9.9651999999999994"/>
    <x v="0"/>
    <n v="11"/>
    <x v="6"/>
    <n v="6"/>
    <n v="2"/>
    <n v="8.75"/>
    <n v="56.944000000000003"/>
    <x v="0"/>
    <x v="0"/>
    <x v="0"/>
  </r>
  <r>
    <s v="CA-2013-144092"/>
    <d v="2013-11-06T00:00:00"/>
    <d v="2013-11-08T00:00:00"/>
    <s v="LoganHaushalter@gmail.com"/>
    <x v="10"/>
    <x v="12"/>
    <x v="970"/>
    <n v="158.13"/>
    <n v="3"/>
    <n v="77.483699999999999"/>
    <x v="0"/>
    <n v="11"/>
    <x v="6"/>
    <n v="6"/>
    <n v="2"/>
    <n v="49"/>
    <n v="52.71"/>
    <x v="0"/>
    <x v="0"/>
    <x v="0"/>
  </r>
  <r>
    <s v="CA-2014-158120"/>
    <d v="2014-11-18T00:00:00"/>
    <d v="2014-11-22T00:00:00"/>
    <s v="KatharineHarms@gmail.com"/>
    <x v="156"/>
    <x v="8"/>
    <x v="1148"/>
    <n v="19.608000000000001"/>
    <n v="3"/>
    <n v="6.6177000000000001"/>
    <x v="3"/>
    <n v="11"/>
    <x v="6"/>
    <n v="18"/>
    <n v="4"/>
    <n v="33.75"/>
    <n v="6.5359999999999996"/>
    <x v="0"/>
    <x v="0"/>
    <x v="0"/>
  </r>
  <r>
    <s v="CA-2014-158120"/>
    <d v="2014-11-18T00:00:00"/>
    <d v="2014-11-22T00:00:00"/>
    <s v="KatharineHarms@gmail.com"/>
    <x v="156"/>
    <x v="3"/>
    <x v="818"/>
    <n v="4.1580000000000004"/>
    <n v="7"/>
    <n v="-3.4649999999999999"/>
    <x v="3"/>
    <n v="11"/>
    <x v="6"/>
    <n v="18"/>
    <n v="4"/>
    <n v="-83.33"/>
    <n v="0.59400000000000008"/>
    <x v="0"/>
    <x v="1"/>
    <x v="0"/>
  </r>
  <r>
    <s v="US-2014-128447"/>
    <d v="2014-11-11T00:00:00"/>
    <d v="2014-11-18T00:00:00"/>
    <s v="MichaelChen@gmail.com"/>
    <x v="128"/>
    <x v="4"/>
    <x v="1208"/>
    <n v="400.8"/>
    <n v="5"/>
    <n v="112.224"/>
    <x v="3"/>
    <n v="11"/>
    <x v="6"/>
    <n v="11"/>
    <n v="7"/>
    <n v="28"/>
    <n v="80.16"/>
    <x v="0"/>
    <x v="0"/>
    <x v="1"/>
  </r>
  <r>
    <s v="US-2014-128447"/>
    <d v="2014-11-11T00:00:00"/>
    <d v="2014-11-18T00:00:00"/>
    <s v="MichaelChen@gmail.com"/>
    <x v="128"/>
    <x v="3"/>
    <x v="654"/>
    <n v="28.792000000000002"/>
    <n v="1"/>
    <n v="10.077199999999999"/>
    <x v="3"/>
    <n v="11"/>
    <x v="6"/>
    <n v="11"/>
    <n v="7"/>
    <n v="35"/>
    <n v="28.792000000000002"/>
    <x v="0"/>
    <x v="0"/>
    <x v="0"/>
  </r>
  <r>
    <s v="US-2011-131275"/>
    <d v="2011-03-18T00:00:00"/>
    <d v="2011-03-24T00:00:00"/>
    <s v="SampleCompanyA@gmail.com"/>
    <x v="157"/>
    <x v="1"/>
    <x v="1102"/>
    <n v="111"/>
    <n v="2"/>
    <n v="14.43"/>
    <x v="1"/>
    <n v="3"/>
    <x v="9"/>
    <n v="18"/>
    <n v="6"/>
    <n v="13"/>
    <n v="55.5"/>
    <x v="0"/>
    <x v="0"/>
    <x v="0"/>
  </r>
  <r>
    <s v="CA-2014-165155"/>
    <d v="2014-09-22T00:00:00"/>
    <d v="2014-09-24T00:00:00"/>
    <s v="BrendanMurry@gmail.com"/>
    <x v="0"/>
    <x v="5"/>
    <x v="1209"/>
    <n v="15.51"/>
    <n v="1"/>
    <n v="3.8774999999999999"/>
    <x v="3"/>
    <n v="9"/>
    <x v="8"/>
    <n v="22"/>
    <n v="2"/>
    <n v="25"/>
    <n v="15.51"/>
    <x v="0"/>
    <x v="0"/>
    <x v="0"/>
  </r>
  <r>
    <s v="CA-2014-141138"/>
    <d v="2014-11-11T00:00:00"/>
    <d v="2014-11-17T00:00:00"/>
    <s v="GaryHwang@gmail.com"/>
    <x v="158"/>
    <x v="7"/>
    <x v="1210"/>
    <n v="111.79"/>
    <n v="7"/>
    <n v="43.598100000000002"/>
    <x v="3"/>
    <n v="11"/>
    <x v="6"/>
    <n v="11"/>
    <n v="6"/>
    <n v="39"/>
    <n v="15.97"/>
    <x v="0"/>
    <x v="0"/>
    <x v="0"/>
  </r>
  <r>
    <s v="CA-2014-154102"/>
    <d v="2014-02-07T00:00:00"/>
    <d v="2014-02-14T00:00:00"/>
    <s v="SkyeNorling@gmail.com"/>
    <x v="3"/>
    <x v="8"/>
    <x v="1094"/>
    <n v="29.9"/>
    <n v="5"/>
    <n v="13.455"/>
    <x v="3"/>
    <n v="2"/>
    <x v="11"/>
    <n v="7"/>
    <n v="7"/>
    <n v="45"/>
    <n v="5.98"/>
    <x v="0"/>
    <x v="0"/>
    <x v="0"/>
  </r>
  <r>
    <s v="CA-2013-114748"/>
    <d v="2013-10-10T00:00:00"/>
    <d v="2013-10-15T00:00:00"/>
    <s v="MariaZettner@gmail.com"/>
    <x v="7"/>
    <x v="2"/>
    <x v="372"/>
    <n v="1.4079999999999999"/>
    <n v="1"/>
    <n v="0.15840000000000001"/>
    <x v="0"/>
    <n v="10"/>
    <x v="7"/>
    <n v="10"/>
    <n v="5"/>
    <n v="11.25"/>
    <n v="1.4079999999999999"/>
    <x v="0"/>
    <x v="0"/>
    <x v="0"/>
  </r>
  <r>
    <s v="CA-2013-114748"/>
    <d v="2013-10-10T00:00:00"/>
    <d v="2013-10-15T00:00:00"/>
    <s v="MariaZettner@gmail.com"/>
    <x v="7"/>
    <x v="1"/>
    <x v="1211"/>
    <n v="169.56800000000001"/>
    <n v="2"/>
    <n v="0"/>
    <x v="0"/>
    <n v="10"/>
    <x v="7"/>
    <n v="10"/>
    <n v="5"/>
    <n v="0"/>
    <n v="84.784000000000006"/>
    <x v="0"/>
    <x v="0"/>
    <x v="0"/>
  </r>
  <r>
    <s v="CA-2013-163594"/>
    <d v="2013-04-13T00:00:00"/>
    <d v="2013-04-15T00:00:00"/>
    <s v="JasonFortune-@gmail.com"/>
    <x v="0"/>
    <x v="8"/>
    <x v="1212"/>
    <n v="19.440000000000001"/>
    <n v="3"/>
    <n v="9.3312000000000008"/>
    <x v="0"/>
    <n v="4"/>
    <x v="10"/>
    <n v="13"/>
    <n v="2"/>
    <n v="48"/>
    <n v="6.48"/>
    <x v="0"/>
    <x v="0"/>
    <x v="0"/>
  </r>
  <r>
    <s v="CA-2013-163594"/>
    <d v="2013-04-13T00:00:00"/>
    <d v="2013-04-15T00:00:00"/>
    <s v="JasonFortune-@gmail.com"/>
    <x v="0"/>
    <x v="9"/>
    <x v="109"/>
    <n v="194.352"/>
    <n v="3"/>
    <n v="-36.441000000000003"/>
    <x v="0"/>
    <n v="4"/>
    <x v="10"/>
    <n v="13"/>
    <n v="2"/>
    <n v="-18.75"/>
    <n v="64.784000000000006"/>
    <x v="0"/>
    <x v="1"/>
    <x v="0"/>
  </r>
  <r>
    <s v="CA-2013-163594"/>
    <d v="2013-04-13T00:00:00"/>
    <d v="2013-04-15T00:00:00"/>
    <s v="JasonFortune-@gmail.com"/>
    <x v="0"/>
    <x v="3"/>
    <x v="254"/>
    <n v="36.624000000000002"/>
    <n v="3"/>
    <n v="13.734"/>
    <x v="0"/>
    <n v="4"/>
    <x v="10"/>
    <n v="13"/>
    <n v="2"/>
    <n v="37.5"/>
    <n v="12.208"/>
    <x v="0"/>
    <x v="0"/>
    <x v="0"/>
  </r>
  <r>
    <s v="US-2014-123862"/>
    <d v="2014-01-08T00:00:00"/>
    <d v="2014-01-10T00:00:00"/>
    <s v="JamieFrazer@gmail.com"/>
    <x v="21"/>
    <x v="5"/>
    <x v="651"/>
    <n v="153.78"/>
    <n v="11"/>
    <n v="44.596200000000003"/>
    <x v="3"/>
    <n v="1"/>
    <x v="4"/>
    <n v="8"/>
    <n v="2"/>
    <n v="29"/>
    <n v="13.98"/>
    <x v="0"/>
    <x v="0"/>
    <x v="0"/>
  </r>
  <r>
    <s v="US-2014-123862"/>
    <d v="2014-01-08T00:00:00"/>
    <d v="2014-01-10T00:00:00"/>
    <s v="JamieFrazer@gmail.com"/>
    <x v="21"/>
    <x v="5"/>
    <x v="869"/>
    <n v="61.02"/>
    <n v="3"/>
    <n v="0.61019999999999996"/>
    <x v="3"/>
    <n v="1"/>
    <x v="4"/>
    <n v="8"/>
    <n v="2"/>
    <n v="1"/>
    <n v="20.34"/>
    <x v="0"/>
    <x v="0"/>
    <x v="0"/>
  </r>
  <r>
    <s v="US-2014-123862"/>
    <d v="2014-01-08T00:00:00"/>
    <d v="2014-01-10T00:00:00"/>
    <s v="JamieFrazer@gmail.com"/>
    <x v="21"/>
    <x v="11"/>
    <x v="1213"/>
    <n v="110.11"/>
    <n v="7"/>
    <n v="31.931899999999999"/>
    <x v="3"/>
    <n v="1"/>
    <x v="4"/>
    <n v="8"/>
    <n v="2"/>
    <n v="29"/>
    <n v="15.73"/>
    <x v="0"/>
    <x v="0"/>
    <x v="0"/>
  </r>
  <r>
    <s v="US-2014-123862"/>
    <d v="2014-01-08T00:00:00"/>
    <d v="2014-01-10T00:00:00"/>
    <s v="JamieFrazer@gmail.com"/>
    <x v="21"/>
    <x v="10"/>
    <x v="50"/>
    <n v="7.89"/>
    <n v="1"/>
    <n v="3.5505"/>
    <x v="3"/>
    <n v="1"/>
    <x v="4"/>
    <n v="8"/>
    <n v="2"/>
    <n v="45"/>
    <n v="7.89"/>
    <x v="0"/>
    <x v="0"/>
    <x v="0"/>
  </r>
  <r>
    <s v="CA-2014-100580"/>
    <d v="2014-08-14T00:00:00"/>
    <d v="2014-08-21T00:00:00"/>
    <s v="MichaelKennedy@gmail.com"/>
    <x v="16"/>
    <x v="3"/>
    <x v="147"/>
    <n v="36.024000000000001"/>
    <n v="3"/>
    <n v="11.707800000000001"/>
    <x v="3"/>
    <n v="8"/>
    <x v="3"/>
    <n v="14"/>
    <n v="7"/>
    <n v="32.5"/>
    <n v="12.007999999999999"/>
    <x v="0"/>
    <x v="0"/>
    <x v="0"/>
  </r>
  <r>
    <s v="CA-2011-132787"/>
    <d v="2011-09-19T00:00:00"/>
    <d v="2011-09-23T00:00:00"/>
    <s v="MikeCaudle@gmail.com"/>
    <x v="1"/>
    <x v="5"/>
    <x v="118"/>
    <n v="92.52"/>
    <n v="6"/>
    <n v="24.980399999999999"/>
    <x v="1"/>
    <n v="9"/>
    <x v="8"/>
    <n v="19"/>
    <n v="4"/>
    <n v="27"/>
    <n v="15.42"/>
    <x v="0"/>
    <x v="0"/>
    <x v="0"/>
  </r>
  <r>
    <s v="CA-2014-147844"/>
    <d v="2014-05-03T00:00:00"/>
    <d v="2014-05-07T00:00:00"/>
    <s v="DorothyDickinson@gmail.com"/>
    <x v="0"/>
    <x v="8"/>
    <x v="589"/>
    <n v="15.7"/>
    <n v="5"/>
    <n v="7.0650000000000004"/>
    <x v="3"/>
    <n v="5"/>
    <x v="2"/>
    <n v="3"/>
    <n v="4"/>
    <n v="45"/>
    <n v="3.14"/>
    <x v="0"/>
    <x v="0"/>
    <x v="0"/>
  </r>
  <r>
    <s v="CA-2014-147844"/>
    <d v="2014-05-03T00:00:00"/>
    <d v="2014-05-07T00:00:00"/>
    <s v="DorothyDickinson@gmail.com"/>
    <x v="0"/>
    <x v="2"/>
    <x v="677"/>
    <n v="59.52"/>
    <n v="3"/>
    <n v="15.475199999999999"/>
    <x v="3"/>
    <n v="5"/>
    <x v="2"/>
    <n v="3"/>
    <n v="4"/>
    <n v="26"/>
    <n v="19.84"/>
    <x v="0"/>
    <x v="0"/>
    <x v="0"/>
  </r>
  <r>
    <s v="CA-2014-147844"/>
    <d v="2014-05-03T00:00:00"/>
    <d v="2014-05-07T00:00:00"/>
    <s v="DorothyDickinson@gmail.com"/>
    <x v="0"/>
    <x v="8"/>
    <x v="1214"/>
    <n v="34.4"/>
    <n v="5"/>
    <n v="15.824"/>
    <x v="3"/>
    <n v="5"/>
    <x v="2"/>
    <n v="3"/>
    <n v="4"/>
    <n v="46"/>
    <n v="6.88"/>
    <x v="0"/>
    <x v="0"/>
    <x v="0"/>
  </r>
  <r>
    <s v="CA-2013-110009"/>
    <d v="2013-09-09T00:00:00"/>
    <d v="2013-09-14T00:00:00"/>
    <s v="TobyRitter@gmail.com"/>
    <x v="1"/>
    <x v="1"/>
    <x v="423"/>
    <n v="43.13"/>
    <n v="1"/>
    <n v="14.664199999999999"/>
    <x v="0"/>
    <n v="9"/>
    <x v="8"/>
    <n v="9"/>
    <n v="5"/>
    <n v="34"/>
    <n v="43.13"/>
    <x v="0"/>
    <x v="0"/>
    <x v="0"/>
  </r>
  <r>
    <s v="CA-2013-110009"/>
    <d v="2013-09-09T00:00:00"/>
    <d v="2013-09-14T00:00:00"/>
    <s v="TobyRitter@gmail.com"/>
    <x v="1"/>
    <x v="8"/>
    <x v="69"/>
    <n v="30.87"/>
    <n v="7"/>
    <n v="14.200200000000001"/>
    <x v="0"/>
    <n v="9"/>
    <x v="8"/>
    <n v="9"/>
    <n v="5"/>
    <n v="46"/>
    <n v="4.41"/>
    <x v="0"/>
    <x v="0"/>
    <x v="0"/>
  </r>
  <r>
    <s v="CA-2012-100146"/>
    <d v="2012-05-14T00:00:00"/>
    <d v="2012-05-19T00:00:00"/>
    <s v="ClaudiaBergmann@gmail.com"/>
    <x v="155"/>
    <x v="14"/>
    <x v="370"/>
    <n v="509.95749999999998"/>
    <n v="5"/>
    <n v="41.996499999999997"/>
    <x v="2"/>
    <n v="5"/>
    <x v="2"/>
    <n v="14"/>
    <n v="5"/>
    <n v="8.24"/>
    <n v="101.9915"/>
    <x v="0"/>
    <x v="0"/>
    <x v="1"/>
  </r>
  <r>
    <s v="CA-2012-100146"/>
    <d v="2012-05-14T00:00:00"/>
    <d v="2012-05-19T00:00:00"/>
    <s v="ClaudiaBergmann@gmail.com"/>
    <x v="155"/>
    <x v="1"/>
    <x v="167"/>
    <n v="122.91"/>
    <n v="3"/>
    <n v="34.4148"/>
    <x v="2"/>
    <n v="5"/>
    <x v="2"/>
    <n v="14"/>
    <n v="5"/>
    <n v="28"/>
    <n v="40.97"/>
    <x v="0"/>
    <x v="0"/>
    <x v="0"/>
  </r>
  <r>
    <s v="CA-2012-100146"/>
    <d v="2012-05-14T00:00:00"/>
    <d v="2012-05-19T00:00:00"/>
    <s v="ClaudiaBergmann@gmail.com"/>
    <x v="155"/>
    <x v="9"/>
    <x v="474"/>
    <n v="97.567999999999998"/>
    <n v="2"/>
    <n v="-6.0979999999999999"/>
    <x v="2"/>
    <n v="5"/>
    <x v="2"/>
    <n v="14"/>
    <n v="5"/>
    <n v="-6.25"/>
    <n v="48.783999999999999"/>
    <x v="0"/>
    <x v="1"/>
    <x v="0"/>
  </r>
  <r>
    <s v="CA-2013-129728"/>
    <d v="2013-05-31T00:00:00"/>
    <d v="2013-06-07T00:00:00"/>
    <s v="JasonGross@gmail.com"/>
    <x v="0"/>
    <x v="1"/>
    <x v="660"/>
    <n v="167.84"/>
    <n v="8"/>
    <n v="11.748799999999999"/>
    <x v="0"/>
    <n v="5"/>
    <x v="2"/>
    <n v="31"/>
    <n v="7"/>
    <n v="7"/>
    <n v="20.98"/>
    <x v="0"/>
    <x v="0"/>
    <x v="0"/>
  </r>
  <r>
    <s v="CA-2014-121125"/>
    <d v="2014-05-31T00:00:00"/>
    <d v="2014-06-04T00:00:00"/>
    <s v="MichaelGranlund@gmail.com"/>
    <x v="69"/>
    <x v="6"/>
    <x v="1215"/>
    <n v="156.792"/>
    <n v="1"/>
    <n v="17.639099999999999"/>
    <x v="3"/>
    <n v="5"/>
    <x v="2"/>
    <n v="31"/>
    <n v="4"/>
    <n v="11.25"/>
    <n v="156.792"/>
    <x v="0"/>
    <x v="0"/>
    <x v="0"/>
  </r>
  <r>
    <s v="CA-2014-121125"/>
    <d v="2014-05-31T00:00:00"/>
    <d v="2014-06-04T00:00:00"/>
    <s v="MichaelGranlund@gmail.com"/>
    <x v="69"/>
    <x v="7"/>
    <x v="55"/>
    <n v="35.36"/>
    <n v="2"/>
    <n v="-3.0939999999999999"/>
    <x v="3"/>
    <n v="5"/>
    <x v="2"/>
    <n v="31"/>
    <n v="4"/>
    <n v="-8.75"/>
    <n v="17.68"/>
    <x v="0"/>
    <x v="1"/>
    <x v="0"/>
  </r>
  <r>
    <s v="CA-2014-121125"/>
    <d v="2014-05-31T00:00:00"/>
    <d v="2014-06-04T00:00:00"/>
    <s v="MichaelGranlund@gmail.com"/>
    <x v="69"/>
    <x v="1"/>
    <x v="1216"/>
    <n v="13.592000000000001"/>
    <n v="1"/>
    <n v="-0.33979999999999999"/>
    <x v="3"/>
    <n v="5"/>
    <x v="2"/>
    <n v="31"/>
    <n v="4"/>
    <n v="-2.5"/>
    <n v="13.592000000000001"/>
    <x v="0"/>
    <x v="1"/>
    <x v="0"/>
  </r>
  <r>
    <s v="CA-2011-161249"/>
    <d v="2011-08-09T00:00:00"/>
    <d v="2011-08-13T00:00:00"/>
    <s v="RogerDemir@gmail.com"/>
    <x v="7"/>
    <x v="10"/>
    <x v="885"/>
    <n v="4.4640000000000004"/>
    <n v="3"/>
    <n v="-0.9486"/>
    <x v="1"/>
    <n v="8"/>
    <x v="3"/>
    <n v="9"/>
    <n v="4"/>
    <n v="-21.25"/>
    <n v="1.488"/>
    <x v="0"/>
    <x v="1"/>
    <x v="0"/>
  </r>
  <r>
    <s v="CA-2011-161249"/>
    <d v="2011-08-09T00:00:00"/>
    <d v="2011-08-13T00:00:00"/>
    <s v="RogerDemir@gmail.com"/>
    <x v="7"/>
    <x v="3"/>
    <x v="256"/>
    <n v="9.3450000000000006"/>
    <n v="5"/>
    <n v="-6.5415000000000001"/>
    <x v="1"/>
    <n v="8"/>
    <x v="3"/>
    <n v="9"/>
    <n v="4"/>
    <n v="-70"/>
    <n v="1.869"/>
    <x v="0"/>
    <x v="1"/>
    <x v="0"/>
  </r>
  <r>
    <s v="CA-2012-148180"/>
    <d v="2012-07-26T00:00:00"/>
    <d v="2012-07-31T00:00:00"/>
    <s v="BartPistole@gmail.com"/>
    <x v="148"/>
    <x v="3"/>
    <x v="169"/>
    <n v="9.1440000000000001"/>
    <n v="3"/>
    <n v="3.0861000000000001"/>
    <x v="2"/>
    <n v="7"/>
    <x v="5"/>
    <n v="26"/>
    <n v="5"/>
    <n v="33.75"/>
    <n v="3.048"/>
    <x v="0"/>
    <x v="0"/>
    <x v="0"/>
  </r>
  <r>
    <s v="CA-2012-148180"/>
    <d v="2012-07-26T00:00:00"/>
    <d v="2012-07-31T00:00:00"/>
    <s v="BartPistole@gmail.com"/>
    <x v="148"/>
    <x v="3"/>
    <x v="86"/>
    <n v="23.135999999999999"/>
    <n v="6"/>
    <n v="8.3867999999999991"/>
    <x v="2"/>
    <n v="7"/>
    <x v="5"/>
    <n v="26"/>
    <n v="5"/>
    <n v="36.25"/>
    <n v="3.8559999999999999"/>
    <x v="0"/>
    <x v="0"/>
    <x v="0"/>
  </r>
  <r>
    <s v="CA-2012-148180"/>
    <d v="2012-07-26T00:00:00"/>
    <d v="2012-07-31T00:00:00"/>
    <s v="BartPistole@gmail.com"/>
    <x v="148"/>
    <x v="2"/>
    <x v="433"/>
    <n v="99.2"/>
    <n v="5"/>
    <n v="25.792000000000002"/>
    <x v="2"/>
    <n v="7"/>
    <x v="5"/>
    <n v="26"/>
    <n v="5"/>
    <n v="26"/>
    <n v="19.84"/>
    <x v="0"/>
    <x v="0"/>
    <x v="0"/>
  </r>
  <r>
    <s v="CA-2011-165568"/>
    <d v="2011-02-16T00:00:00"/>
    <d v="2011-02-20T00:00:00"/>
    <s v="BarryFranzÃ¶sisch@gmail.com"/>
    <x v="1"/>
    <x v="3"/>
    <x v="987"/>
    <n v="21.36"/>
    <n v="5"/>
    <n v="7.2089999999999996"/>
    <x v="1"/>
    <n v="2"/>
    <x v="11"/>
    <n v="16"/>
    <n v="4"/>
    <n v="33.75"/>
    <n v="4.2720000000000002"/>
    <x v="0"/>
    <x v="0"/>
    <x v="0"/>
  </r>
  <r>
    <s v="CA-2012-145457"/>
    <d v="2012-03-24T00:00:00"/>
    <d v="2012-03-27T00:00:00"/>
    <s v="CathyPrescott@gmail.com"/>
    <x v="117"/>
    <x v="1"/>
    <x v="1217"/>
    <n v="46.9"/>
    <n v="5"/>
    <n v="13.132"/>
    <x v="2"/>
    <n v="3"/>
    <x v="9"/>
    <n v="24"/>
    <n v="3"/>
    <n v="28"/>
    <n v="9.379999999999999"/>
    <x v="0"/>
    <x v="0"/>
    <x v="0"/>
  </r>
  <r>
    <s v="US-2014-163657"/>
    <d v="2014-09-03T00:00:00"/>
    <d v="2014-09-07T00:00:00"/>
    <s v="JanetLee@gmail.com"/>
    <x v="0"/>
    <x v="3"/>
    <x v="194"/>
    <n v="18.72"/>
    <n v="5"/>
    <n v="6.5519999999999996"/>
    <x v="3"/>
    <n v="9"/>
    <x v="8"/>
    <n v="3"/>
    <n v="4"/>
    <n v="35"/>
    <n v="3.7440000000000002"/>
    <x v="0"/>
    <x v="0"/>
    <x v="0"/>
  </r>
  <r>
    <s v="US-2014-163657"/>
    <d v="2014-09-03T00:00:00"/>
    <d v="2014-09-07T00:00:00"/>
    <s v="JanetLee@gmail.com"/>
    <x v="0"/>
    <x v="13"/>
    <x v="1218"/>
    <n v="236.52799999999999"/>
    <n v="2"/>
    <n v="-2.9565999999999999"/>
    <x v="3"/>
    <n v="9"/>
    <x v="8"/>
    <n v="3"/>
    <n v="4"/>
    <n v="-1.25"/>
    <n v="118.264"/>
    <x v="0"/>
    <x v="1"/>
    <x v="1"/>
  </r>
  <r>
    <s v="CA-2012-120446"/>
    <d v="2012-11-16T00:00:00"/>
    <d v="2012-11-18T00:00:00"/>
    <s v="JohnGrady@gmail.com"/>
    <x v="16"/>
    <x v="0"/>
    <x v="985"/>
    <n v="18.899999999999999"/>
    <n v="3"/>
    <n v="8.6940000000000008"/>
    <x v="2"/>
    <n v="11"/>
    <x v="6"/>
    <n v="16"/>
    <n v="2"/>
    <n v="46"/>
    <n v="6.3"/>
    <x v="0"/>
    <x v="0"/>
    <x v="0"/>
  </r>
  <r>
    <s v="US-2012-136987"/>
    <d v="2012-04-11T00:00:00"/>
    <d v="2012-04-14T00:00:00"/>
    <s v="AndyReiter@gmail.com"/>
    <x v="0"/>
    <x v="8"/>
    <x v="50"/>
    <n v="52.76"/>
    <n v="2"/>
    <n v="24.269600000000001"/>
    <x v="2"/>
    <n v="4"/>
    <x v="10"/>
    <n v="11"/>
    <n v="3"/>
    <n v="46"/>
    <n v="26.38"/>
    <x v="0"/>
    <x v="0"/>
    <x v="0"/>
  </r>
  <r>
    <s v="CA-2013-103709"/>
    <d v="2013-09-09T00:00:00"/>
    <d v="2013-09-16T00:00:00"/>
    <s v="LizPreis@gmail.com"/>
    <x v="111"/>
    <x v="2"/>
    <x v="1219"/>
    <n v="14.88"/>
    <n v="2"/>
    <n v="3.72"/>
    <x v="0"/>
    <n v="9"/>
    <x v="8"/>
    <n v="9"/>
    <n v="7"/>
    <n v="25"/>
    <n v="7.44"/>
    <x v="0"/>
    <x v="0"/>
    <x v="0"/>
  </r>
  <r>
    <s v="CA-2013-103709"/>
    <d v="2013-09-09T00:00:00"/>
    <d v="2013-09-16T00:00:00"/>
    <s v="LizPreis@gmail.com"/>
    <x v="111"/>
    <x v="8"/>
    <x v="1220"/>
    <n v="34.24"/>
    <n v="8"/>
    <n v="15.407999999999999"/>
    <x v="0"/>
    <n v="9"/>
    <x v="8"/>
    <n v="9"/>
    <n v="7"/>
    <n v="45"/>
    <n v="4.28"/>
    <x v="0"/>
    <x v="0"/>
    <x v="0"/>
  </r>
  <r>
    <s v="CA-2013-103709"/>
    <d v="2013-09-09T00:00:00"/>
    <d v="2013-09-16T00:00:00"/>
    <s v="LizPreis@gmail.com"/>
    <x v="111"/>
    <x v="5"/>
    <x v="586"/>
    <n v="261.74"/>
    <n v="2"/>
    <n v="65.435000000000002"/>
    <x v="0"/>
    <n v="9"/>
    <x v="8"/>
    <n v="9"/>
    <n v="7"/>
    <n v="25"/>
    <n v="130.87"/>
    <x v="0"/>
    <x v="0"/>
    <x v="1"/>
  </r>
  <r>
    <s v="CA-2013-138282"/>
    <d v="2013-05-20T00:00:00"/>
    <d v="2013-05-24T00:00:00"/>
    <s v="AnnaHÃ¤berlin@gmail.com"/>
    <x v="0"/>
    <x v="4"/>
    <x v="50"/>
    <n v="87.84"/>
    <n v="8"/>
    <n v="23.716799999999999"/>
    <x v="0"/>
    <n v="5"/>
    <x v="2"/>
    <n v="20"/>
    <n v="4"/>
    <n v="27"/>
    <n v="10.98"/>
    <x v="0"/>
    <x v="0"/>
    <x v="0"/>
  </r>
  <r>
    <s v="CA-2014-148985"/>
    <d v="2014-11-12T00:00:00"/>
    <d v="2014-11-16T00:00:00"/>
    <s v="ThomasBrumley@gmail.com"/>
    <x v="0"/>
    <x v="1"/>
    <x v="294"/>
    <n v="34.92"/>
    <n v="4"/>
    <n v="11.8728"/>
    <x v="3"/>
    <n v="11"/>
    <x v="6"/>
    <n v="12"/>
    <n v="4"/>
    <n v="34"/>
    <n v="8.73"/>
    <x v="0"/>
    <x v="0"/>
    <x v="0"/>
  </r>
  <r>
    <s v="CA-2013-124583"/>
    <d v="2013-09-02T00:00:00"/>
    <d v="2013-09-04T00:00:00"/>
    <s v="LaurelBeltran@gmail.com"/>
    <x v="27"/>
    <x v="12"/>
    <x v="1221"/>
    <n v="12.78"/>
    <n v="1"/>
    <n v="5.7510000000000003"/>
    <x v="0"/>
    <n v="9"/>
    <x v="8"/>
    <n v="2"/>
    <n v="2"/>
    <n v="45"/>
    <n v="12.78"/>
    <x v="0"/>
    <x v="0"/>
    <x v="0"/>
  </r>
  <r>
    <s v="CA-2014-157196"/>
    <d v="2014-11-06T00:00:00"/>
    <d v="2014-11-10T00:00:00"/>
    <s v="AnnaAndreadi@gmail.com"/>
    <x v="16"/>
    <x v="8"/>
    <x v="302"/>
    <n v="12.96"/>
    <n v="2"/>
    <n v="6.2207999999999997"/>
    <x v="3"/>
    <n v="11"/>
    <x v="6"/>
    <n v="6"/>
    <n v="4"/>
    <n v="48"/>
    <n v="6.48"/>
    <x v="0"/>
    <x v="0"/>
    <x v="0"/>
  </r>
  <r>
    <s v="CA-2012-108672"/>
    <d v="2012-09-10T00:00:00"/>
    <d v="2012-09-16T00:00:00"/>
    <s v="FrankAtkinson@gmail.com"/>
    <x v="0"/>
    <x v="1"/>
    <x v="1222"/>
    <n v="106.68"/>
    <n v="6"/>
    <n v="33.070799999999998"/>
    <x v="2"/>
    <n v="9"/>
    <x v="8"/>
    <n v="10"/>
    <n v="6"/>
    <n v="31"/>
    <n v="17.78"/>
    <x v="0"/>
    <x v="0"/>
    <x v="0"/>
  </r>
  <r>
    <s v="CA-2014-121048"/>
    <d v="2014-07-15T00:00:00"/>
    <d v="2014-07-19T00:00:00"/>
    <s v="TobyCarlisle@gmail.com"/>
    <x v="63"/>
    <x v="3"/>
    <x v="943"/>
    <n v="4.4480000000000004"/>
    <n v="2"/>
    <n v="1.4456"/>
    <x v="3"/>
    <n v="7"/>
    <x v="5"/>
    <n v="15"/>
    <n v="4"/>
    <n v="32.5"/>
    <n v="2.2240000000000002"/>
    <x v="0"/>
    <x v="0"/>
    <x v="0"/>
  </r>
  <r>
    <s v="CA-2014-121048"/>
    <d v="2014-07-15T00:00:00"/>
    <d v="2014-07-19T00:00:00"/>
    <s v="TobyCarlisle@gmail.com"/>
    <x v="63"/>
    <x v="1"/>
    <x v="1223"/>
    <n v="276.69"/>
    <n v="3"/>
    <n v="49.804200000000002"/>
    <x v="3"/>
    <n v="7"/>
    <x v="5"/>
    <n v="15"/>
    <n v="4"/>
    <n v="18"/>
    <n v="92.23"/>
    <x v="0"/>
    <x v="0"/>
    <x v="1"/>
  </r>
  <r>
    <s v="CA-2014-121048"/>
    <d v="2014-07-15T00:00:00"/>
    <d v="2014-07-19T00:00:00"/>
    <s v="TobyCarlisle@gmail.com"/>
    <x v="63"/>
    <x v="10"/>
    <x v="87"/>
    <n v="4.96"/>
    <n v="4"/>
    <n v="2.3311999999999999"/>
    <x v="3"/>
    <n v="7"/>
    <x v="5"/>
    <n v="15"/>
    <n v="4"/>
    <n v="47"/>
    <n v="1.24"/>
    <x v="0"/>
    <x v="0"/>
    <x v="0"/>
  </r>
  <r>
    <s v="CA-2014-121048"/>
    <d v="2014-07-15T00:00:00"/>
    <d v="2014-07-19T00:00:00"/>
    <s v="TobyCarlisle@gmail.com"/>
    <x v="63"/>
    <x v="2"/>
    <x v="283"/>
    <n v="71.92"/>
    <n v="4"/>
    <n v="20.8568"/>
    <x v="3"/>
    <n v="7"/>
    <x v="5"/>
    <n v="15"/>
    <n v="4"/>
    <n v="29"/>
    <n v="17.98"/>
    <x v="0"/>
    <x v="0"/>
    <x v="0"/>
  </r>
  <r>
    <s v="CA-2014-121048"/>
    <d v="2014-07-15T00:00:00"/>
    <d v="2014-07-19T00:00:00"/>
    <s v="TobyCarlisle@gmail.com"/>
    <x v="63"/>
    <x v="1"/>
    <x v="1224"/>
    <n v="18.84"/>
    <n v="3"/>
    <n v="7.9127999999999998"/>
    <x v="3"/>
    <n v="7"/>
    <x v="5"/>
    <n v="15"/>
    <n v="4"/>
    <n v="42"/>
    <n v="6.28"/>
    <x v="0"/>
    <x v="0"/>
    <x v="0"/>
  </r>
  <r>
    <s v="CA-2014-121048"/>
    <d v="2014-07-15T00:00:00"/>
    <d v="2014-07-19T00:00:00"/>
    <s v="TobyCarlisle@gmail.com"/>
    <x v="63"/>
    <x v="7"/>
    <x v="125"/>
    <n v="140.97"/>
    <n v="3"/>
    <n v="19.735800000000001"/>
    <x v="3"/>
    <n v="7"/>
    <x v="5"/>
    <n v="15"/>
    <n v="4"/>
    <n v="14"/>
    <n v="46.99"/>
    <x v="0"/>
    <x v="0"/>
    <x v="0"/>
  </r>
  <r>
    <s v="CA-2014-121048"/>
    <d v="2014-07-15T00:00:00"/>
    <d v="2014-07-19T00:00:00"/>
    <s v="TobyCarlisle@gmail.com"/>
    <x v="63"/>
    <x v="6"/>
    <x v="158"/>
    <n v="470.37599999999998"/>
    <n v="3"/>
    <n v="52.917299999999997"/>
    <x v="3"/>
    <n v="7"/>
    <x v="5"/>
    <n v="15"/>
    <n v="4"/>
    <n v="11.25"/>
    <n v="156.792"/>
    <x v="0"/>
    <x v="0"/>
    <x v="1"/>
  </r>
  <r>
    <s v="US-2014-120117"/>
    <d v="2014-03-31T00:00:00"/>
    <d v="2014-03-31T00:00:00"/>
    <s v="TomBoeckenhauer@gmail.com"/>
    <x v="0"/>
    <x v="2"/>
    <x v="1225"/>
    <n v="6.08"/>
    <n v="2"/>
    <n v="2.0672000000000001"/>
    <x v="3"/>
    <n v="3"/>
    <x v="9"/>
    <n v="31"/>
    <n v="0"/>
    <n v="34"/>
    <n v="3.04"/>
    <x v="0"/>
    <x v="0"/>
    <x v="0"/>
  </r>
  <r>
    <s v="US-2014-120117"/>
    <d v="2014-03-31T00:00:00"/>
    <d v="2014-03-31T00:00:00"/>
    <s v="TomBoeckenhauer@gmail.com"/>
    <x v="0"/>
    <x v="6"/>
    <x v="1226"/>
    <n v="164.792"/>
    <n v="1"/>
    <n v="18.539100000000001"/>
    <x v="3"/>
    <n v="3"/>
    <x v="9"/>
    <n v="31"/>
    <n v="0"/>
    <n v="11.25"/>
    <n v="164.792"/>
    <x v="0"/>
    <x v="0"/>
    <x v="0"/>
  </r>
  <r>
    <s v="CA-2011-115889"/>
    <d v="2011-11-02T00:00:00"/>
    <d v="2011-11-06T00:00:00"/>
    <s v="ShahidHopkins@gmail.com"/>
    <x v="3"/>
    <x v="6"/>
    <x v="1227"/>
    <n v="46.384"/>
    <n v="2"/>
    <n v="5.2182000000000004"/>
    <x v="1"/>
    <n v="11"/>
    <x v="6"/>
    <n v="2"/>
    <n v="4"/>
    <n v="11.25"/>
    <n v="23.192"/>
    <x v="0"/>
    <x v="0"/>
    <x v="0"/>
  </r>
  <r>
    <s v="CA-2011-115889"/>
    <d v="2011-11-02T00:00:00"/>
    <d v="2011-11-06T00:00:00"/>
    <s v="ShahidHopkins@gmail.com"/>
    <x v="3"/>
    <x v="5"/>
    <x v="1228"/>
    <n v="362.92"/>
    <n v="2"/>
    <n v="105.24679999999999"/>
    <x v="1"/>
    <n v="11"/>
    <x v="6"/>
    <n v="2"/>
    <n v="4"/>
    <n v="29"/>
    <n v="181.46"/>
    <x v="0"/>
    <x v="0"/>
    <x v="1"/>
  </r>
  <r>
    <s v="CA-2011-125731"/>
    <d v="2011-09-10T00:00:00"/>
    <d v="2011-09-16T00:00:00"/>
    <s v="ClayLudtke@gmail.com"/>
    <x v="106"/>
    <x v="12"/>
    <x v="1048"/>
    <n v="21.728000000000002"/>
    <n v="7"/>
    <n v="7.6048"/>
    <x v="1"/>
    <n v="9"/>
    <x v="8"/>
    <n v="10"/>
    <n v="6"/>
    <n v="35"/>
    <n v="3.1040000000000001"/>
    <x v="0"/>
    <x v="0"/>
    <x v="0"/>
  </r>
  <r>
    <s v="US-2014-106145"/>
    <d v="2014-09-27T00:00:00"/>
    <d v="2014-09-27T00:00:00"/>
    <s v="RubenAusman@gmail.com"/>
    <x v="3"/>
    <x v="12"/>
    <x v="50"/>
    <n v="71.88"/>
    <n v="6"/>
    <n v="33.064799999999998"/>
    <x v="3"/>
    <n v="9"/>
    <x v="8"/>
    <n v="27"/>
    <n v="0"/>
    <n v="46"/>
    <n v="11.98"/>
    <x v="0"/>
    <x v="0"/>
    <x v="0"/>
  </r>
  <r>
    <s v="US-2014-106145"/>
    <d v="2014-09-27T00:00:00"/>
    <d v="2014-09-27T00:00:00"/>
    <s v="RubenAusman@gmail.com"/>
    <x v="3"/>
    <x v="1"/>
    <x v="1025"/>
    <n v="9.24"/>
    <n v="3"/>
    <n v="2.9567999999999999"/>
    <x v="3"/>
    <n v="9"/>
    <x v="8"/>
    <n v="27"/>
    <n v="0"/>
    <n v="32"/>
    <n v="3.08"/>
    <x v="0"/>
    <x v="0"/>
    <x v="0"/>
  </r>
  <r>
    <s v="US-2014-106145"/>
    <d v="2014-09-27T00:00:00"/>
    <d v="2014-09-27T00:00:00"/>
    <s v="RubenAusman@gmail.com"/>
    <x v="3"/>
    <x v="8"/>
    <x v="786"/>
    <n v="35.880000000000003"/>
    <n v="6"/>
    <n v="16.146000000000001"/>
    <x v="3"/>
    <n v="9"/>
    <x v="8"/>
    <n v="27"/>
    <n v="0"/>
    <n v="45"/>
    <n v="5.98"/>
    <x v="0"/>
    <x v="0"/>
    <x v="0"/>
  </r>
  <r>
    <s v="US-2014-106145"/>
    <d v="2014-09-27T00:00:00"/>
    <d v="2014-09-27T00:00:00"/>
    <s v="RubenAusman@gmail.com"/>
    <x v="3"/>
    <x v="3"/>
    <x v="9"/>
    <n v="17.04"/>
    <n v="3"/>
    <n v="5.5380000000000003"/>
    <x v="3"/>
    <n v="9"/>
    <x v="8"/>
    <n v="27"/>
    <n v="0"/>
    <n v="32.5"/>
    <n v="5.68"/>
    <x v="0"/>
    <x v="0"/>
    <x v="0"/>
  </r>
  <r>
    <s v="CA-2013-107146"/>
    <d v="2013-06-18T00:00:00"/>
    <d v="2013-06-20T00:00:00"/>
    <s v="LenaCreighton@gmail.com"/>
    <x v="159"/>
    <x v="1"/>
    <x v="1229"/>
    <n v="266.35199999999998"/>
    <n v="3"/>
    <n v="-13.317600000000001"/>
    <x v="0"/>
    <n v="6"/>
    <x v="0"/>
    <n v="18"/>
    <n v="2"/>
    <n v="-5"/>
    <n v="88.783999999999992"/>
    <x v="0"/>
    <x v="1"/>
    <x v="1"/>
  </r>
  <r>
    <s v="CA-2013-107146"/>
    <d v="2013-06-18T00:00:00"/>
    <d v="2013-06-20T00:00:00"/>
    <s v="LenaCreighton@gmail.com"/>
    <x v="159"/>
    <x v="9"/>
    <x v="1230"/>
    <n v="483.13600000000002"/>
    <n v="4"/>
    <n v="54.352800000000002"/>
    <x v="0"/>
    <n v="6"/>
    <x v="0"/>
    <n v="18"/>
    <n v="2"/>
    <n v="11.25"/>
    <n v="120.78400000000001"/>
    <x v="0"/>
    <x v="0"/>
    <x v="1"/>
  </r>
  <r>
    <s v="US-2014-160143"/>
    <d v="2014-04-01T00:00:00"/>
    <d v="2014-04-08T00:00:00"/>
    <s v="HenryGoldwyn@gmail.com"/>
    <x v="0"/>
    <x v="11"/>
    <x v="492"/>
    <n v="29.7"/>
    <n v="3"/>
    <n v="8.0190000000000001"/>
    <x v="3"/>
    <n v="4"/>
    <x v="10"/>
    <n v="1"/>
    <n v="7"/>
    <n v="27"/>
    <n v="9.9"/>
    <x v="0"/>
    <x v="0"/>
    <x v="0"/>
  </r>
  <r>
    <s v="CA-2013-106460"/>
    <d v="2013-02-19T00:00:00"/>
    <d v="2013-02-22T00:00:00"/>
    <s v="GregTran@gmail.com"/>
    <x v="3"/>
    <x v="8"/>
    <x v="33"/>
    <n v="70.88"/>
    <n v="2"/>
    <n v="33.313600000000001"/>
    <x v="0"/>
    <n v="2"/>
    <x v="11"/>
    <n v="19"/>
    <n v="3"/>
    <n v="47"/>
    <n v="35.44"/>
    <x v="0"/>
    <x v="0"/>
    <x v="0"/>
  </r>
  <r>
    <s v="US-2014-112347"/>
    <d v="2014-12-03T00:00:00"/>
    <d v="2014-12-07T00:00:00"/>
    <s v="BillStewart@gmail.com"/>
    <x v="13"/>
    <x v="5"/>
    <x v="300"/>
    <n v="114.288"/>
    <n v="1"/>
    <n v="12.8574"/>
    <x v="3"/>
    <n v="12"/>
    <x v="1"/>
    <n v="3"/>
    <n v="4"/>
    <n v="11.25"/>
    <n v="114.288"/>
    <x v="0"/>
    <x v="0"/>
    <x v="0"/>
  </r>
  <r>
    <s v="US-2014-112347"/>
    <d v="2014-12-03T00:00:00"/>
    <d v="2014-12-07T00:00:00"/>
    <s v="BillStewart@gmail.com"/>
    <x v="13"/>
    <x v="3"/>
    <x v="254"/>
    <n v="36.624000000000002"/>
    <n v="8"/>
    <n v="-24.416"/>
    <x v="3"/>
    <n v="12"/>
    <x v="1"/>
    <n v="3"/>
    <n v="4"/>
    <n v="-66.67"/>
    <n v="4.5780000000000003"/>
    <x v="0"/>
    <x v="1"/>
    <x v="0"/>
  </r>
  <r>
    <s v="US-2014-112347"/>
    <d v="2014-12-03T00:00:00"/>
    <d v="2014-12-07T00:00:00"/>
    <s v="BillStewart@gmail.com"/>
    <x v="13"/>
    <x v="14"/>
    <x v="1231"/>
    <n v="242.352"/>
    <n v="8"/>
    <n v="-363.52800000000002"/>
    <x v="3"/>
    <n v="12"/>
    <x v="1"/>
    <n v="3"/>
    <n v="4"/>
    <n v="-150"/>
    <n v="30.294"/>
    <x v="0"/>
    <x v="1"/>
    <x v="1"/>
  </r>
  <r>
    <s v="US-2014-112347"/>
    <d v="2014-12-03T00:00:00"/>
    <d v="2014-12-07T00:00:00"/>
    <s v="BillStewart@gmail.com"/>
    <x v="13"/>
    <x v="6"/>
    <x v="866"/>
    <n v="49.616"/>
    <n v="2"/>
    <n v="4.9615999999999998"/>
    <x v="3"/>
    <n v="12"/>
    <x v="1"/>
    <n v="3"/>
    <n v="4"/>
    <n v="10"/>
    <n v="24.808"/>
    <x v="0"/>
    <x v="0"/>
    <x v="0"/>
  </r>
  <r>
    <s v="US-2014-112347"/>
    <d v="2014-12-03T00:00:00"/>
    <d v="2014-12-07T00:00:00"/>
    <s v="BillStewart@gmail.com"/>
    <x v="13"/>
    <x v="1"/>
    <x v="1211"/>
    <n v="508.70400000000001"/>
    <n v="6"/>
    <n v="0"/>
    <x v="3"/>
    <n v="12"/>
    <x v="1"/>
    <n v="3"/>
    <n v="4"/>
    <n v="0"/>
    <n v="84.784000000000006"/>
    <x v="0"/>
    <x v="0"/>
    <x v="1"/>
  </r>
  <r>
    <s v="US-2014-112347"/>
    <d v="2014-12-03T00:00:00"/>
    <d v="2014-12-07T00:00:00"/>
    <s v="BillStewart@gmail.com"/>
    <x v="13"/>
    <x v="6"/>
    <x v="731"/>
    <n v="57.36"/>
    <n v="6"/>
    <n v="-14.34"/>
    <x v="3"/>
    <n v="12"/>
    <x v="1"/>
    <n v="3"/>
    <n v="4"/>
    <n v="-25"/>
    <n v="9.56"/>
    <x v="0"/>
    <x v="1"/>
    <x v="0"/>
  </r>
  <r>
    <s v="CA-2014-157672"/>
    <d v="2014-10-06T00:00:00"/>
    <d v="2014-10-08T00:00:00"/>
    <s v="RossBaird@gmail.com"/>
    <x v="13"/>
    <x v="7"/>
    <x v="1179"/>
    <n v="63.823999999999998"/>
    <n v="2"/>
    <n v="13.5626"/>
    <x v="3"/>
    <n v="10"/>
    <x v="7"/>
    <n v="6"/>
    <n v="2"/>
    <n v="21.25"/>
    <n v="31.911999999999999"/>
    <x v="0"/>
    <x v="0"/>
    <x v="0"/>
  </r>
  <r>
    <s v="US-2013-166660"/>
    <d v="2013-01-30T00:00:00"/>
    <d v="2013-02-01T00:00:00"/>
    <s v="TimBrockman@gmail.com"/>
    <x v="1"/>
    <x v="9"/>
    <x v="561"/>
    <n v="435.16800000000001"/>
    <n v="4"/>
    <n v="-59.835599999999999"/>
    <x v="0"/>
    <n v="1"/>
    <x v="4"/>
    <n v="30"/>
    <n v="2"/>
    <n v="-13.75"/>
    <n v="108.792"/>
    <x v="0"/>
    <x v="1"/>
    <x v="1"/>
  </r>
  <r>
    <s v="US-2013-166660"/>
    <d v="2013-01-30T00:00:00"/>
    <d v="2013-02-01T00:00:00"/>
    <s v="TimBrockman@gmail.com"/>
    <x v="1"/>
    <x v="14"/>
    <x v="1012"/>
    <n v="48.58"/>
    <n v="1"/>
    <n v="7.7728000000000002"/>
    <x v="0"/>
    <n v="1"/>
    <x v="4"/>
    <n v="30"/>
    <n v="2"/>
    <n v="16"/>
    <n v="48.58"/>
    <x v="0"/>
    <x v="0"/>
    <x v="0"/>
  </r>
  <r>
    <s v="CA-2011-133830"/>
    <d v="2011-12-05T00:00:00"/>
    <d v="2011-12-10T00:00:00"/>
    <s v="RobLucas@gmail.com"/>
    <x v="0"/>
    <x v="2"/>
    <x v="422"/>
    <n v="26.46"/>
    <n v="9"/>
    <n v="11.907"/>
    <x v="1"/>
    <n v="12"/>
    <x v="1"/>
    <n v="5"/>
    <n v="5"/>
    <n v="45"/>
    <n v="2.94"/>
    <x v="0"/>
    <x v="0"/>
    <x v="0"/>
  </r>
  <r>
    <s v="CA-2011-133830"/>
    <d v="2011-12-05T00:00:00"/>
    <d v="2011-12-10T00:00:00"/>
    <s v="RobLucas@gmail.com"/>
    <x v="0"/>
    <x v="8"/>
    <x v="955"/>
    <n v="49.12"/>
    <n v="4"/>
    <n v="23.086400000000001"/>
    <x v="1"/>
    <n v="12"/>
    <x v="1"/>
    <n v="5"/>
    <n v="5"/>
    <n v="47"/>
    <n v="12.28"/>
    <x v="0"/>
    <x v="0"/>
    <x v="0"/>
  </r>
  <r>
    <s v="CA-2011-133830"/>
    <d v="2011-12-05T00:00:00"/>
    <d v="2011-12-10T00:00:00"/>
    <s v="RobLucas@gmail.com"/>
    <x v="0"/>
    <x v="10"/>
    <x v="526"/>
    <n v="15"/>
    <n v="3"/>
    <n v="7.2"/>
    <x v="1"/>
    <n v="12"/>
    <x v="1"/>
    <n v="5"/>
    <n v="5"/>
    <n v="48"/>
    <n v="5"/>
    <x v="0"/>
    <x v="0"/>
    <x v="0"/>
  </r>
  <r>
    <s v="CA-2012-129532"/>
    <d v="2012-12-08T00:00:00"/>
    <d v="2012-12-12T00:00:00"/>
    <s v="YanaSorensen@gmail.com"/>
    <x v="0"/>
    <x v="5"/>
    <x v="976"/>
    <n v="221.96"/>
    <n v="2"/>
    <n v="4.4391999999999996"/>
    <x v="2"/>
    <n v="12"/>
    <x v="1"/>
    <n v="8"/>
    <n v="4"/>
    <n v="2"/>
    <n v="110.98"/>
    <x v="0"/>
    <x v="0"/>
    <x v="1"/>
  </r>
  <r>
    <s v="CA-2012-129532"/>
    <d v="2012-12-08T00:00:00"/>
    <d v="2012-12-12T00:00:00"/>
    <s v="YanaSorensen@gmail.com"/>
    <x v="0"/>
    <x v="7"/>
    <x v="353"/>
    <n v="236"/>
    <n v="4"/>
    <n v="40.119999999999997"/>
    <x v="2"/>
    <n v="12"/>
    <x v="1"/>
    <n v="8"/>
    <n v="4"/>
    <n v="17"/>
    <n v="59"/>
    <x v="0"/>
    <x v="0"/>
    <x v="1"/>
  </r>
  <r>
    <s v="CA-2011-134726"/>
    <d v="2011-11-02T00:00:00"/>
    <d v="2011-11-07T00:00:00"/>
    <s v="StevenWard@gmail.com"/>
    <x v="1"/>
    <x v="7"/>
    <x v="1232"/>
    <n v="41.94"/>
    <n v="2"/>
    <n v="15.0984"/>
    <x v="1"/>
    <n v="11"/>
    <x v="6"/>
    <n v="2"/>
    <n v="5"/>
    <n v="36"/>
    <n v="20.97"/>
    <x v="0"/>
    <x v="0"/>
    <x v="0"/>
  </r>
  <r>
    <s v="CA-2011-134726"/>
    <d v="2011-11-02T00:00:00"/>
    <d v="2011-11-07T00:00:00"/>
    <s v="StevenWard@gmail.com"/>
    <x v="1"/>
    <x v="6"/>
    <x v="338"/>
    <n v="52.792000000000002"/>
    <n v="1"/>
    <n v="4.6193"/>
    <x v="1"/>
    <n v="11"/>
    <x v="6"/>
    <n v="2"/>
    <n v="5"/>
    <n v="8.75"/>
    <n v="52.792000000000002"/>
    <x v="0"/>
    <x v="0"/>
    <x v="0"/>
  </r>
  <r>
    <s v="CA-2014-122945"/>
    <d v="2014-11-17T00:00:00"/>
    <d v="2014-11-23T00:00:00"/>
    <s v="MickBrown@gmail.com"/>
    <x v="8"/>
    <x v="1"/>
    <x v="804"/>
    <n v="17.309999999999999"/>
    <n v="3"/>
    <n v="5.1929999999999996"/>
    <x v="3"/>
    <n v="11"/>
    <x v="6"/>
    <n v="17"/>
    <n v="6"/>
    <n v="30"/>
    <n v="5.77"/>
    <x v="0"/>
    <x v="0"/>
    <x v="0"/>
  </r>
  <r>
    <s v="CA-2012-164567"/>
    <d v="2012-06-15T00:00:00"/>
    <d v="2012-06-19T00:00:00"/>
    <s v="GraceKelly@gmail.com"/>
    <x v="0"/>
    <x v="6"/>
    <x v="172"/>
    <n v="225.57599999999999"/>
    <n v="3"/>
    <n v="22.557600000000001"/>
    <x v="2"/>
    <n v="6"/>
    <x v="0"/>
    <n v="15"/>
    <n v="4"/>
    <n v="10"/>
    <n v="75.191999999999993"/>
    <x v="0"/>
    <x v="0"/>
    <x v="1"/>
  </r>
  <r>
    <s v="CA-2011-131947"/>
    <d v="2011-09-17T00:00:00"/>
    <d v="2011-09-22T00:00:00"/>
    <s v="JosephAirdo@gmail.com"/>
    <x v="77"/>
    <x v="2"/>
    <x v="910"/>
    <n v="5.2480000000000002"/>
    <n v="2"/>
    <n v="0.4592"/>
    <x v="1"/>
    <n v="9"/>
    <x v="8"/>
    <n v="17"/>
    <n v="5"/>
    <n v="8.75"/>
    <n v="2.6240000000000001"/>
    <x v="0"/>
    <x v="0"/>
    <x v="0"/>
  </r>
  <r>
    <s v="CA-2011-131947"/>
    <d v="2011-09-17T00:00:00"/>
    <d v="2011-09-22T00:00:00"/>
    <s v="JosephAirdo@gmail.com"/>
    <x v="77"/>
    <x v="2"/>
    <x v="1233"/>
    <n v="38.256"/>
    <n v="3"/>
    <n v="4.782"/>
    <x v="1"/>
    <n v="9"/>
    <x v="8"/>
    <n v="17"/>
    <n v="5"/>
    <n v="12.5"/>
    <n v="12.752000000000001"/>
    <x v="0"/>
    <x v="0"/>
    <x v="0"/>
  </r>
  <r>
    <s v="CA-2011-131947"/>
    <d v="2011-09-17T00:00:00"/>
    <d v="2011-09-22T00:00:00"/>
    <s v="JosephAirdo@gmail.com"/>
    <x v="77"/>
    <x v="8"/>
    <x v="790"/>
    <n v="40.24"/>
    <n v="5"/>
    <n v="13.077999999999999"/>
    <x v="1"/>
    <n v="9"/>
    <x v="8"/>
    <n v="17"/>
    <n v="5"/>
    <n v="32.5"/>
    <n v="8.048"/>
    <x v="0"/>
    <x v="0"/>
    <x v="0"/>
  </r>
  <r>
    <s v="CA-2011-131947"/>
    <d v="2011-09-17T00:00:00"/>
    <d v="2011-09-22T00:00:00"/>
    <s v="JosephAirdo@gmail.com"/>
    <x v="77"/>
    <x v="15"/>
    <x v="1234"/>
    <n v="29.925000000000001"/>
    <n v="5"/>
    <n v="-21.945"/>
    <x v="1"/>
    <n v="9"/>
    <x v="8"/>
    <n v="17"/>
    <n v="5"/>
    <n v="-73.33"/>
    <n v="5.9850000000000003"/>
    <x v="0"/>
    <x v="1"/>
    <x v="0"/>
  </r>
  <r>
    <s v="CA-2011-131947"/>
    <d v="2011-09-17T00:00:00"/>
    <d v="2011-09-22T00:00:00"/>
    <s v="JosephAirdo@gmail.com"/>
    <x v="77"/>
    <x v="8"/>
    <x v="366"/>
    <n v="148.70400000000001"/>
    <n v="6"/>
    <n v="46.47"/>
    <x v="1"/>
    <n v="9"/>
    <x v="8"/>
    <n v="17"/>
    <n v="5"/>
    <n v="31.25"/>
    <n v="24.783999999999999"/>
    <x v="0"/>
    <x v="0"/>
    <x v="0"/>
  </r>
  <r>
    <s v="CA-2011-131947"/>
    <d v="2011-09-17T00:00:00"/>
    <d v="2011-09-22T00:00:00"/>
    <s v="JosephAirdo@gmail.com"/>
    <x v="77"/>
    <x v="7"/>
    <x v="13"/>
    <n v="55.92"/>
    <n v="10"/>
    <n v="16.776"/>
    <x v="1"/>
    <n v="9"/>
    <x v="8"/>
    <n v="17"/>
    <n v="5"/>
    <n v="30"/>
    <n v="5.5920000000000014"/>
    <x v="0"/>
    <x v="0"/>
    <x v="0"/>
  </r>
  <r>
    <s v="CA-2014-163209"/>
    <d v="2014-05-04T00:00:00"/>
    <d v="2014-05-08T00:00:00"/>
    <s v="MikeKennedy@gmail.com"/>
    <x v="3"/>
    <x v="8"/>
    <x v="391"/>
    <n v="25.92"/>
    <n v="4"/>
    <n v="12.441599999999999"/>
    <x v="3"/>
    <n v="5"/>
    <x v="2"/>
    <n v="4"/>
    <n v="4"/>
    <n v="48"/>
    <n v="6.48"/>
    <x v="0"/>
    <x v="0"/>
    <x v="0"/>
  </r>
  <r>
    <s v="CA-2014-163209"/>
    <d v="2014-05-04T00:00:00"/>
    <d v="2014-05-08T00:00:00"/>
    <s v="MikeKennedy@gmail.com"/>
    <x v="3"/>
    <x v="2"/>
    <x v="1235"/>
    <n v="22.96"/>
    <n v="7"/>
    <n v="6.6584000000000003"/>
    <x v="3"/>
    <n v="5"/>
    <x v="2"/>
    <n v="4"/>
    <n v="4"/>
    <n v="29"/>
    <n v="3.28"/>
    <x v="0"/>
    <x v="0"/>
    <x v="0"/>
  </r>
  <r>
    <s v="CA-2011-133354"/>
    <d v="2011-02-23T00:00:00"/>
    <d v="2011-02-25T00:00:00"/>
    <s v="SueAnnReed@gmail.com"/>
    <x v="130"/>
    <x v="8"/>
    <x v="287"/>
    <n v="19.440000000000001"/>
    <n v="3"/>
    <n v="9.3312000000000008"/>
    <x v="1"/>
    <n v="2"/>
    <x v="11"/>
    <n v="23"/>
    <n v="2"/>
    <n v="48"/>
    <n v="6.48"/>
    <x v="0"/>
    <x v="0"/>
    <x v="0"/>
  </r>
  <r>
    <s v="CA-2014-151225"/>
    <d v="2014-10-28T00:00:00"/>
    <d v="2014-10-30T00:00:00"/>
    <s v="JimMitchum@gmail.com"/>
    <x v="0"/>
    <x v="13"/>
    <x v="1236"/>
    <n v="189.57599999999999"/>
    <n v="1"/>
    <n v="9.4787999999999997"/>
    <x v="3"/>
    <n v="10"/>
    <x v="7"/>
    <n v="28"/>
    <n v="2"/>
    <n v="5"/>
    <n v="189.57599999999999"/>
    <x v="0"/>
    <x v="0"/>
    <x v="0"/>
  </r>
  <r>
    <s v="CA-2014-151225"/>
    <d v="2014-10-28T00:00:00"/>
    <d v="2014-10-30T00:00:00"/>
    <s v="JimMitchum@gmail.com"/>
    <x v="0"/>
    <x v="6"/>
    <x v="1054"/>
    <n v="71.959999999999994"/>
    <n v="5"/>
    <n v="7.1959999999999997"/>
    <x v="3"/>
    <n v="10"/>
    <x v="7"/>
    <n v="28"/>
    <n v="2"/>
    <n v="10"/>
    <n v="14.391999999999999"/>
    <x v="0"/>
    <x v="0"/>
    <x v="0"/>
  </r>
  <r>
    <s v="US-2011-144078"/>
    <d v="2011-11-25T00:00:00"/>
    <d v="2011-11-29T00:00:00"/>
    <s v="RichardBierner@gmail.com"/>
    <x v="0"/>
    <x v="2"/>
    <x v="50"/>
    <n v="7.44"/>
    <n v="3"/>
    <n v="2.6040000000000001"/>
    <x v="1"/>
    <n v="11"/>
    <x v="6"/>
    <n v="25"/>
    <n v="4"/>
    <n v="35"/>
    <n v="2.48"/>
    <x v="0"/>
    <x v="0"/>
    <x v="0"/>
  </r>
  <r>
    <s v="US-2012-159499"/>
    <d v="2012-11-21T00:00:00"/>
    <d v="2012-11-23T00:00:00"/>
    <s v="EudokiaMartin@gmail.com"/>
    <x v="7"/>
    <x v="4"/>
    <x v="708"/>
    <n v="325.63200000000001"/>
    <n v="6"/>
    <n v="28.492799999999999"/>
    <x v="2"/>
    <n v="11"/>
    <x v="6"/>
    <n v="21"/>
    <n v="2"/>
    <n v="8.75"/>
    <n v="54.271999999999998"/>
    <x v="0"/>
    <x v="0"/>
    <x v="1"/>
  </r>
  <r>
    <s v="US-2012-159499"/>
    <d v="2012-11-21T00:00:00"/>
    <d v="2012-11-23T00:00:00"/>
    <s v="EudokiaMartin@gmail.com"/>
    <x v="7"/>
    <x v="7"/>
    <x v="1237"/>
    <n v="23.344000000000001"/>
    <n v="2"/>
    <n v="-1.4590000000000001"/>
    <x v="2"/>
    <n v="11"/>
    <x v="6"/>
    <n v="21"/>
    <n v="2"/>
    <n v="-6.25"/>
    <n v="11.672000000000001"/>
    <x v="0"/>
    <x v="1"/>
    <x v="0"/>
  </r>
  <r>
    <s v="US-2012-159499"/>
    <d v="2012-11-21T00:00:00"/>
    <d v="2012-11-23T00:00:00"/>
    <s v="EudokiaMartin@gmail.com"/>
    <x v="7"/>
    <x v="0"/>
    <x v="1238"/>
    <n v="16.52"/>
    <n v="5"/>
    <n v="5.3689999999999998"/>
    <x v="2"/>
    <n v="11"/>
    <x v="6"/>
    <n v="21"/>
    <n v="2"/>
    <n v="32.5"/>
    <n v="3.3039999999999998"/>
    <x v="0"/>
    <x v="0"/>
    <x v="0"/>
  </r>
  <r>
    <s v="US-2013-157490"/>
    <d v="2013-10-07T00:00:00"/>
    <d v="2013-10-08T00:00:00"/>
    <s v="LaurelBeltran@gmail.com"/>
    <x v="97"/>
    <x v="3"/>
    <x v="1190"/>
    <n v="17.904"/>
    <n v="4"/>
    <n v="-14.92"/>
    <x v="0"/>
    <n v="10"/>
    <x v="7"/>
    <n v="7"/>
    <n v="1"/>
    <n v="-83.33"/>
    <n v="4.476"/>
    <x v="0"/>
    <x v="1"/>
    <x v="0"/>
  </r>
  <r>
    <s v="US-2013-157490"/>
    <d v="2013-10-07T00:00:00"/>
    <d v="2013-10-08T00:00:00"/>
    <s v="LaurelBeltran@gmail.com"/>
    <x v="97"/>
    <x v="3"/>
    <x v="471"/>
    <n v="11.976000000000001"/>
    <n v="4"/>
    <n v="-9.1815999999999995"/>
    <x v="0"/>
    <n v="10"/>
    <x v="7"/>
    <n v="7"/>
    <n v="1"/>
    <n v="-76.67"/>
    <n v="2.9940000000000002"/>
    <x v="0"/>
    <x v="1"/>
    <x v="0"/>
  </r>
  <r>
    <s v="US-2013-157490"/>
    <d v="2013-10-07T00:00:00"/>
    <d v="2013-10-08T00:00:00"/>
    <s v="LaurelBeltran@gmail.com"/>
    <x v="97"/>
    <x v="7"/>
    <x v="1239"/>
    <n v="67.959999999999994"/>
    <n v="5"/>
    <n v="0.84950000000000003"/>
    <x v="0"/>
    <n v="10"/>
    <x v="7"/>
    <n v="7"/>
    <n v="1"/>
    <n v="1.25"/>
    <n v="13.592000000000001"/>
    <x v="0"/>
    <x v="0"/>
    <x v="0"/>
  </r>
  <r>
    <s v="CA-2013-138968"/>
    <d v="2013-03-16T00:00:00"/>
    <d v="2013-03-17T00:00:00"/>
    <s v="FredChung@gmail.com"/>
    <x v="3"/>
    <x v="3"/>
    <x v="1240"/>
    <n v="4.5439999999999996"/>
    <n v="2"/>
    <n v="1.6472"/>
    <x v="0"/>
    <n v="3"/>
    <x v="9"/>
    <n v="16"/>
    <n v="1"/>
    <n v="36.25"/>
    <n v="2.2719999999999998"/>
    <x v="0"/>
    <x v="0"/>
    <x v="0"/>
  </r>
  <r>
    <s v="CA-2012-107685"/>
    <d v="2012-11-30T00:00:00"/>
    <d v="2012-12-02T00:00:00"/>
    <s v="JohnMurray@gmail.com"/>
    <x v="26"/>
    <x v="1"/>
    <x v="1058"/>
    <n v="80.959999999999994"/>
    <n v="4"/>
    <n v="29.145600000000002"/>
    <x v="2"/>
    <n v="11"/>
    <x v="6"/>
    <n v="30"/>
    <n v="2"/>
    <n v="36"/>
    <n v="20.239999999999998"/>
    <x v="0"/>
    <x v="0"/>
    <x v="0"/>
  </r>
  <r>
    <s v="CA-2012-107685"/>
    <d v="2012-11-30T00:00:00"/>
    <d v="2012-12-02T00:00:00"/>
    <s v="JohnMurray@gmail.com"/>
    <x v="26"/>
    <x v="8"/>
    <x v="1173"/>
    <n v="25.92"/>
    <n v="4"/>
    <n v="12.441599999999999"/>
    <x v="2"/>
    <n v="11"/>
    <x v="6"/>
    <n v="30"/>
    <n v="2"/>
    <n v="48"/>
    <n v="6.48"/>
    <x v="0"/>
    <x v="0"/>
    <x v="0"/>
  </r>
  <r>
    <s v="US-2011-120740"/>
    <d v="2011-04-15T00:00:00"/>
    <d v="2011-04-15T00:00:00"/>
    <s v="PaulStevenson@gmail.com"/>
    <x v="0"/>
    <x v="4"/>
    <x v="209"/>
    <n v="106.96"/>
    <n v="2"/>
    <n v="31.0184"/>
    <x v="1"/>
    <n v="4"/>
    <x v="10"/>
    <n v="15"/>
    <n v="0"/>
    <n v="29"/>
    <n v="53.48"/>
    <x v="0"/>
    <x v="0"/>
    <x v="0"/>
  </r>
  <r>
    <s v="US-2011-120740"/>
    <d v="2011-04-15T00:00:00"/>
    <d v="2011-04-15T00:00:00"/>
    <s v="PaulStevenson@gmail.com"/>
    <x v="0"/>
    <x v="1"/>
    <x v="73"/>
    <n v="187.76"/>
    <n v="4"/>
    <n v="76.9816"/>
    <x v="1"/>
    <n v="4"/>
    <x v="10"/>
    <n v="15"/>
    <n v="0"/>
    <n v="41"/>
    <n v="46.94"/>
    <x v="0"/>
    <x v="0"/>
    <x v="0"/>
  </r>
  <r>
    <s v="US-2014-141509"/>
    <d v="2014-09-30T00:00:00"/>
    <d v="2014-10-02T00:00:00"/>
    <s v="SoniaCooley@gmail.com"/>
    <x v="0"/>
    <x v="2"/>
    <x v="433"/>
    <n v="99.2"/>
    <n v="5"/>
    <n v="25.792000000000002"/>
    <x v="3"/>
    <n v="9"/>
    <x v="8"/>
    <n v="30"/>
    <n v="2"/>
    <n v="26"/>
    <n v="19.84"/>
    <x v="1"/>
    <x v="0"/>
    <x v="0"/>
  </r>
  <r>
    <s v="CA-2014-133487"/>
    <d v="2014-05-07T00:00:00"/>
    <d v="2014-05-10T00:00:00"/>
    <s v="TrudySchmidt@gmail.com"/>
    <x v="83"/>
    <x v="4"/>
    <x v="1241"/>
    <n v="152.94"/>
    <n v="3"/>
    <n v="41.293799999999997"/>
    <x v="3"/>
    <n v="5"/>
    <x v="2"/>
    <n v="7"/>
    <n v="3"/>
    <n v="27"/>
    <n v="50.98"/>
    <x v="1"/>
    <x v="0"/>
    <x v="0"/>
  </r>
  <r>
    <s v="CA-2011-102330"/>
    <d v="2011-12-29T00:00:00"/>
    <d v="2012-01-03T00:00:00"/>
    <s v="ArianneIrving@gmail.com"/>
    <x v="17"/>
    <x v="0"/>
    <x v="123"/>
    <n v="88.8"/>
    <n v="6"/>
    <n v="44.4"/>
    <x v="1"/>
    <n v="12"/>
    <x v="1"/>
    <n v="29"/>
    <n v="5"/>
    <n v="50"/>
    <n v="14.8"/>
    <x v="0"/>
    <x v="0"/>
    <x v="0"/>
  </r>
  <r>
    <s v="CA-2011-102330"/>
    <d v="2011-12-29T00:00:00"/>
    <d v="2012-01-03T00:00:00"/>
    <s v="ArianneIrving@gmail.com"/>
    <x v="17"/>
    <x v="6"/>
    <x v="515"/>
    <n v="319.96800000000002"/>
    <n v="4"/>
    <n v="35.996400000000001"/>
    <x v="1"/>
    <n v="12"/>
    <x v="1"/>
    <n v="29"/>
    <n v="5"/>
    <n v="11.25"/>
    <n v="79.992000000000004"/>
    <x v="0"/>
    <x v="0"/>
    <x v="1"/>
  </r>
  <r>
    <s v="CA-2013-118899"/>
    <d v="2013-03-23T00:00:00"/>
    <d v="2013-03-23T00:00:00"/>
    <s v="MarcCrier@gmail.com"/>
    <x v="1"/>
    <x v="9"/>
    <x v="1163"/>
    <n v="167.88800000000001"/>
    <n v="7"/>
    <n v="14.690200000000001"/>
    <x v="0"/>
    <n v="3"/>
    <x v="9"/>
    <n v="23"/>
    <n v="0"/>
    <n v="8.75"/>
    <n v="23.984000000000002"/>
    <x v="0"/>
    <x v="0"/>
    <x v="0"/>
  </r>
  <r>
    <s v="CA-2014-100237"/>
    <d v="2014-10-16T00:00:00"/>
    <d v="2014-10-20T00:00:00"/>
    <s v="StuartVan@gmail.com"/>
    <x v="40"/>
    <x v="2"/>
    <x v="1242"/>
    <n v="11.68"/>
    <n v="2"/>
    <n v="4.2047999999999996"/>
    <x v="3"/>
    <n v="10"/>
    <x v="7"/>
    <n v="16"/>
    <n v="4"/>
    <n v="36"/>
    <n v="5.84"/>
    <x v="1"/>
    <x v="0"/>
    <x v="0"/>
  </r>
  <r>
    <s v="US-2012-142811"/>
    <d v="2012-04-02T00:00:00"/>
    <d v="2012-04-07T00:00:00"/>
    <s v="JohnLucas@gmail.com"/>
    <x v="33"/>
    <x v="6"/>
    <x v="753"/>
    <n v="87.8"/>
    <n v="5"/>
    <n v="32.924999999999997"/>
    <x v="2"/>
    <n v="4"/>
    <x v="10"/>
    <n v="2"/>
    <n v="5"/>
    <n v="37.5"/>
    <n v="17.559999999999999"/>
    <x v="0"/>
    <x v="0"/>
    <x v="0"/>
  </r>
  <r>
    <s v="CA-2011-150203"/>
    <d v="2011-12-05T00:00:00"/>
    <d v="2011-12-07T00:00:00"/>
    <s v="JoniBlumstein@gmail.com"/>
    <x v="0"/>
    <x v="4"/>
    <x v="1145"/>
    <n v="250.26"/>
    <n v="6"/>
    <n v="72.575400000000002"/>
    <x v="1"/>
    <n v="12"/>
    <x v="1"/>
    <n v="5"/>
    <n v="2"/>
    <n v="29"/>
    <n v="41.71"/>
    <x v="1"/>
    <x v="0"/>
    <x v="1"/>
  </r>
  <r>
    <s v="CA-2012-149636"/>
    <d v="2012-01-06T00:00:00"/>
    <d v="2012-01-12T00:00:00"/>
    <s v="StefaniaPerrino@gmail.com"/>
    <x v="19"/>
    <x v="8"/>
    <x v="1243"/>
    <n v="29.6"/>
    <n v="5"/>
    <n v="9.25"/>
    <x v="2"/>
    <n v="1"/>
    <x v="4"/>
    <n v="6"/>
    <n v="6"/>
    <n v="31.25"/>
    <n v="5.92"/>
    <x v="0"/>
    <x v="0"/>
    <x v="0"/>
  </r>
  <r>
    <s v="CA-2012-149636"/>
    <d v="2012-01-06T00:00:00"/>
    <d v="2012-01-12T00:00:00"/>
    <s v="StefaniaPerrino@gmail.com"/>
    <x v="19"/>
    <x v="3"/>
    <x v="161"/>
    <n v="1.9379999999999999"/>
    <n v="2"/>
    <n v="-1.3566"/>
    <x v="2"/>
    <n v="1"/>
    <x v="4"/>
    <n v="6"/>
    <n v="6"/>
    <n v="-70"/>
    <n v="0.96899999999999997"/>
    <x v="0"/>
    <x v="1"/>
    <x v="0"/>
  </r>
  <r>
    <s v="US-2014-146213"/>
    <d v="2014-09-10T00:00:00"/>
    <d v="2014-09-15T00:00:00"/>
    <s v="MattConnell@gmail.com"/>
    <x v="0"/>
    <x v="7"/>
    <x v="1146"/>
    <n v="159.96"/>
    <n v="4"/>
    <n v="51.187199999999997"/>
    <x v="3"/>
    <n v="9"/>
    <x v="8"/>
    <n v="10"/>
    <n v="5"/>
    <n v="32"/>
    <n v="39.99"/>
    <x v="0"/>
    <x v="0"/>
    <x v="0"/>
  </r>
  <r>
    <s v="US-2014-138086"/>
    <d v="2014-04-17T00:00:00"/>
    <d v="2014-04-21T00:00:00"/>
    <s v="JesusOcampo@gmail.com"/>
    <x v="3"/>
    <x v="4"/>
    <x v="1244"/>
    <n v="40.74"/>
    <n v="3"/>
    <n v="12.222"/>
    <x v="3"/>
    <n v="4"/>
    <x v="10"/>
    <n v="17"/>
    <n v="4"/>
    <n v="30"/>
    <n v="13.58"/>
    <x v="0"/>
    <x v="0"/>
    <x v="0"/>
  </r>
  <r>
    <s v="CA-2014-104850"/>
    <d v="2014-06-14T00:00:00"/>
    <d v="2014-06-20T00:00:00"/>
    <s v="TamaraWillingham@gmail.com"/>
    <x v="1"/>
    <x v="9"/>
    <x v="1170"/>
    <n v="291.13600000000002"/>
    <n v="4"/>
    <n v="-25.474399999999999"/>
    <x v="3"/>
    <n v="6"/>
    <x v="0"/>
    <n v="14"/>
    <n v="6"/>
    <n v="-8.75"/>
    <n v="72.784000000000006"/>
    <x v="0"/>
    <x v="1"/>
    <x v="1"/>
  </r>
  <r>
    <s v="CA-2014-134418"/>
    <d v="2014-09-16T00:00:00"/>
    <d v="2014-09-21T00:00:00"/>
    <s v="GeneMcClure@gmail.com"/>
    <x v="1"/>
    <x v="2"/>
    <x v="873"/>
    <n v="12.42"/>
    <n v="3"/>
    <n v="5.2164000000000001"/>
    <x v="3"/>
    <n v="9"/>
    <x v="8"/>
    <n v="16"/>
    <n v="5"/>
    <n v="42"/>
    <n v="4.1399999999999997"/>
    <x v="0"/>
    <x v="0"/>
    <x v="0"/>
  </r>
  <r>
    <s v="US-2013-106313"/>
    <d v="2013-08-23T00:00:00"/>
    <d v="2013-08-27T00:00:00"/>
    <s v="DeirdreGreer@gmail.com"/>
    <x v="1"/>
    <x v="8"/>
    <x v="218"/>
    <n v="19.440000000000001"/>
    <n v="3"/>
    <n v="9.3312000000000008"/>
    <x v="0"/>
    <n v="8"/>
    <x v="3"/>
    <n v="23"/>
    <n v="4"/>
    <n v="48"/>
    <n v="6.48"/>
    <x v="0"/>
    <x v="0"/>
    <x v="0"/>
  </r>
  <r>
    <s v="CA-2011-154781"/>
    <d v="2011-11-21T00:00:00"/>
    <d v="2011-11-26T00:00:00"/>
    <s v="SteveCarroll@gmail.com"/>
    <x v="3"/>
    <x v="8"/>
    <x v="901"/>
    <n v="6.58"/>
    <n v="2"/>
    <n v="3.0268000000000002"/>
    <x v="1"/>
    <n v="11"/>
    <x v="6"/>
    <n v="21"/>
    <n v="5"/>
    <n v="46"/>
    <n v="3.29"/>
    <x v="0"/>
    <x v="0"/>
    <x v="0"/>
  </r>
  <r>
    <s v="CA-2011-154781"/>
    <d v="2011-11-21T00:00:00"/>
    <d v="2011-11-26T00:00:00"/>
    <s v="SteveCarroll@gmail.com"/>
    <x v="3"/>
    <x v="7"/>
    <x v="1028"/>
    <n v="94.99"/>
    <n v="1"/>
    <n v="28.497"/>
    <x v="1"/>
    <n v="11"/>
    <x v="6"/>
    <n v="21"/>
    <n v="5"/>
    <n v="30"/>
    <n v="94.99"/>
    <x v="0"/>
    <x v="0"/>
    <x v="0"/>
  </r>
  <r>
    <s v="CA-2012-147816"/>
    <d v="2012-09-24T00:00:00"/>
    <d v="2012-09-26T00:00:00"/>
    <s v="CarlosMeador@gmail.com"/>
    <x v="24"/>
    <x v="6"/>
    <x v="753"/>
    <n v="35.119999999999997"/>
    <n v="2"/>
    <n v="13.17"/>
    <x v="2"/>
    <n v="9"/>
    <x v="8"/>
    <n v="24"/>
    <n v="2"/>
    <n v="37.5"/>
    <n v="17.559999999999999"/>
    <x v="1"/>
    <x v="0"/>
    <x v="0"/>
  </r>
  <r>
    <s v="CA-2014-105326"/>
    <d v="2014-08-21T00:00:00"/>
    <d v="2014-08-28T00:00:00"/>
    <s v="KeanThornton@gmail.com"/>
    <x v="0"/>
    <x v="8"/>
    <x v="1059"/>
    <n v="25.92"/>
    <n v="4"/>
    <n v="12.441599999999999"/>
    <x v="3"/>
    <n v="8"/>
    <x v="3"/>
    <n v="21"/>
    <n v="7"/>
    <n v="48"/>
    <n v="6.48"/>
    <x v="0"/>
    <x v="0"/>
    <x v="0"/>
  </r>
  <r>
    <s v="CA-2014-156391"/>
    <d v="2014-09-27T00:00:00"/>
    <d v="2014-09-29T00:00:00"/>
    <s v="SaraLuxemburg@gmail.com"/>
    <x v="35"/>
    <x v="2"/>
    <x v="596"/>
    <n v="2.2240000000000002"/>
    <n v="1"/>
    <n v="0.55600000000000005"/>
    <x v="3"/>
    <n v="9"/>
    <x v="8"/>
    <n v="27"/>
    <n v="2"/>
    <n v="25"/>
    <n v="2.2240000000000002"/>
    <x v="1"/>
    <x v="0"/>
    <x v="0"/>
  </r>
  <r>
    <s v="CA-2012-169299"/>
    <d v="2012-08-24T00:00:00"/>
    <d v="2012-08-26T00:00:00"/>
    <s v="DennyOrdway@gmail.com"/>
    <x v="5"/>
    <x v="2"/>
    <x v="18"/>
    <n v="7.1520000000000001"/>
    <n v="3"/>
    <n v="0.71519999999999995"/>
    <x v="2"/>
    <n v="8"/>
    <x v="3"/>
    <n v="24"/>
    <n v="2"/>
    <n v="10"/>
    <n v="2.3839999999999999"/>
    <x v="0"/>
    <x v="0"/>
    <x v="0"/>
  </r>
  <r>
    <s v="CA-2013-155978"/>
    <d v="2013-08-02T00:00:00"/>
    <d v="2013-08-02T00:00:00"/>
    <s v="ThomasSeio@gmail.com"/>
    <x v="47"/>
    <x v="4"/>
    <x v="4"/>
    <n v="45.96"/>
    <n v="2"/>
    <n v="13.788"/>
    <x v="0"/>
    <n v="8"/>
    <x v="3"/>
    <n v="2"/>
    <n v="0"/>
    <n v="30"/>
    <n v="22.98"/>
    <x v="0"/>
    <x v="0"/>
    <x v="0"/>
  </r>
  <r>
    <s v="CA-2013-152800"/>
    <d v="2013-04-14T00:00:00"/>
    <d v="2013-04-16T00:00:00"/>
    <s v="SusanPistek@gmail.com"/>
    <x v="3"/>
    <x v="12"/>
    <x v="56"/>
    <n v="6.12"/>
    <n v="3"/>
    <n v="2.8763999999999998"/>
    <x v="0"/>
    <n v="4"/>
    <x v="10"/>
    <n v="14"/>
    <n v="2"/>
    <n v="47"/>
    <n v="2.04"/>
    <x v="0"/>
    <x v="0"/>
    <x v="0"/>
  </r>
  <r>
    <s v="CA-2011-166961"/>
    <d v="2011-12-27T00:00:00"/>
    <d v="2011-12-31T00:00:00"/>
    <s v="CynthiaDelaney@gmail.com"/>
    <x v="130"/>
    <x v="4"/>
    <x v="50"/>
    <n v="10.98"/>
    <n v="1"/>
    <n v="2.9645999999999999"/>
    <x v="1"/>
    <n v="12"/>
    <x v="1"/>
    <n v="27"/>
    <n v="4"/>
    <n v="27"/>
    <n v="10.98"/>
    <x v="0"/>
    <x v="0"/>
    <x v="0"/>
  </r>
  <r>
    <s v="CA-2011-166961"/>
    <d v="2011-12-27T00:00:00"/>
    <d v="2011-12-31T00:00:00"/>
    <s v="CynthiaDelaney@gmail.com"/>
    <x v="130"/>
    <x v="10"/>
    <x v="50"/>
    <n v="7.86"/>
    <n v="3"/>
    <n v="3.6156000000000001"/>
    <x v="1"/>
    <n v="12"/>
    <x v="1"/>
    <n v="27"/>
    <n v="4"/>
    <n v="46"/>
    <n v="2.62"/>
    <x v="0"/>
    <x v="0"/>
    <x v="0"/>
  </r>
  <r>
    <s v="CA-2011-166961"/>
    <d v="2011-12-27T00:00:00"/>
    <d v="2011-12-31T00:00:00"/>
    <s v="CynthiaDelaney@gmail.com"/>
    <x v="130"/>
    <x v="5"/>
    <x v="136"/>
    <n v="51.45"/>
    <n v="3"/>
    <n v="13.891500000000001"/>
    <x v="1"/>
    <n v="12"/>
    <x v="1"/>
    <n v="27"/>
    <n v="4"/>
    <n v="27"/>
    <n v="17.149999999999999"/>
    <x v="0"/>
    <x v="0"/>
    <x v="0"/>
  </r>
  <r>
    <s v="CA-2011-166961"/>
    <d v="2011-12-27T00:00:00"/>
    <d v="2011-12-31T00:00:00"/>
    <s v="CynthiaDelaney@gmail.com"/>
    <x v="130"/>
    <x v="3"/>
    <x v="1067"/>
    <n v="37.055999999999997"/>
    <n v="3"/>
    <n v="13.896000000000001"/>
    <x v="1"/>
    <n v="12"/>
    <x v="1"/>
    <n v="27"/>
    <n v="4"/>
    <n v="37.5"/>
    <n v="12.352"/>
    <x v="0"/>
    <x v="0"/>
    <x v="0"/>
  </r>
  <r>
    <s v="CA-2012-127481"/>
    <d v="2012-12-12T00:00:00"/>
    <d v="2012-12-15T00:00:00"/>
    <s v="JonathanDoherty@gmail.com"/>
    <x v="26"/>
    <x v="8"/>
    <x v="863"/>
    <n v="32.4"/>
    <n v="5"/>
    <n v="15.875999999999999"/>
    <x v="2"/>
    <n v="12"/>
    <x v="1"/>
    <n v="12"/>
    <n v="3"/>
    <n v="49"/>
    <n v="6.48"/>
    <x v="0"/>
    <x v="0"/>
    <x v="0"/>
  </r>
  <r>
    <s v="CA-2012-127481"/>
    <d v="2012-12-12T00:00:00"/>
    <d v="2012-12-15T00:00:00"/>
    <s v="JonathanDoherty@gmail.com"/>
    <x v="26"/>
    <x v="8"/>
    <x v="1185"/>
    <n v="97.88"/>
    <n v="2"/>
    <n v="48.94"/>
    <x v="2"/>
    <n v="12"/>
    <x v="1"/>
    <n v="12"/>
    <n v="3"/>
    <n v="50"/>
    <n v="48.94"/>
    <x v="0"/>
    <x v="0"/>
    <x v="0"/>
  </r>
  <r>
    <s v="CA-2011-143637"/>
    <d v="2011-03-24T00:00:00"/>
    <d v="2011-03-29T00:00:00"/>
    <s v="MauriceSatty@gmail.com"/>
    <x v="57"/>
    <x v="1"/>
    <x v="1058"/>
    <n v="40.479999999999997"/>
    <n v="2"/>
    <n v="14.572800000000001"/>
    <x v="1"/>
    <n v="3"/>
    <x v="9"/>
    <n v="24"/>
    <n v="5"/>
    <n v="36"/>
    <n v="20.239999999999998"/>
    <x v="0"/>
    <x v="0"/>
    <x v="0"/>
  </r>
  <r>
    <s v="US-2014-109316"/>
    <d v="2014-06-09T00:00:00"/>
    <d v="2014-06-11T00:00:00"/>
    <s v="MaureenGastineau@gmail.com"/>
    <x v="0"/>
    <x v="6"/>
    <x v="1245"/>
    <n v="17.52"/>
    <n v="2"/>
    <n v="-3.504"/>
    <x v="3"/>
    <n v="6"/>
    <x v="0"/>
    <n v="9"/>
    <n v="2"/>
    <n v="-20"/>
    <n v="8.76"/>
    <x v="0"/>
    <x v="1"/>
    <x v="0"/>
  </r>
  <r>
    <s v="CA-2013-138478"/>
    <d v="2013-10-22T00:00:00"/>
    <d v="2013-10-27T00:00:00"/>
    <s v="DennisPardue@gmail.com"/>
    <x v="70"/>
    <x v="2"/>
    <x v="1246"/>
    <n v="113.22"/>
    <n v="3"/>
    <n v="29.437200000000001"/>
    <x v="0"/>
    <n v="10"/>
    <x v="7"/>
    <n v="22"/>
    <n v="5"/>
    <n v="26"/>
    <n v="37.74"/>
    <x v="0"/>
    <x v="0"/>
    <x v="0"/>
  </r>
  <r>
    <s v="CA-2013-138478"/>
    <d v="2013-10-22T00:00:00"/>
    <d v="2013-10-27T00:00:00"/>
    <s v="DennisPardue@gmail.com"/>
    <x v="70"/>
    <x v="8"/>
    <x v="1247"/>
    <n v="35.880000000000003"/>
    <n v="6"/>
    <n v="17.581199999999999"/>
    <x v="0"/>
    <n v="10"/>
    <x v="7"/>
    <n v="22"/>
    <n v="5"/>
    <n v="49"/>
    <n v="5.98"/>
    <x v="0"/>
    <x v="0"/>
    <x v="0"/>
  </r>
  <r>
    <s v="CA-2014-150469"/>
    <d v="2014-01-27T00:00:00"/>
    <d v="2014-01-31T00:00:00"/>
    <s v="CarolineJumper@gmail.com"/>
    <x v="3"/>
    <x v="10"/>
    <x v="397"/>
    <n v="11.84"/>
    <n v="8"/>
    <n v="5.6832000000000003"/>
    <x v="3"/>
    <n v="1"/>
    <x v="4"/>
    <n v="27"/>
    <n v="4"/>
    <n v="48"/>
    <n v="1.48"/>
    <x v="0"/>
    <x v="0"/>
    <x v="0"/>
  </r>
  <r>
    <s v="CA-2011-125150"/>
    <d v="2011-05-16T00:00:00"/>
    <d v="2011-05-23T00:00:00"/>
    <s v="PaulineWebber@gmail.com"/>
    <x v="0"/>
    <x v="9"/>
    <x v="988"/>
    <n v="232.88"/>
    <n v="5"/>
    <n v="17.466000000000001"/>
    <x v="1"/>
    <n v="5"/>
    <x v="2"/>
    <n v="16"/>
    <n v="7"/>
    <n v="7.5"/>
    <n v="46.576000000000001"/>
    <x v="0"/>
    <x v="0"/>
    <x v="1"/>
  </r>
  <r>
    <s v="CA-2012-137302"/>
    <d v="2012-04-26T00:00:00"/>
    <d v="2012-05-01T00:00:00"/>
    <s v="BartWatters@gmail.com"/>
    <x v="16"/>
    <x v="9"/>
    <x v="582"/>
    <n v="63.936"/>
    <n v="3"/>
    <n v="6.3936000000000002"/>
    <x v="2"/>
    <n v="4"/>
    <x v="10"/>
    <n v="26"/>
    <n v="5"/>
    <n v="10"/>
    <n v="21.312000000000001"/>
    <x v="0"/>
    <x v="0"/>
    <x v="0"/>
  </r>
  <r>
    <s v="CA-2012-137302"/>
    <d v="2012-04-26T00:00:00"/>
    <d v="2012-05-01T00:00:00"/>
    <s v="BartWatters@gmail.com"/>
    <x v="16"/>
    <x v="2"/>
    <x v="617"/>
    <n v="59.52"/>
    <n v="3"/>
    <n v="15.475199999999999"/>
    <x v="2"/>
    <n v="4"/>
    <x v="10"/>
    <n v="26"/>
    <n v="5"/>
    <n v="26"/>
    <n v="19.84"/>
    <x v="0"/>
    <x v="0"/>
    <x v="0"/>
  </r>
  <r>
    <s v="CA-2012-137302"/>
    <d v="2012-04-26T00:00:00"/>
    <d v="2012-05-01T00:00:00"/>
    <s v="BartWatters@gmail.com"/>
    <x v="16"/>
    <x v="6"/>
    <x v="1056"/>
    <n v="311.976"/>
    <n v="3"/>
    <n v="38.997"/>
    <x v="2"/>
    <n v="4"/>
    <x v="10"/>
    <n v="26"/>
    <n v="5"/>
    <n v="12.5"/>
    <n v="103.992"/>
    <x v="0"/>
    <x v="0"/>
    <x v="1"/>
  </r>
  <r>
    <s v="CA-2012-137302"/>
    <d v="2012-04-26T00:00:00"/>
    <d v="2012-05-01T00:00:00"/>
    <s v="BartWatters@gmail.com"/>
    <x v="16"/>
    <x v="3"/>
    <x v="838"/>
    <n v="50.351999999999997"/>
    <n v="3"/>
    <n v="17.623200000000001"/>
    <x v="2"/>
    <n v="4"/>
    <x v="10"/>
    <n v="26"/>
    <n v="5"/>
    <n v="35"/>
    <n v="16.783999999999999"/>
    <x v="0"/>
    <x v="0"/>
    <x v="0"/>
  </r>
  <r>
    <s v="CA-2012-106257"/>
    <d v="2012-04-13T00:00:00"/>
    <d v="2012-04-17T00:00:00"/>
    <s v="EugeneBarchas@gmail.com"/>
    <x v="0"/>
    <x v="13"/>
    <x v="1032"/>
    <n v="241.56800000000001"/>
    <n v="2"/>
    <n v="-15.098000000000001"/>
    <x v="2"/>
    <n v="4"/>
    <x v="10"/>
    <n v="13"/>
    <n v="4"/>
    <n v="-6.25"/>
    <n v="120.78400000000001"/>
    <x v="0"/>
    <x v="1"/>
    <x v="1"/>
  </r>
  <r>
    <s v="CA-2012-106257"/>
    <d v="2012-04-13T00:00:00"/>
    <d v="2012-04-17T00:00:00"/>
    <s v="EugeneBarchas@gmail.com"/>
    <x v="0"/>
    <x v="6"/>
    <x v="1248"/>
    <n v="479.92"/>
    <n v="2"/>
    <n v="41.993000000000002"/>
    <x v="2"/>
    <n v="4"/>
    <x v="10"/>
    <n v="13"/>
    <n v="4"/>
    <n v="8.75"/>
    <n v="239.96"/>
    <x v="0"/>
    <x v="0"/>
    <x v="1"/>
  </r>
  <r>
    <s v="CA-2012-149083"/>
    <d v="2012-09-25T00:00:00"/>
    <d v="2012-09-30T00:00:00"/>
    <s v="SallyHughsby@gmail.com"/>
    <x v="1"/>
    <x v="9"/>
    <x v="621"/>
    <n v="307.13600000000002"/>
    <n v="4"/>
    <n v="-11.5176"/>
    <x v="2"/>
    <n v="9"/>
    <x v="8"/>
    <n v="25"/>
    <n v="5"/>
    <n v="-3.75"/>
    <n v="76.784000000000006"/>
    <x v="0"/>
    <x v="1"/>
    <x v="1"/>
  </r>
  <r>
    <s v="CA-2012-149083"/>
    <d v="2012-09-25T00:00:00"/>
    <d v="2012-09-30T00:00:00"/>
    <s v="SallyHughsby@gmail.com"/>
    <x v="1"/>
    <x v="0"/>
    <x v="1249"/>
    <n v="12.6"/>
    <n v="2"/>
    <n v="5.7960000000000003"/>
    <x v="2"/>
    <n v="9"/>
    <x v="8"/>
    <n v="25"/>
    <n v="5"/>
    <n v="46"/>
    <n v="6.3"/>
    <x v="0"/>
    <x v="0"/>
    <x v="0"/>
  </r>
  <r>
    <s v="CA-2012-149083"/>
    <d v="2012-09-25T00:00:00"/>
    <d v="2012-09-30T00:00:00"/>
    <s v="SallyHughsby@gmail.com"/>
    <x v="1"/>
    <x v="7"/>
    <x v="1250"/>
    <n v="159.97999999999999"/>
    <n v="2"/>
    <n v="57.592799999999997"/>
    <x v="2"/>
    <n v="9"/>
    <x v="8"/>
    <n v="25"/>
    <n v="5"/>
    <n v="36"/>
    <n v="79.989999999999995"/>
    <x v="0"/>
    <x v="0"/>
    <x v="0"/>
  </r>
  <r>
    <s v="CA-2012-144890"/>
    <d v="2012-12-25T00:00:00"/>
    <d v="2012-12-29T00:00:00"/>
    <s v="SeanMiller@gmail.com"/>
    <x v="0"/>
    <x v="8"/>
    <x v="1251"/>
    <n v="9.9600000000000009"/>
    <n v="2"/>
    <n v="4.8803999999999998"/>
    <x v="2"/>
    <n v="12"/>
    <x v="1"/>
    <n v="25"/>
    <n v="4"/>
    <n v="49"/>
    <n v="4.9800000000000004"/>
    <x v="1"/>
    <x v="0"/>
    <x v="0"/>
  </r>
  <r>
    <s v="CA-2012-142993"/>
    <d v="2012-10-12T00:00:00"/>
    <d v="2012-10-17T00:00:00"/>
    <s v="KellyAndreada@gmail.com"/>
    <x v="1"/>
    <x v="7"/>
    <x v="414"/>
    <n v="17.899999999999999"/>
    <n v="2"/>
    <n v="3.4009999999999998"/>
    <x v="2"/>
    <n v="10"/>
    <x v="7"/>
    <n v="12"/>
    <n v="5"/>
    <n v="19"/>
    <n v="8.9499999999999993"/>
    <x v="0"/>
    <x v="0"/>
    <x v="0"/>
  </r>
  <r>
    <s v="CA-2012-142993"/>
    <d v="2012-10-12T00:00:00"/>
    <d v="2012-10-17T00:00:00"/>
    <s v="KellyAndreada@gmail.com"/>
    <x v="1"/>
    <x v="5"/>
    <x v="1252"/>
    <n v="81.96"/>
    <n v="2"/>
    <n v="0"/>
    <x v="2"/>
    <n v="10"/>
    <x v="7"/>
    <n v="12"/>
    <n v="5"/>
    <n v="0"/>
    <n v="40.98"/>
    <x v="0"/>
    <x v="0"/>
    <x v="0"/>
  </r>
  <r>
    <s v="CA-2012-143364"/>
    <d v="2012-07-14T00:00:00"/>
    <d v="2012-07-19T00:00:00"/>
    <s v="TobyGnade@gmail.com"/>
    <x v="33"/>
    <x v="5"/>
    <x v="116"/>
    <n v="272.73599999999999"/>
    <n v="3"/>
    <n v="-64.774799999999999"/>
    <x v="2"/>
    <n v="7"/>
    <x v="5"/>
    <n v="14"/>
    <n v="5"/>
    <n v="-23.75"/>
    <n v="90.911999999999992"/>
    <x v="0"/>
    <x v="1"/>
    <x v="1"/>
  </r>
  <r>
    <s v="CA-2012-143364"/>
    <d v="2012-07-14T00:00:00"/>
    <d v="2012-07-19T00:00:00"/>
    <s v="TobyGnade@gmail.com"/>
    <x v="33"/>
    <x v="8"/>
    <x v="1253"/>
    <n v="18.495999999999999"/>
    <n v="4"/>
    <n v="6.7047999999999996"/>
    <x v="2"/>
    <n v="7"/>
    <x v="5"/>
    <n v="14"/>
    <n v="5"/>
    <n v="36.25"/>
    <n v="4.6239999999999997"/>
    <x v="0"/>
    <x v="0"/>
    <x v="0"/>
  </r>
  <r>
    <s v="CA-2012-143364"/>
    <d v="2012-07-14T00:00:00"/>
    <d v="2012-07-19T00:00:00"/>
    <s v="TobyGnade@gmail.com"/>
    <x v="33"/>
    <x v="9"/>
    <x v="583"/>
    <n v="441.92"/>
    <n v="2"/>
    <n v="49.716000000000001"/>
    <x v="2"/>
    <n v="7"/>
    <x v="5"/>
    <n v="14"/>
    <n v="5"/>
    <n v="11.25"/>
    <n v="220.96"/>
    <x v="0"/>
    <x v="0"/>
    <x v="1"/>
  </r>
  <r>
    <s v="CA-2012-143364"/>
    <d v="2012-07-14T00:00:00"/>
    <d v="2012-07-19T00:00:00"/>
    <s v="TobyGnade@gmail.com"/>
    <x v="33"/>
    <x v="14"/>
    <x v="1254"/>
    <n v="127.764"/>
    <n v="6"/>
    <n v="-191.64599999999999"/>
    <x v="2"/>
    <n v="7"/>
    <x v="5"/>
    <n v="14"/>
    <n v="5"/>
    <n v="-150"/>
    <n v="21.294"/>
    <x v="0"/>
    <x v="1"/>
    <x v="0"/>
  </r>
  <r>
    <s v="CA-2011-100972"/>
    <d v="2011-11-19T00:00:00"/>
    <d v="2011-11-24T00:00:00"/>
    <s v="DennisBolton@gmail.com"/>
    <x v="87"/>
    <x v="8"/>
    <x v="588"/>
    <n v="166.44"/>
    <n v="3"/>
    <n v="79.891199999999998"/>
    <x v="1"/>
    <n v="11"/>
    <x v="6"/>
    <n v="19"/>
    <n v="5"/>
    <n v="48"/>
    <n v="55.48"/>
    <x v="0"/>
    <x v="0"/>
    <x v="0"/>
  </r>
  <r>
    <s v="CA-2013-136994"/>
    <d v="2013-05-28T00:00:00"/>
    <d v="2013-06-03T00:00:00"/>
    <s v="LynnSmith@gmail.com"/>
    <x v="0"/>
    <x v="8"/>
    <x v="458"/>
    <n v="13.38"/>
    <n v="2"/>
    <n v="6.1547999999999998"/>
    <x v="0"/>
    <n v="5"/>
    <x v="2"/>
    <n v="28"/>
    <n v="6"/>
    <n v="46"/>
    <n v="6.69"/>
    <x v="0"/>
    <x v="0"/>
    <x v="0"/>
  </r>
  <r>
    <s v="CA-2013-101672"/>
    <d v="2013-10-04T00:00:00"/>
    <d v="2013-10-08T00:00:00"/>
    <s v="DanielByrd@gmail.com"/>
    <x v="140"/>
    <x v="0"/>
    <x v="828"/>
    <n v="6.16"/>
    <n v="2"/>
    <n v="2.9567999999999999"/>
    <x v="0"/>
    <n v="10"/>
    <x v="7"/>
    <n v="4"/>
    <n v="4"/>
    <n v="48"/>
    <n v="3.08"/>
    <x v="0"/>
    <x v="0"/>
    <x v="0"/>
  </r>
  <r>
    <s v="CA-2013-101672"/>
    <d v="2013-10-04T00:00:00"/>
    <d v="2013-10-08T00:00:00"/>
    <s v="DanielByrd@gmail.com"/>
    <x v="140"/>
    <x v="8"/>
    <x v="1220"/>
    <n v="8.56"/>
    <n v="2"/>
    <n v="3.8519999999999999"/>
    <x v="0"/>
    <n v="10"/>
    <x v="7"/>
    <n v="4"/>
    <n v="4"/>
    <n v="45"/>
    <n v="4.28"/>
    <x v="0"/>
    <x v="0"/>
    <x v="0"/>
  </r>
  <r>
    <s v="CA-2013-101672"/>
    <d v="2013-10-04T00:00:00"/>
    <d v="2013-10-08T00:00:00"/>
    <s v="DanielByrd@gmail.com"/>
    <x v="140"/>
    <x v="8"/>
    <x v="571"/>
    <n v="97.82"/>
    <n v="2"/>
    <n v="45.9754"/>
    <x v="0"/>
    <n v="10"/>
    <x v="7"/>
    <n v="4"/>
    <n v="4"/>
    <n v="47"/>
    <n v="48.91"/>
    <x v="0"/>
    <x v="0"/>
    <x v="0"/>
  </r>
  <r>
    <s v="CA-2014-168403"/>
    <d v="2014-09-10T00:00:00"/>
    <d v="2014-09-16T00:00:00"/>
    <s v="DamalaKotsonis@gmail.com"/>
    <x v="5"/>
    <x v="8"/>
    <x v="863"/>
    <n v="31.103999999999999"/>
    <n v="6"/>
    <n v="11.2752"/>
    <x v="3"/>
    <n v="9"/>
    <x v="8"/>
    <n v="10"/>
    <n v="6"/>
    <n v="36.25"/>
    <n v="5.1840000000000002"/>
    <x v="0"/>
    <x v="0"/>
    <x v="0"/>
  </r>
  <r>
    <s v="CA-2014-168403"/>
    <d v="2014-09-10T00:00:00"/>
    <d v="2014-09-16T00:00:00"/>
    <s v="DamalaKotsonis@gmail.com"/>
    <x v="5"/>
    <x v="4"/>
    <x v="1255"/>
    <n v="11.176"/>
    <n v="1"/>
    <n v="0.83819999999999995"/>
    <x v="3"/>
    <n v="9"/>
    <x v="8"/>
    <n v="10"/>
    <n v="6"/>
    <n v="7.5"/>
    <n v="11.176"/>
    <x v="0"/>
    <x v="0"/>
    <x v="0"/>
  </r>
  <r>
    <s v="CA-2014-118017"/>
    <d v="2014-12-04T00:00:00"/>
    <d v="2014-12-07T00:00:00"/>
    <s v="LenaCacioppo@gmail.com"/>
    <x v="115"/>
    <x v="2"/>
    <x v="518"/>
    <n v="13.343999999999999"/>
    <n v="6"/>
    <n v="1.0007999999999999"/>
    <x v="3"/>
    <n v="12"/>
    <x v="1"/>
    <n v="4"/>
    <n v="3"/>
    <n v="7.5"/>
    <n v="2.2240000000000002"/>
    <x v="0"/>
    <x v="0"/>
    <x v="0"/>
  </r>
  <r>
    <s v="CA-2014-118017"/>
    <d v="2014-12-04T00:00:00"/>
    <d v="2014-12-07T00:00:00"/>
    <s v="LenaCacioppo@gmail.com"/>
    <x v="115"/>
    <x v="7"/>
    <x v="1126"/>
    <n v="76.751999999999995"/>
    <n v="6"/>
    <n v="10.5534"/>
    <x v="3"/>
    <n v="12"/>
    <x v="1"/>
    <n v="4"/>
    <n v="3"/>
    <n v="13.75"/>
    <n v="12.792"/>
    <x v="0"/>
    <x v="0"/>
    <x v="0"/>
  </r>
  <r>
    <s v="CA-2014-118017"/>
    <d v="2014-12-04T00:00:00"/>
    <d v="2014-12-07T00:00:00"/>
    <s v="LenaCacioppo@gmail.com"/>
    <x v="115"/>
    <x v="7"/>
    <x v="1126"/>
    <n v="102.336"/>
    <n v="8"/>
    <n v="14.071199999999999"/>
    <x v="3"/>
    <n v="12"/>
    <x v="1"/>
    <n v="4"/>
    <n v="3"/>
    <n v="13.75"/>
    <n v="12.792"/>
    <x v="0"/>
    <x v="0"/>
    <x v="0"/>
  </r>
  <r>
    <s v="CA-2014-118017"/>
    <d v="2014-12-04T00:00:00"/>
    <d v="2014-12-07T00:00:00"/>
    <s v="LenaCacioppo@gmail.com"/>
    <x v="115"/>
    <x v="8"/>
    <x v="590"/>
    <n v="10.32"/>
    <n v="2"/>
    <n v="3.7410000000000001"/>
    <x v="3"/>
    <n v="12"/>
    <x v="1"/>
    <n v="4"/>
    <n v="3"/>
    <n v="36.25"/>
    <n v="5.16"/>
    <x v="0"/>
    <x v="0"/>
    <x v="0"/>
  </r>
  <r>
    <s v="CA-2014-118017"/>
    <d v="2014-12-04T00:00:00"/>
    <d v="2014-12-07T00:00:00"/>
    <s v="LenaCacioppo@gmail.com"/>
    <x v="115"/>
    <x v="11"/>
    <x v="751"/>
    <n v="47.32"/>
    <n v="7"/>
    <n v="5.915"/>
    <x v="3"/>
    <n v="12"/>
    <x v="1"/>
    <n v="4"/>
    <n v="3"/>
    <n v="12.5"/>
    <n v="6.76"/>
    <x v="0"/>
    <x v="0"/>
    <x v="0"/>
  </r>
  <r>
    <s v="CA-2014-118017"/>
    <d v="2014-12-04T00:00:00"/>
    <d v="2014-12-07T00:00:00"/>
    <s v="LenaCacioppo@gmail.com"/>
    <x v="115"/>
    <x v="1"/>
    <x v="50"/>
    <n v="23.376000000000001"/>
    <n v="3"/>
    <n v="7.0128000000000004"/>
    <x v="3"/>
    <n v="12"/>
    <x v="1"/>
    <n v="4"/>
    <n v="3"/>
    <n v="30"/>
    <n v="7.7920000000000007"/>
    <x v="0"/>
    <x v="0"/>
    <x v="0"/>
  </r>
  <r>
    <s v="CA-2014-118017"/>
    <d v="2014-12-04T00:00:00"/>
    <d v="2014-12-07T00:00:00"/>
    <s v="LenaCacioppo@gmail.com"/>
    <x v="115"/>
    <x v="1"/>
    <x v="360"/>
    <n v="16.72"/>
    <n v="5"/>
    <n v="3.3439999999999999"/>
    <x v="3"/>
    <n v="12"/>
    <x v="1"/>
    <n v="4"/>
    <n v="3"/>
    <n v="20"/>
    <n v="3.3439999999999999"/>
    <x v="0"/>
    <x v="0"/>
    <x v="0"/>
  </r>
  <r>
    <s v="CA-2014-118017"/>
    <d v="2014-12-04T00:00:00"/>
    <d v="2014-12-07T00:00:00"/>
    <s v="LenaCacioppo@gmail.com"/>
    <x v="115"/>
    <x v="1"/>
    <x v="1256"/>
    <n v="16.192"/>
    <n v="1"/>
    <n v="4.6551999999999998"/>
    <x v="3"/>
    <n v="12"/>
    <x v="1"/>
    <n v="4"/>
    <n v="3"/>
    <n v="28.75"/>
    <n v="16.192"/>
    <x v="0"/>
    <x v="0"/>
    <x v="0"/>
  </r>
  <r>
    <s v="CA-2013-113117"/>
    <d v="2013-08-17T00:00:00"/>
    <d v="2013-08-23T00:00:00"/>
    <s v="JeremyPistek@gmail.com"/>
    <x v="160"/>
    <x v="8"/>
    <x v="228"/>
    <n v="32.4"/>
    <n v="5"/>
    <n v="15.552"/>
    <x v="0"/>
    <n v="8"/>
    <x v="3"/>
    <n v="17"/>
    <n v="6"/>
    <n v="48"/>
    <n v="6.48"/>
    <x v="0"/>
    <x v="0"/>
    <x v="0"/>
  </r>
  <r>
    <s v="CA-2013-149762"/>
    <d v="2013-12-04T00:00:00"/>
    <d v="2013-12-08T00:00:00"/>
    <s v="RogerDemir@gmail.com"/>
    <x v="161"/>
    <x v="13"/>
    <x v="270"/>
    <n v="268.70400000000001"/>
    <n v="3"/>
    <n v="6.7176"/>
    <x v="0"/>
    <n v="12"/>
    <x v="1"/>
    <n v="4"/>
    <n v="4"/>
    <n v="2.5"/>
    <n v="89.567999999999998"/>
    <x v="0"/>
    <x v="0"/>
    <x v="1"/>
  </r>
  <r>
    <s v="CA-2013-149762"/>
    <d v="2013-12-04T00:00:00"/>
    <d v="2013-12-08T00:00:00"/>
    <s v="RogerDemir@gmail.com"/>
    <x v="161"/>
    <x v="2"/>
    <x v="1257"/>
    <n v="21.92"/>
    <n v="8"/>
    <n v="5.9184000000000001"/>
    <x v="0"/>
    <n v="12"/>
    <x v="1"/>
    <n v="4"/>
    <n v="4"/>
    <n v="27"/>
    <n v="2.74"/>
    <x v="0"/>
    <x v="0"/>
    <x v="0"/>
  </r>
  <r>
    <s v="CA-2013-149762"/>
    <d v="2013-12-04T00:00:00"/>
    <d v="2013-12-08T00:00:00"/>
    <s v="RogerDemir@gmail.com"/>
    <x v="161"/>
    <x v="5"/>
    <x v="1258"/>
    <n v="48.72"/>
    <n v="3"/>
    <n v="7.3079999999999998"/>
    <x v="0"/>
    <n v="12"/>
    <x v="1"/>
    <n v="4"/>
    <n v="4"/>
    <n v="15"/>
    <n v="16.239999999999998"/>
    <x v="0"/>
    <x v="0"/>
    <x v="0"/>
  </r>
  <r>
    <s v="CA-2013-149762"/>
    <d v="2013-12-04T00:00:00"/>
    <d v="2013-12-08T00:00:00"/>
    <s v="RogerDemir@gmail.com"/>
    <x v="161"/>
    <x v="14"/>
    <x v="570"/>
    <n v="205.666"/>
    <n v="2"/>
    <n v="-12.098000000000001"/>
    <x v="0"/>
    <n v="12"/>
    <x v="1"/>
    <n v="4"/>
    <n v="4"/>
    <n v="-5.88"/>
    <n v="102.833"/>
    <x v="0"/>
    <x v="1"/>
    <x v="0"/>
  </r>
  <r>
    <s v="CA-2012-152513"/>
    <d v="2012-07-04T00:00:00"/>
    <d v="2012-07-08T00:00:00"/>
    <s v="JuliePrescott@gmail.com"/>
    <x v="16"/>
    <x v="3"/>
    <x v="652"/>
    <n v="22.847999999999999"/>
    <n v="2"/>
    <n v="7.4256000000000002"/>
    <x v="2"/>
    <n v="7"/>
    <x v="5"/>
    <n v="4"/>
    <n v="4"/>
    <n v="32.5"/>
    <n v="11.423999999999999"/>
    <x v="0"/>
    <x v="0"/>
    <x v="0"/>
  </r>
  <r>
    <s v="US-2013-168095"/>
    <d v="2013-07-16T00:00:00"/>
    <d v="2013-07-21T00:00:00"/>
    <s v="MarkCousins@gmail.com"/>
    <x v="5"/>
    <x v="9"/>
    <x v="105"/>
    <n v="230.28"/>
    <n v="3"/>
    <n v="23.027999999999999"/>
    <x v="0"/>
    <n v="7"/>
    <x v="5"/>
    <n v="16"/>
    <n v="5"/>
    <n v="10"/>
    <n v="76.760000000000005"/>
    <x v="0"/>
    <x v="0"/>
    <x v="1"/>
  </r>
  <r>
    <s v="US-2013-168095"/>
    <d v="2013-07-16T00:00:00"/>
    <d v="2013-07-21T00:00:00"/>
    <s v="MarkCousins@gmail.com"/>
    <x v="5"/>
    <x v="8"/>
    <x v="938"/>
    <n v="105.52"/>
    <n v="5"/>
    <n v="34.293999999999997"/>
    <x v="0"/>
    <n v="7"/>
    <x v="5"/>
    <n v="16"/>
    <n v="5"/>
    <n v="32.5"/>
    <n v="21.103999999999999"/>
    <x v="0"/>
    <x v="0"/>
    <x v="0"/>
  </r>
  <r>
    <s v="CA-2014-166093"/>
    <d v="2014-08-18T00:00:00"/>
    <d v="2014-08-25T00:00:00"/>
    <s v="RickWilson@gmail.com"/>
    <x v="17"/>
    <x v="12"/>
    <x v="50"/>
    <n v="23.36"/>
    <n v="2"/>
    <n v="11.68"/>
    <x v="3"/>
    <n v="8"/>
    <x v="3"/>
    <n v="18"/>
    <n v="7"/>
    <n v="50"/>
    <n v="11.68"/>
    <x v="0"/>
    <x v="0"/>
    <x v="0"/>
  </r>
  <r>
    <s v="CA-2014-166093"/>
    <d v="2014-08-18T00:00:00"/>
    <d v="2014-08-25T00:00:00"/>
    <s v="RickWilson@gmail.com"/>
    <x v="17"/>
    <x v="6"/>
    <x v="1069"/>
    <n v="71.975999999999999"/>
    <n v="3"/>
    <n v="8.9969999999999999"/>
    <x v="3"/>
    <n v="8"/>
    <x v="3"/>
    <n v="18"/>
    <n v="7"/>
    <n v="12.5"/>
    <n v="23.992000000000001"/>
    <x v="0"/>
    <x v="0"/>
    <x v="0"/>
  </r>
  <r>
    <s v="CA-2014-166093"/>
    <d v="2014-08-18T00:00:00"/>
    <d v="2014-08-25T00:00:00"/>
    <s v="RickWilson@gmail.com"/>
    <x v="17"/>
    <x v="8"/>
    <x v="417"/>
    <n v="8.56"/>
    <n v="2"/>
    <n v="3.8519999999999999"/>
    <x v="3"/>
    <n v="8"/>
    <x v="3"/>
    <n v="18"/>
    <n v="7"/>
    <n v="45"/>
    <n v="4.28"/>
    <x v="0"/>
    <x v="0"/>
    <x v="0"/>
  </r>
  <r>
    <s v="CA-2014-166093"/>
    <d v="2014-08-18T00:00:00"/>
    <d v="2014-08-25T00:00:00"/>
    <s v="RickWilson@gmail.com"/>
    <x v="17"/>
    <x v="3"/>
    <x v="637"/>
    <n v="13.92"/>
    <n v="3"/>
    <n v="4.8719999999999999"/>
    <x v="3"/>
    <n v="8"/>
    <x v="3"/>
    <n v="18"/>
    <n v="7"/>
    <n v="35"/>
    <n v="4.6399999999999997"/>
    <x v="0"/>
    <x v="0"/>
    <x v="0"/>
  </r>
  <r>
    <s v="CA-2014-166093"/>
    <d v="2014-08-18T00:00:00"/>
    <d v="2014-08-25T00:00:00"/>
    <s v="RickWilson@gmail.com"/>
    <x v="17"/>
    <x v="3"/>
    <x v="371"/>
    <n v="221.05600000000001"/>
    <n v="8"/>
    <n v="77.369600000000005"/>
    <x v="3"/>
    <n v="8"/>
    <x v="3"/>
    <n v="18"/>
    <n v="7"/>
    <n v="35"/>
    <n v="27.632000000000001"/>
    <x v="0"/>
    <x v="0"/>
    <x v="1"/>
  </r>
  <r>
    <s v="CA-2013-146325"/>
    <d v="2013-12-15T00:00:00"/>
    <d v="2013-12-18T00:00:00"/>
    <s v="DavidSmith@gmail.com"/>
    <x v="16"/>
    <x v="9"/>
    <x v="30"/>
    <n v="81.424000000000007"/>
    <n v="2"/>
    <n v="-9.1601999999999997"/>
    <x v="0"/>
    <n v="12"/>
    <x v="1"/>
    <n v="15"/>
    <n v="3"/>
    <n v="-11.25"/>
    <n v="40.712000000000003"/>
    <x v="0"/>
    <x v="1"/>
    <x v="0"/>
  </r>
  <r>
    <s v="CA-2013-146325"/>
    <d v="2013-12-15T00:00:00"/>
    <d v="2013-12-18T00:00:00"/>
    <s v="DavidSmith@gmail.com"/>
    <x v="16"/>
    <x v="5"/>
    <x v="46"/>
    <n v="134.80000000000001"/>
    <n v="10"/>
    <n v="35.048000000000002"/>
    <x v="0"/>
    <n v="12"/>
    <x v="1"/>
    <n v="15"/>
    <n v="3"/>
    <n v="26"/>
    <n v="13.48"/>
    <x v="0"/>
    <x v="0"/>
    <x v="0"/>
  </r>
  <r>
    <s v="CA-2014-131807"/>
    <d v="2014-10-06T00:00:00"/>
    <d v="2014-10-11T00:00:00"/>
    <s v="GregGuthrie@gmail.com"/>
    <x v="142"/>
    <x v="9"/>
    <x v="561"/>
    <n v="435.16800000000001"/>
    <n v="4"/>
    <n v="-59.835599999999999"/>
    <x v="3"/>
    <n v="10"/>
    <x v="7"/>
    <n v="6"/>
    <n v="5"/>
    <n v="-13.75"/>
    <n v="108.792"/>
    <x v="0"/>
    <x v="1"/>
    <x v="1"/>
  </r>
  <r>
    <s v="CA-2014-131807"/>
    <d v="2014-10-06T00:00:00"/>
    <d v="2014-10-11T00:00:00"/>
    <s v="GregGuthrie@gmail.com"/>
    <x v="142"/>
    <x v="10"/>
    <x v="50"/>
    <n v="14.9"/>
    <n v="5"/>
    <n v="6.8540000000000001"/>
    <x v="3"/>
    <n v="10"/>
    <x v="7"/>
    <n v="6"/>
    <n v="5"/>
    <n v="46"/>
    <n v="2.98"/>
    <x v="0"/>
    <x v="0"/>
    <x v="0"/>
  </r>
  <r>
    <s v="CA-2014-131807"/>
    <d v="2014-10-06T00:00:00"/>
    <d v="2014-10-11T00:00:00"/>
    <s v="GregGuthrie@gmail.com"/>
    <x v="142"/>
    <x v="4"/>
    <x v="888"/>
    <n v="15.8"/>
    <n v="4"/>
    <n v="4.1079999999999997"/>
    <x v="3"/>
    <n v="10"/>
    <x v="7"/>
    <n v="6"/>
    <n v="5"/>
    <n v="26"/>
    <n v="3.95"/>
    <x v="0"/>
    <x v="0"/>
    <x v="0"/>
  </r>
  <r>
    <s v="CA-2014-131807"/>
    <d v="2014-10-06T00:00:00"/>
    <d v="2014-10-11T00:00:00"/>
    <s v="GregGuthrie@gmail.com"/>
    <x v="142"/>
    <x v="1"/>
    <x v="1259"/>
    <n v="72.900000000000006"/>
    <n v="5"/>
    <n v="26.972999999999999"/>
    <x v="3"/>
    <n v="10"/>
    <x v="7"/>
    <n v="6"/>
    <n v="5"/>
    <n v="37"/>
    <n v="14.58"/>
    <x v="0"/>
    <x v="0"/>
    <x v="0"/>
  </r>
  <r>
    <s v="CA-2014-131807"/>
    <d v="2014-10-06T00:00:00"/>
    <d v="2014-10-11T00:00:00"/>
    <s v="GregGuthrie@gmail.com"/>
    <x v="142"/>
    <x v="13"/>
    <x v="373"/>
    <n v="206.352"/>
    <n v="3"/>
    <n v="5.1588000000000003"/>
    <x v="3"/>
    <n v="10"/>
    <x v="7"/>
    <n v="6"/>
    <n v="5"/>
    <n v="2.5"/>
    <n v="68.784000000000006"/>
    <x v="0"/>
    <x v="0"/>
    <x v="0"/>
  </r>
  <r>
    <s v="CA-2014-131807"/>
    <d v="2014-10-06T00:00:00"/>
    <d v="2014-10-11T00:00:00"/>
    <s v="GregGuthrie@gmail.com"/>
    <x v="142"/>
    <x v="6"/>
    <x v="552"/>
    <n v="7.992"/>
    <n v="1"/>
    <n v="2.6972999999999998"/>
    <x v="3"/>
    <n v="10"/>
    <x v="7"/>
    <n v="6"/>
    <n v="5"/>
    <n v="33.75"/>
    <n v="7.992"/>
    <x v="0"/>
    <x v="0"/>
    <x v="0"/>
  </r>
  <r>
    <s v="CA-2012-138219"/>
    <d v="2012-03-23T00:00:00"/>
    <d v="2012-03-30T00:00:00"/>
    <s v="BartPistole@gmail.com"/>
    <x v="0"/>
    <x v="8"/>
    <x v="539"/>
    <n v="33.36"/>
    <n v="4"/>
    <n v="16.68"/>
    <x v="2"/>
    <n v="3"/>
    <x v="9"/>
    <n v="23"/>
    <n v="7"/>
    <n v="50"/>
    <n v="8.34"/>
    <x v="0"/>
    <x v="0"/>
    <x v="0"/>
  </r>
  <r>
    <s v="CA-2013-157707"/>
    <d v="2013-10-11T00:00:00"/>
    <d v="2013-10-13T00:00:00"/>
    <s v="CoreyCatlett@gmail.com"/>
    <x v="13"/>
    <x v="14"/>
    <x v="1260"/>
    <n v="90.882000000000005"/>
    <n v="3"/>
    <n v="-190.85220000000001"/>
    <x v="0"/>
    <n v="10"/>
    <x v="7"/>
    <n v="11"/>
    <n v="2"/>
    <n v="-210"/>
    <n v="30.294"/>
    <x v="0"/>
    <x v="1"/>
    <x v="0"/>
  </r>
  <r>
    <s v="CA-2013-157707"/>
    <d v="2013-10-11T00:00:00"/>
    <d v="2013-10-13T00:00:00"/>
    <s v="CoreyCatlett@gmail.com"/>
    <x v="13"/>
    <x v="6"/>
    <x v="1261"/>
    <n v="15.992000000000001"/>
    <n v="1"/>
    <n v="-2.9984999999999999"/>
    <x v="0"/>
    <n v="10"/>
    <x v="7"/>
    <n v="11"/>
    <n v="2"/>
    <n v="-18.75"/>
    <n v="15.992000000000001"/>
    <x v="0"/>
    <x v="1"/>
    <x v="0"/>
  </r>
  <r>
    <s v="CA-2013-157707"/>
    <d v="2013-10-11T00:00:00"/>
    <d v="2013-10-13T00:00:00"/>
    <s v="CoreyCatlett@gmail.com"/>
    <x v="13"/>
    <x v="9"/>
    <x v="1230"/>
    <n v="120.78400000000001"/>
    <n v="1"/>
    <n v="13.588200000000001"/>
    <x v="0"/>
    <n v="10"/>
    <x v="7"/>
    <n v="11"/>
    <n v="2"/>
    <n v="11.25"/>
    <n v="120.78400000000001"/>
    <x v="0"/>
    <x v="0"/>
    <x v="0"/>
  </r>
  <r>
    <s v="CA-2012-113040"/>
    <d v="2012-08-27T00:00:00"/>
    <d v="2012-08-31T00:00:00"/>
    <s v="ChadCunningham@gmail.com"/>
    <x v="0"/>
    <x v="3"/>
    <x v="1262"/>
    <n v="5.1040000000000001"/>
    <n v="1"/>
    <n v="1.6588000000000001"/>
    <x v="2"/>
    <n v="8"/>
    <x v="3"/>
    <n v="27"/>
    <n v="4"/>
    <n v="32.5"/>
    <n v="5.1040000000000001"/>
    <x v="0"/>
    <x v="0"/>
    <x v="0"/>
  </r>
  <r>
    <s v="CA-2013-151498"/>
    <d v="2013-04-22T00:00:00"/>
    <d v="2013-04-25T00:00:00"/>
    <s v="DuaneNoonan@gmail.com"/>
    <x v="1"/>
    <x v="3"/>
    <x v="262"/>
    <n v="8.32"/>
    <n v="5"/>
    <n v="2.8079999999999998"/>
    <x v="0"/>
    <n v="4"/>
    <x v="10"/>
    <n v="22"/>
    <n v="3"/>
    <n v="33.75"/>
    <n v="1.6639999999999999"/>
    <x v="0"/>
    <x v="0"/>
    <x v="0"/>
  </r>
  <r>
    <s v="US-2012-165743"/>
    <d v="2012-11-20T00:00:00"/>
    <d v="2012-11-23T00:00:00"/>
    <s v="MichelleMoray@gmail.com"/>
    <x v="6"/>
    <x v="3"/>
    <x v="90"/>
    <n v="4.8959999999999999"/>
    <n v="3"/>
    <n v="-3.4272"/>
    <x v="2"/>
    <n v="11"/>
    <x v="6"/>
    <n v="20"/>
    <n v="3"/>
    <n v="-70"/>
    <n v="1.6319999999999999"/>
    <x v="0"/>
    <x v="1"/>
    <x v="0"/>
  </r>
  <r>
    <s v="US-2012-165743"/>
    <d v="2012-11-20T00:00:00"/>
    <d v="2012-11-23T00:00:00"/>
    <s v="MichelleMoray@gmail.com"/>
    <x v="6"/>
    <x v="14"/>
    <x v="1263"/>
    <n v="145.76400000000001"/>
    <n v="6"/>
    <n v="-247.7988"/>
    <x v="2"/>
    <n v="11"/>
    <x v="6"/>
    <n v="20"/>
    <n v="3"/>
    <n v="-170"/>
    <n v="24.294"/>
    <x v="0"/>
    <x v="1"/>
    <x v="0"/>
  </r>
  <r>
    <s v="US-2012-165743"/>
    <d v="2012-11-20T00:00:00"/>
    <d v="2012-11-23T00:00:00"/>
    <s v="MichelleMoray@gmail.com"/>
    <x v="6"/>
    <x v="3"/>
    <x v="1264"/>
    <n v="9.6120000000000001"/>
    <n v="6"/>
    <n v="-7.3692000000000002"/>
    <x v="2"/>
    <n v="11"/>
    <x v="6"/>
    <n v="20"/>
    <n v="3"/>
    <n v="-76.67"/>
    <n v="1.6020000000000001"/>
    <x v="0"/>
    <x v="1"/>
    <x v="0"/>
  </r>
  <r>
    <s v="US-2014-105998"/>
    <d v="2014-11-04T00:00:00"/>
    <d v="2014-11-06T00:00:00"/>
    <s v="ClayRozendal@gmail.com"/>
    <x v="16"/>
    <x v="7"/>
    <x v="65"/>
    <n v="199.75"/>
    <n v="5"/>
    <n v="87.89"/>
    <x v="3"/>
    <n v="11"/>
    <x v="6"/>
    <n v="4"/>
    <n v="2"/>
    <n v="44"/>
    <n v="39.950000000000003"/>
    <x v="0"/>
    <x v="0"/>
    <x v="0"/>
  </r>
  <r>
    <s v="US-2011-148194"/>
    <d v="2011-05-04T00:00:00"/>
    <d v="2011-05-07T00:00:00"/>
    <s v="BillShonely@gmail.com"/>
    <x v="1"/>
    <x v="1"/>
    <x v="622"/>
    <n v="12.18"/>
    <n v="7"/>
    <n v="3.8976000000000002"/>
    <x v="1"/>
    <n v="5"/>
    <x v="2"/>
    <n v="4"/>
    <n v="3"/>
    <n v="32"/>
    <n v="1.74"/>
    <x v="0"/>
    <x v="0"/>
    <x v="0"/>
  </r>
  <r>
    <s v="US-2011-148194"/>
    <d v="2011-05-04T00:00:00"/>
    <d v="2011-05-07T00:00:00"/>
    <s v="BillShonely@gmail.com"/>
    <x v="1"/>
    <x v="4"/>
    <x v="524"/>
    <n v="57.68"/>
    <n v="4"/>
    <n v="19.034400000000002"/>
    <x v="1"/>
    <n v="5"/>
    <x v="2"/>
    <n v="4"/>
    <n v="3"/>
    <n v="33"/>
    <n v="14.42"/>
    <x v="0"/>
    <x v="0"/>
    <x v="0"/>
  </r>
  <r>
    <s v="CA-2012-110870"/>
    <d v="2012-12-12T00:00:00"/>
    <d v="2012-12-15T00:00:00"/>
    <s v="KarenDaniels@gmail.com"/>
    <x v="0"/>
    <x v="7"/>
    <x v="486"/>
    <n v="299.94"/>
    <n v="6"/>
    <n v="128.9742"/>
    <x v="2"/>
    <n v="12"/>
    <x v="1"/>
    <n v="12"/>
    <n v="3"/>
    <n v="43"/>
    <n v="49.99"/>
    <x v="0"/>
    <x v="0"/>
    <x v="1"/>
  </r>
  <r>
    <s v="CA-2012-110870"/>
    <d v="2012-12-12T00:00:00"/>
    <d v="2012-12-15T00:00:00"/>
    <s v="KarenDaniels@gmail.com"/>
    <x v="0"/>
    <x v="11"/>
    <x v="50"/>
    <n v="25.76"/>
    <n v="7"/>
    <n v="0.51519999999999999"/>
    <x v="2"/>
    <n v="12"/>
    <x v="1"/>
    <n v="12"/>
    <n v="3"/>
    <n v="2"/>
    <n v="3.68"/>
    <x v="0"/>
    <x v="0"/>
    <x v="0"/>
  </r>
  <r>
    <s v="CA-2013-139808"/>
    <d v="2013-10-08T00:00:00"/>
    <d v="2013-10-12T00:00:00"/>
    <s v="MickCrebagga@gmail.com"/>
    <x v="34"/>
    <x v="10"/>
    <x v="1124"/>
    <n v="93.36"/>
    <n v="12"/>
    <n v="0.93359999999999999"/>
    <x v="0"/>
    <n v="10"/>
    <x v="7"/>
    <n v="8"/>
    <n v="4"/>
    <n v="1"/>
    <n v="7.78"/>
    <x v="0"/>
    <x v="0"/>
    <x v="0"/>
  </r>
  <r>
    <s v="US-2012-136427"/>
    <d v="2012-06-20T00:00:00"/>
    <d v="2012-06-23T00:00:00"/>
    <s v="JustinMacKendrick@gmail.com"/>
    <x v="6"/>
    <x v="6"/>
    <x v="1204"/>
    <n v="125.944"/>
    <n v="7"/>
    <n v="15.743"/>
    <x v="2"/>
    <n v="6"/>
    <x v="0"/>
    <n v="20"/>
    <n v="3"/>
    <n v="12.5"/>
    <n v="17.992000000000001"/>
    <x v="0"/>
    <x v="0"/>
    <x v="0"/>
  </r>
  <r>
    <s v="CA-2014-114804"/>
    <d v="2014-10-18T00:00:00"/>
    <d v="2014-10-20T00:00:00"/>
    <s v="BarryFranzÃ¶sisch@gmail.com"/>
    <x v="158"/>
    <x v="6"/>
    <x v="965"/>
    <n v="52.792000000000002"/>
    <n v="1"/>
    <n v="4.6193"/>
    <x v="3"/>
    <n v="10"/>
    <x v="7"/>
    <n v="18"/>
    <n v="2"/>
    <n v="8.75"/>
    <n v="52.792000000000002"/>
    <x v="0"/>
    <x v="0"/>
    <x v="0"/>
  </r>
  <r>
    <s v="CA-2014-109393"/>
    <d v="2014-07-01T00:00:00"/>
    <d v="2014-07-03T00:00:00"/>
    <s v="JohnCastell@gmail.com"/>
    <x v="0"/>
    <x v="14"/>
    <x v="712"/>
    <n v="435.99900000000002"/>
    <n v="3"/>
    <n v="5.1294000000000004"/>
    <x v="3"/>
    <n v="7"/>
    <x v="5"/>
    <n v="1"/>
    <n v="2"/>
    <n v="1.18"/>
    <n v="145.333"/>
    <x v="0"/>
    <x v="0"/>
    <x v="1"/>
  </r>
  <r>
    <s v="CA-2014-121489"/>
    <d v="2014-08-22T00:00:00"/>
    <d v="2014-08-26T00:00:00"/>
    <s v="CandaceMcMahon@gmail.com"/>
    <x v="1"/>
    <x v="9"/>
    <x v="1265"/>
    <n v="388.70400000000001"/>
    <n v="6"/>
    <n v="38.870399999999997"/>
    <x v="3"/>
    <n v="8"/>
    <x v="3"/>
    <n v="22"/>
    <n v="4"/>
    <n v="10"/>
    <n v="64.784000000000006"/>
    <x v="0"/>
    <x v="0"/>
    <x v="1"/>
  </r>
  <r>
    <s v="CA-2014-121489"/>
    <d v="2014-08-22T00:00:00"/>
    <d v="2014-08-26T00:00:00"/>
    <s v="CandaceMcMahon@gmail.com"/>
    <x v="1"/>
    <x v="7"/>
    <x v="562"/>
    <n v="33.18"/>
    <n v="2"/>
    <n v="11.613"/>
    <x v="3"/>
    <n v="8"/>
    <x v="3"/>
    <n v="22"/>
    <n v="4"/>
    <n v="35"/>
    <n v="16.59"/>
    <x v="0"/>
    <x v="0"/>
    <x v="0"/>
  </r>
  <r>
    <s v="CA-2014-165008"/>
    <d v="2014-09-16T00:00:00"/>
    <d v="2014-09-18T00:00:00"/>
    <s v="DougO'Connell@gmail.com"/>
    <x v="87"/>
    <x v="3"/>
    <x v="27"/>
    <n v="295.05599999999998"/>
    <n v="9"/>
    <n v="106.95780000000001"/>
    <x v="3"/>
    <n v="9"/>
    <x v="8"/>
    <n v="16"/>
    <n v="2"/>
    <n v="36.25"/>
    <n v="32.783999999999999"/>
    <x v="0"/>
    <x v="0"/>
    <x v="1"/>
  </r>
  <r>
    <s v="CA-2012-121188"/>
    <d v="2012-08-28T00:00:00"/>
    <d v="2012-09-04T00:00:00"/>
    <s v="CassandraBrandow@gmail.com"/>
    <x v="0"/>
    <x v="14"/>
    <x v="1266"/>
    <n v="307.666"/>
    <n v="2"/>
    <n v="28.956800000000001"/>
    <x v="2"/>
    <n v="8"/>
    <x v="3"/>
    <n v="28"/>
    <n v="7"/>
    <n v="9.41"/>
    <n v="153.833"/>
    <x v="0"/>
    <x v="0"/>
    <x v="1"/>
  </r>
  <r>
    <s v="CA-2012-121188"/>
    <d v="2012-08-28T00:00:00"/>
    <d v="2012-09-04T00:00:00"/>
    <s v="CassandraBrandow@gmail.com"/>
    <x v="0"/>
    <x v="3"/>
    <x v="723"/>
    <n v="41.36"/>
    <n v="5"/>
    <n v="13.959"/>
    <x v="2"/>
    <n v="8"/>
    <x v="3"/>
    <n v="28"/>
    <n v="7"/>
    <n v="33.75"/>
    <n v="8.2720000000000002"/>
    <x v="0"/>
    <x v="0"/>
    <x v="0"/>
  </r>
  <r>
    <s v="CA-2012-121188"/>
    <d v="2012-08-28T00:00:00"/>
    <d v="2012-09-04T00:00:00"/>
    <s v="CassandraBrandow@gmail.com"/>
    <x v="0"/>
    <x v="6"/>
    <x v="670"/>
    <n v="43.176000000000002"/>
    <n v="3"/>
    <n v="15.111599999999999"/>
    <x v="2"/>
    <n v="8"/>
    <x v="3"/>
    <n v="28"/>
    <n v="7"/>
    <n v="35"/>
    <n v="14.391999999999999"/>
    <x v="0"/>
    <x v="0"/>
    <x v="0"/>
  </r>
  <r>
    <s v="CA-2012-121188"/>
    <d v="2012-08-28T00:00:00"/>
    <d v="2012-09-04T00:00:00"/>
    <s v="CassandraBrandow@gmail.com"/>
    <x v="0"/>
    <x v="1"/>
    <x v="112"/>
    <n v="4.16"/>
    <n v="2"/>
    <n v="1.7472000000000001"/>
    <x v="2"/>
    <n v="8"/>
    <x v="3"/>
    <n v="28"/>
    <n v="7"/>
    <n v="42"/>
    <n v="2.08"/>
    <x v="0"/>
    <x v="0"/>
    <x v="0"/>
  </r>
  <r>
    <s v="US-2012-160563"/>
    <d v="2012-10-20T00:00:00"/>
    <d v="2012-10-24T00:00:00"/>
    <s v="NoelStaavos@gmail.com"/>
    <x v="3"/>
    <x v="7"/>
    <x v="1250"/>
    <n v="239.97"/>
    <n v="3"/>
    <n v="86.389200000000002"/>
    <x v="2"/>
    <n v="10"/>
    <x v="7"/>
    <n v="20"/>
    <n v="4"/>
    <n v="36"/>
    <n v="79.989999999999995"/>
    <x v="0"/>
    <x v="0"/>
    <x v="1"/>
  </r>
  <r>
    <s v="US-2012-160563"/>
    <d v="2012-10-20T00:00:00"/>
    <d v="2012-10-24T00:00:00"/>
    <s v="NoelStaavos@gmail.com"/>
    <x v="3"/>
    <x v="1"/>
    <x v="964"/>
    <n v="16.02"/>
    <n v="6"/>
    <n v="6.0876000000000001"/>
    <x v="2"/>
    <n v="10"/>
    <x v="7"/>
    <n v="20"/>
    <n v="4"/>
    <n v="38"/>
    <n v="2.67"/>
    <x v="0"/>
    <x v="0"/>
    <x v="0"/>
  </r>
  <r>
    <s v="CA-2012-150714"/>
    <d v="2012-10-26T00:00:00"/>
    <d v="2012-11-01T00:00:00"/>
    <s v="KristenHastings@gmail.com"/>
    <x v="77"/>
    <x v="0"/>
    <x v="812"/>
    <n v="146.54400000000001"/>
    <n v="6"/>
    <n v="47.626800000000003"/>
    <x v="2"/>
    <n v="10"/>
    <x v="7"/>
    <n v="26"/>
    <n v="6"/>
    <n v="32.5"/>
    <n v="24.423999999999999"/>
    <x v="0"/>
    <x v="0"/>
    <x v="0"/>
  </r>
  <r>
    <s v="CA-2012-150714"/>
    <d v="2012-10-26T00:00:00"/>
    <d v="2012-11-01T00:00:00"/>
    <s v="KristenHastings@gmail.com"/>
    <x v="77"/>
    <x v="8"/>
    <x v="1140"/>
    <n v="131.904"/>
    <n v="3"/>
    <n v="47.815199999999997"/>
    <x v="2"/>
    <n v="10"/>
    <x v="7"/>
    <n v="26"/>
    <n v="6"/>
    <n v="36.25"/>
    <n v="43.968000000000004"/>
    <x v="0"/>
    <x v="0"/>
    <x v="0"/>
  </r>
  <r>
    <s v="CA-2012-150714"/>
    <d v="2012-10-26T00:00:00"/>
    <d v="2012-11-01T00:00:00"/>
    <s v="KristenHastings@gmail.com"/>
    <x v="77"/>
    <x v="4"/>
    <x v="174"/>
    <n v="203.88"/>
    <n v="5"/>
    <n v="20.388000000000002"/>
    <x v="2"/>
    <n v="10"/>
    <x v="7"/>
    <n v="26"/>
    <n v="6"/>
    <n v="10"/>
    <n v="40.776000000000003"/>
    <x v="0"/>
    <x v="0"/>
    <x v="0"/>
  </r>
  <r>
    <s v="CA-2012-150714"/>
    <d v="2012-10-26T00:00:00"/>
    <d v="2012-11-01T00:00:00"/>
    <s v="KristenHastings@gmail.com"/>
    <x v="77"/>
    <x v="3"/>
    <x v="517"/>
    <n v="14.301"/>
    <n v="7"/>
    <n v="-10.487399999999999"/>
    <x v="2"/>
    <n v="10"/>
    <x v="7"/>
    <n v="26"/>
    <n v="6"/>
    <n v="-73.33"/>
    <n v="2.0430000000000001"/>
    <x v="0"/>
    <x v="1"/>
    <x v="0"/>
  </r>
  <r>
    <s v="CA-2013-106621"/>
    <d v="2013-09-30T00:00:00"/>
    <d v="2013-10-02T00:00:00"/>
    <s v="DarioMedina@gmail.com"/>
    <x v="127"/>
    <x v="2"/>
    <x v="533"/>
    <n v="10.496"/>
    <n v="4"/>
    <n v="1.1808000000000001"/>
    <x v="0"/>
    <n v="9"/>
    <x v="8"/>
    <n v="30"/>
    <n v="2"/>
    <n v="11.25"/>
    <n v="2.6240000000000001"/>
    <x v="0"/>
    <x v="0"/>
    <x v="0"/>
  </r>
  <r>
    <s v="CA-2012-107020"/>
    <d v="2012-07-10T00:00:00"/>
    <d v="2012-07-14T00:00:00"/>
    <s v="MikeVittorini@gmail.com"/>
    <x v="79"/>
    <x v="3"/>
    <x v="1267"/>
    <n v="39.92"/>
    <n v="2"/>
    <n v="12.974"/>
    <x v="2"/>
    <n v="7"/>
    <x v="5"/>
    <n v="10"/>
    <n v="4"/>
    <n v="32.5"/>
    <n v="19.96"/>
    <x v="0"/>
    <x v="0"/>
    <x v="0"/>
  </r>
  <r>
    <s v="CA-2011-101392"/>
    <d v="2011-12-07T00:00:00"/>
    <d v="2011-12-13T00:00:00"/>
    <s v="AnnSteele@gmail.com"/>
    <x v="1"/>
    <x v="5"/>
    <x v="600"/>
    <n v="269.36"/>
    <n v="7"/>
    <n v="70.033600000000007"/>
    <x v="1"/>
    <n v="12"/>
    <x v="1"/>
    <n v="7"/>
    <n v="6"/>
    <n v="26"/>
    <n v="38.479999999999997"/>
    <x v="0"/>
    <x v="0"/>
    <x v="1"/>
  </r>
  <r>
    <s v="CA-2012-127502"/>
    <d v="2012-12-10T00:00:00"/>
    <d v="2012-12-14T00:00:00"/>
    <s v="MegTillman@gmail.com"/>
    <x v="3"/>
    <x v="0"/>
    <x v="550"/>
    <n v="5.76"/>
    <n v="2"/>
    <n v="2.8224"/>
    <x v="2"/>
    <n v="12"/>
    <x v="1"/>
    <n v="10"/>
    <n v="4"/>
    <n v="49"/>
    <n v="2.88"/>
    <x v="0"/>
    <x v="0"/>
    <x v="0"/>
  </r>
  <r>
    <s v="CA-2014-133046"/>
    <d v="2014-07-28T00:00:00"/>
    <d v="2014-08-02T00:00:00"/>
    <s v="DennisKane@gmail.com"/>
    <x v="1"/>
    <x v="1"/>
    <x v="50"/>
    <n v="23.88"/>
    <n v="3"/>
    <n v="10.507199999999999"/>
    <x v="3"/>
    <n v="7"/>
    <x v="5"/>
    <n v="28"/>
    <n v="5"/>
    <n v="44"/>
    <n v="7.96"/>
    <x v="0"/>
    <x v="0"/>
    <x v="0"/>
  </r>
  <r>
    <s v="CA-2014-133046"/>
    <d v="2014-07-28T00:00:00"/>
    <d v="2014-08-02T00:00:00"/>
    <s v="DennisKane@gmail.com"/>
    <x v="1"/>
    <x v="8"/>
    <x v="544"/>
    <n v="26.2"/>
    <n v="4"/>
    <n v="12.052"/>
    <x v="3"/>
    <n v="7"/>
    <x v="5"/>
    <n v="28"/>
    <n v="5"/>
    <n v="46"/>
    <n v="6.55"/>
    <x v="0"/>
    <x v="0"/>
    <x v="0"/>
  </r>
  <r>
    <s v="CA-2014-133046"/>
    <d v="2014-07-28T00:00:00"/>
    <d v="2014-08-02T00:00:00"/>
    <s v="DennisKane@gmail.com"/>
    <x v="1"/>
    <x v="8"/>
    <x v="865"/>
    <n v="12.96"/>
    <n v="2"/>
    <n v="6.2207999999999997"/>
    <x v="3"/>
    <n v="7"/>
    <x v="5"/>
    <n v="28"/>
    <n v="5"/>
    <n v="48"/>
    <n v="6.48"/>
    <x v="0"/>
    <x v="0"/>
    <x v="0"/>
  </r>
  <r>
    <s v="CA-2014-133046"/>
    <d v="2014-07-28T00:00:00"/>
    <d v="2014-08-02T00:00:00"/>
    <s v="DennisKane@gmail.com"/>
    <x v="1"/>
    <x v="7"/>
    <x v="125"/>
    <n v="234.95"/>
    <n v="5"/>
    <n v="32.893000000000001"/>
    <x v="3"/>
    <n v="7"/>
    <x v="5"/>
    <n v="28"/>
    <n v="5"/>
    <n v="14"/>
    <n v="46.989999999999988"/>
    <x v="0"/>
    <x v="0"/>
    <x v="1"/>
  </r>
  <r>
    <s v="CA-2014-122798"/>
    <d v="2014-12-29T00:00:00"/>
    <d v="2015-01-02T00:00:00"/>
    <s v="SusanVittorini@gmail.com"/>
    <x v="93"/>
    <x v="5"/>
    <x v="1196"/>
    <n v="118.25"/>
    <n v="5"/>
    <n v="34.292499999999997"/>
    <x v="3"/>
    <n v="12"/>
    <x v="1"/>
    <n v="29"/>
    <n v="4"/>
    <n v="29"/>
    <n v="23.65"/>
    <x v="0"/>
    <x v="0"/>
    <x v="0"/>
  </r>
  <r>
    <s v="CA-2014-122798"/>
    <d v="2014-12-29T00:00:00"/>
    <d v="2015-01-02T00:00:00"/>
    <s v="SusanVittorini@gmail.com"/>
    <x v="93"/>
    <x v="8"/>
    <x v="609"/>
    <n v="4.28"/>
    <n v="1"/>
    <n v="1.9259999999999999"/>
    <x v="3"/>
    <n v="12"/>
    <x v="1"/>
    <n v="29"/>
    <n v="4"/>
    <n v="45"/>
    <n v="4.28"/>
    <x v="0"/>
    <x v="0"/>
    <x v="0"/>
  </r>
  <r>
    <s v="CA-2013-169663"/>
    <d v="2013-03-11T00:00:00"/>
    <d v="2013-03-14T00:00:00"/>
    <s v="RickHuthwaite@gmail.com"/>
    <x v="0"/>
    <x v="7"/>
    <x v="414"/>
    <n v="26.85"/>
    <n v="3"/>
    <n v="5.1014999999999997"/>
    <x v="0"/>
    <n v="3"/>
    <x v="9"/>
    <n v="11"/>
    <n v="3"/>
    <n v="19"/>
    <n v="8.9500000000000011"/>
    <x v="0"/>
    <x v="0"/>
    <x v="0"/>
  </r>
  <r>
    <s v="CA-2012-149846"/>
    <d v="2012-05-22T00:00:00"/>
    <d v="2012-05-26T00:00:00"/>
    <s v="SarahBrown@gmail.com"/>
    <x v="0"/>
    <x v="0"/>
    <x v="1042"/>
    <n v="8.26"/>
    <n v="2"/>
    <n v="3.7995999999999999"/>
    <x v="2"/>
    <n v="5"/>
    <x v="2"/>
    <n v="22"/>
    <n v="4"/>
    <n v="46"/>
    <n v="4.13"/>
    <x v="0"/>
    <x v="0"/>
    <x v="0"/>
  </r>
  <r>
    <s v="CA-2012-149846"/>
    <d v="2012-05-22T00:00:00"/>
    <d v="2012-05-26T00:00:00"/>
    <s v="SarahBrown@gmail.com"/>
    <x v="0"/>
    <x v="5"/>
    <x v="726"/>
    <n v="104.79"/>
    <n v="7"/>
    <n v="29.341200000000001"/>
    <x v="2"/>
    <n v="5"/>
    <x v="2"/>
    <n v="22"/>
    <n v="4"/>
    <n v="28"/>
    <n v="14.97"/>
    <x v="0"/>
    <x v="0"/>
    <x v="0"/>
  </r>
  <r>
    <s v="CA-2014-101014"/>
    <d v="2014-08-30T00:00:00"/>
    <d v="2014-09-05T00:00:00"/>
    <s v="RickWilson@gmail.com"/>
    <x v="0"/>
    <x v="1"/>
    <x v="1268"/>
    <n v="148.02000000000001"/>
    <n v="3"/>
    <n v="41.445599999999999"/>
    <x v="3"/>
    <n v="8"/>
    <x v="3"/>
    <n v="30"/>
    <n v="6"/>
    <n v="28"/>
    <n v="49.34"/>
    <x v="0"/>
    <x v="0"/>
    <x v="0"/>
  </r>
  <r>
    <s v="US-2014-113201"/>
    <d v="2014-07-01T00:00:00"/>
    <d v="2014-07-06T00:00:00"/>
    <s v="ThomasThornton@gmail.com"/>
    <x v="0"/>
    <x v="8"/>
    <x v="421"/>
    <n v="204.95"/>
    <n v="5"/>
    <n v="100.4255"/>
    <x v="3"/>
    <n v="7"/>
    <x v="5"/>
    <n v="1"/>
    <n v="5"/>
    <n v="49"/>
    <n v="40.989999999999988"/>
    <x v="0"/>
    <x v="0"/>
    <x v="0"/>
  </r>
  <r>
    <s v="CA-2013-116722"/>
    <d v="2013-11-12T00:00:00"/>
    <d v="2013-11-17T00:00:00"/>
    <s v="LizPelletier@gmail.com"/>
    <x v="3"/>
    <x v="1"/>
    <x v="1269"/>
    <n v="41.96"/>
    <n v="2"/>
    <n v="10.909599999999999"/>
    <x v="0"/>
    <n v="11"/>
    <x v="6"/>
    <n v="12"/>
    <n v="5"/>
    <n v="26"/>
    <n v="20.98"/>
    <x v="0"/>
    <x v="0"/>
    <x v="0"/>
  </r>
  <r>
    <s v="CA-2013-116722"/>
    <d v="2013-11-12T00:00:00"/>
    <d v="2013-11-17T00:00:00"/>
    <s v="LizPelletier@gmail.com"/>
    <x v="3"/>
    <x v="9"/>
    <x v="153"/>
    <n v="451.15199999999999"/>
    <n v="3"/>
    <n v="0"/>
    <x v="0"/>
    <n v="11"/>
    <x v="6"/>
    <n v="12"/>
    <n v="5"/>
    <n v="0"/>
    <n v="150.38399999999999"/>
    <x v="0"/>
    <x v="0"/>
    <x v="1"/>
  </r>
  <r>
    <s v="CA-2013-116722"/>
    <d v="2013-11-12T00:00:00"/>
    <d v="2013-11-17T00:00:00"/>
    <s v="LizPelletier@gmail.com"/>
    <x v="3"/>
    <x v="3"/>
    <x v="1194"/>
    <n v="31.504000000000001"/>
    <n v="11"/>
    <n v="11.026400000000001"/>
    <x v="0"/>
    <n v="11"/>
    <x v="6"/>
    <n v="12"/>
    <n v="5"/>
    <n v="35"/>
    <n v="2.8639999999999999"/>
    <x v="0"/>
    <x v="0"/>
    <x v="0"/>
  </r>
  <r>
    <s v="US-2014-150070"/>
    <d v="2014-09-08T00:00:00"/>
    <d v="2014-09-13T00:00:00"/>
    <s v="JosephAirdo@gmail.com"/>
    <x v="158"/>
    <x v="9"/>
    <x v="896"/>
    <n v="161.56800000000001"/>
    <n v="2"/>
    <n v="-28.2744"/>
    <x v="3"/>
    <n v="9"/>
    <x v="8"/>
    <n v="8"/>
    <n v="5"/>
    <n v="-17.5"/>
    <n v="80.784000000000006"/>
    <x v="0"/>
    <x v="1"/>
    <x v="0"/>
  </r>
  <r>
    <s v="CA-2011-127866"/>
    <d v="2011-07-20T00:00:00"/>
    <d v="2011-07-23T00:00:00"/>
    <s v="JonathanDoherty@gmail.com"/>
    <x v="47"/>
    <x v="7"/>
    <x v="1232"/>
    <n v="41.94"/>
    <n v="2"/>
    <n v="15.0984"/>
    <x v="1"/>
    <n v="7"/>
    <x v="5"/>
    <n v="20"/>
    <n v="3"/>
    <n v="36"/>
    <n v="20.97"/>
    <x v="0"/>
    <x v="0"/>
    <x v="0"/>
  </r>
  <r>
    <s v="CA-2011-127866"/>
    <d v="2011-07-20T00:00:00"/>
    <d v="2011-07-23T00:00:00"/>
    <s v="JonathanDoherty@gmail.com"/>
    <x v="47"/>
    <x v="8"/>
    <x v="1134"/>
    <n v="11.96"/>
    <n v="2"/>
    <n v="5.8604000000000003"/>
    <x v="1"/>
    <n v="7"/>
    <x v="5"/>
    <n v="20"/>
    <n v="3"/>
    <n v="49"/>
    <n v="5.98"/>
    <x v="0"/>
    <x v="0"/>
    <x v="0"/>
  </r>
  <r>
    <s v="CA-2011-127866"/>
    <d v="2011-07-20T00:00:00"/>
    <d v="2011-07-23T00:00:00"/>
    <s v="JonathanDoherty@gmail.com"/>
    <x v="47"/>
    <x v="2"/>
    <x v="1270"/>
    <n v="13.12"/>
    <n v="4"/>
    <n v="3.8048000000000002"/>
    <x v="1"/>
    <n v="7"/>
    <x v="5"/>
    <n v="20"/>
    <n v="3"/>
    <n v="29"/>
    <n v="3.28"/>
    <x v="0"/>
    <x v="0"/>
    <x v="0"/>
  </r>
  <r>
    <s v="CA-2012-121776"/>
    <d v="2012-02-16T00:00:00"/>
    <d v="2012-02-21T00:00:00"/>
    <s v="RobDowd@gmail.com"/>
    <x v="0"/>
    <x v="8"/>
    <x v="260"/>
    <n v="36.840000000000003"/>
    <n v="3"/>
    <n v="17.314800000000002"/>
    <x v="2"/>
    <n v="2"/>
    <x v="11"/>
    <n v="16"/>
    <n v="5"/>
    <n v="47"/>
    <n v="12.28"/>
    <x v="0"/>
    <x v="0"/>
    <x v="0"/>
  </r>
  <r>
    <s v="CA-2012-121776"/>
    <d v="2012-02-16T00:00:00"/>
    <d v="2012-02-21T00:00:00"/>
    <s v="RobDowd@gmail.com"/>
    <x v="0"/>
    <x v="0"/>
    <x v="689"/>
    <n v="87.71"/>
    <n v="7"/>
    <n v="41.223700000000001"/>
    <x v="2"/>
    <n v="2"/>
    <x v="11"/>
    <n v="16"/>
    <n v="5"/>
    <n v="47"/>
    <n v="12.53"/>
    <x v="0"/>
    <x v="0"/>
    <x v="0"/>
  </r>
  <r>
    <s v="CA-2013-100993"/>
    <d v="2013-02-05T00:00:00"/>
    <d v="2013-02-10T00:00:00"/>
    <s v="AnnieZypern@gmail.com"/>
    <x v="16"/>
    <x v="0"/>
    <x v="1271"/>
    <n v="14.73"/>
    <n v="3"/>
    <n v="7.2176999999999998"/>
    <x v="0"/>
    <n v="2"/>
    <x v="11"/>
    <n v="5"/>
    <n v="5"/>
    <n v="49"/>
    <n v="4.91"/>
    <x v="0"/>
    <x v="0"/>
    <x v="0"/>
  </r>
  <r>
    <s v="CA-2013-100993"/>
    <d v="2013-02-05T00:00:00"/>
    <d v="2013-02-10T00:00:00"/>
    <s v="AnnieZypern@gmail.com"/>
    <x v="16"/>
    <x v="5"/>
    <x v="279"/>
    <n v="186.54"/>
    <n v="3"/>
    <n v="50.3658"/>
    <x v="0"/>
    <n v="2"/>
    <x v="11"/>
    <n v="5"/>
    <n v="5"/>
    <n v="27"/>
    <n v="62.18"/>
    <x v="0"/>
    <x v="0"/>
    <x v="0"/>
  </r>
  <r>
    <s v="CA-2013-100993"/>
    <d v="2013-02-05T00:00:00"/>
    <d v="2013-02-10T00:00:00"/>
    <s v="AnnieZypern@gmail.com"/>
    <x v="16"/>
    <x v="6"/>
    <x v="1106"/>
    <n v="159.96799999999999"/>
    <n v="4"/>
    <n v="-31.993600000000001"/>
    <x v="0"/>
    <n v="2"/>
    <x v="11"/>
    <n v="5"/>
    <n v="5"/>
    <n v="-20"/>
    <n v="39.991999999999997"/>
    <x v="0"/>
    <x v="1"/>
    <x v="0"/>
  </r>
  <r>
    <s v="US-2013-131058"/>
    <d v="2013-12-28T00:00:00"/>
    <d v="2014-01-01T00:00:00"/>
    <s v="EugeneMoren@gmail.com"/>
    <x v="44"/>
    <x v="0"/>
    <x v="550"/>
    <n v="20.16"/>
    <n v="7"/>
    <n v="9.8783999999999992"/>
    <x v="0"/>
    <n v="12"/>
    <x v="1"/>
    <n v="28"/>
    <n v="4"/>
    <n v="49"/>
    <n v="2.88"/>
    <x v="0"/>
    <x v="0"/>
    <x v="0"/>
  </r>
  <r>
    <s v="CA-2014-140151"/>
    <d v="2014-03-24T00:00:00"/>
    <d v="2014-03-26T00:00:00"/>
    <s v="RaymondBuch@gmail.com"/>
    <x v="1"/>
    <x v="5"/>
    <x v="1258"/>
    <n v="32.479999999999997"/>
    <n v="2"/>
    <n v="4.8719999999999999"/>
    <x v="3"/>
    <n v="3"/>
    <x v="9"/>
    <n v="24"/>
    <n v="2"/>
    <n v="15"/>
    <n v="16.239999999999998"/>
    <x v="0"/>
    <x v="0"/>
    <x v="0"/>
  </r>
  <r>
    <s v="CA-2014-140151"/>
    <d v="2014-03-24T00:00:00"/>
    <d v="2014-03-26T00:00:00"/>
    <s v="RaymondBuch@gmail.com"/>
    <x v="1"/>
    <x v="8"/>
    <x v="307"/>
    <n v="20.04"/>
    <n v="3"/>
    <n v="9.6191999999999993"/>
    <x v="3"/>
    <n v="3"/>
    <x v="9"/>
    <n v="24"/>
    <n v="2"/>
    <n v="48"/>
    <n v="6.68"/>
    <x v="0"/>
    <x v="0"/>
    <x v="0"/>
  </r>
  <r>
    <s v="CA-2012-168207"/>
    <d v="2012-11-02T00:00:00"/>
    <d v="2012-11-06T00:00:00"/>
    <s v="LizThompson@gmail.com"/>
    <x v="16"/>
    <x v="1"/>
    <x v="1272"/>
    <n v="96.96"/>
    <n v="6"/>
    <n v="33.936"/>
    <x v="2"/>
    <n v="11"/>
    <x v="6"/>
    <n v="2"/>
    <n v="4"/>
    <n v="35"/>
    <n v="16.16"/>
    <x v="0"/>
    <x v="0"/>
    <x v="0"/>
  </r>
  <r>
    <s v="CA-2012-168207"/>
    <d v="2012-11-02T00:00:00"/>
    <d v="2012-11-06T00:00:00"/>
    <s v="LizThompson@gmail.com"/>
    <x v="16"/>
    <x v="3"/>
    <x v="838"/>
    <n v="117.488"/>
    <n v="7"/>
    <n v="41.120800000000003"/>
    <x v="2"/>
    <n v="11"/>
    <x v="6"/>
    <n v="2"/>
    <n v="4"/>
    <n v="35"/>
    <n v="16.783999999999999"/>
    <x v="0"/>
    <x v="0"/>
    <x v="0"/>
  </r>
  <r>
    <s v="CA-2012-168207"/>
    <d v="2012-11-02T00:00:00"/>
    <d v="2012-11-06T00:00:00"/>
    <s v="LizThompson@gmail.com"/>
    <x v="16"/>
    <x v="3"/>
    <x v="186"/>
    <n v="11.952"/>
    <n v="3"/>
    <n v="4.1832000000000003"/>
    <x v="2"/>
    <n v="11"/>
    <x v="6"/>
    <n v="2"/>
    <n v="4"/>
    <n v="35"/>
    <n v="3.984"/>
    <x v="0"/>
    <x v="0"/>
    <x v="0"/>
  </r>
  <r>
    <s v="CA-2014-107174"/>
    <d v="2014-11-07T00:00:00"/>
    <d v="2014-11-14T00:00:00"/>
    <s v="AdamBellavance@gmail.com"/>
    <x v="1"/>
    <x v="9"/>
    <x v="1273"/>
    <n v="449.56799999999998"/>
    <n v="2"/>
    <n v="-73.0548"/>
    <x v="3"/>
    <n v="11"/>
    <x v="6"/>
    <n v="7"/>
    <n v="7"/>
    <n v="-16.25"/>
    <n v="224.78399999999999"/>
    <x v="0"/>
    <x v="1"/>
    <x v="1"/>
  </r>
  <r>
    <s v="CA-2014-107174"/>
    <d v="2014-11-07T00:00:00"/>
    <d v="2014-11-14T00:00:00"/>
    <s v="AdamBellavance@gmail.com"/>
    <x v="1"/>
    <x v="7"/>
    <x v="424"/>
    <n v="108.96"/>
    <n v="3"/>
    <n v="32.688000000000002"/>
    <x v="3"/>
    <n v="11"/>
    <x v="6"/>
    <n v="7"/>
    <n v="7"/>
    <n v="30"/>
    <n v="36.32"/>
    <x v="0"/>
    <x v="0"/>
    <x v="0"/>
  </r>
  <r>
    <s v="CA-2011-114125"/>
    <d v="2011-07-09T00:00:00"/>
    <d v="2011-07-13T00:00:00"/>
    <s v="GaryHansen@gmail.com"/>
    <x v="0"/>
    <x v="0"/>
    <x v="1131"/>
    <n v="2.88"/>
    <n v="1"/>
    <n v="1.4112"/>
    <x v="1"/>
    <n v="7"/>
    <x v="5"/>
    <n v="9"/>
    <n v="4"/>
    <n v="49"/>
    <n v="2.88"/>
    <x v="0"/>
    <x v="0"/>
    <x v="0"/>
  </r>
  <r>
    <s v="CA-2011-114125"/>
    <d v="2011-07-09T00:00:00"/>
    <d v="2011-07-13T00:00:00"/>
    <s v="GaryHansen@gmail.com"/>
    <x v="0"/>
    <x v="3"/>
    <x v="192"/>
    <n v="41.904000000000003"/>
    <n v="6"/>
    <n v="14.1426"/>
    <x v="1"/>
    <n v="7"/>
    <x v="5"/>
    <n v="9"/>
    <n v="4"/>
    <n v="33.75"/>
    <n v="6.9840000000000009"/>
    <x v="0"/>
    <x v="0"/>
    <x v="0"/>
  </r>
  <r>
    <s v="CA-2011-114125"/>
    <d v="2011-07-09T00:00:00"/>
    <d v="2011-07-13T00:00:00"/>
    <s v="GaryHansen@gmail.com"/>
    <x v="0"/>
    <x v="5"/>
    <x v="455"/>
    <n v="23.92"/>
    <n v="4"/>
    <n v="4.0663999999999998"/>
    <x v="1"/>
    <n v="7"/>
    <x v="5"/>
    <n v="9"/>
    <n v="4"/>
    <n v="17"/>
    <n v="5.98"/>
    <x v="0"/>
    <x v="0"/>
    <x v="0"/>
  </r>
  <r>
    <s v="CA-2014-149699"/>
    <d v="2014-12-23T00:00:00"/>
    <d v="2014-12-25T00:00:00"/>
    <s v="ChadMcGuire@gmail.com"/>
    <x v="0"/>
    <x v="7"/>
    <x v="1028"/>
    <n v="474.95"/>
    <n v="5"/>
    <n v="142.48500000000001"/>
    <x v="3"/>
    <n v="12"/>
    <x v="1"/>
    <n v="23"/>
    <n v="2"/>
    <n v="30"/>
    <n v="94.99"/>
    <x v="0"/>
    <x v="0"/>
    <x v="1"/>
  </r>
  <r>
    <s v="CA-2012-112767"/>
    <d v="2012-08-02T00:00:00"/>
    <d v="2012-08-06T00:00:00"/>
    <s v="DarrenKoutras@gmail.com"/>
    <x v="77"/>
    <x v="13"/>
    <x v="770"/>
    <n v="277.5"/>
    <n v="4"/>
    <n v="-188.7"/>
    <x v="2"/>
    <n v="8"/>
    <x v="3"/>
    <n v="2"/>
    <n v="4"/>
    <n v="-68"/>
    <n v="69.375"/>
    <x v="0"/>
    <x v="1"/>
    <x v="1"/>
  </r>
  <r>
    <s v="CA-2012-136700"/>
    <d v="2012-12-06T00:00:00"/>
    <d v="2012-12-11T00:00:00"/>
    <s v="DavidBremer@gmail.com"/>
    <x v="136"/>
    <x v="8"/>
    <x v="380"/>
    <n v="8.9600000000000009"/>
    <n v="2"/>
    <n v="4.3903999999999996"/>
    <x v="2"/>
    <n v="12"/>
    <x v="1"/>
    <n v="6"/>
    <n v="5"/>
    <n v="49"/>
    <n v="4.4800000000000004"/>
    <x v="0"/>
    <x v="0"/>
    <x v="0"/>
  </r>
  <r>
    <s v="CA-2013-104633"/>
    <d v="2013-06-13T00:00:00"/>
    <d v="2013-06-17T00:00:00"/>
    <s v="ErinAshbrook@gmail.com"/>
    <x v="59"/>
    <x v="8"/>
    <x v="440"/>
    <n v="185.88"/>
    <n v="6"/>
    <n v="83.646000000000001"/>
    <x v="0"/>
    <n v="6"/>
    <x v="0"/>
    <n v="13"/>
    <n v="4"/>
    <n v="45"/>
    <n v="30.98"/>
    <x v="0"/>
    <x v="0"/>
    <x v="0"/>
  </r>
  <r>
    <s v="CA-2013-104633"/>
    <d v="2013-06-13T00:00:00"/>
    <d v="2013-06-17T00:00:00"/>
    <s v="ErinAshbrook@gmail.com"/>
    <x v="59"/>
    <x v="8"/>
    <x v="610"/>
    <n v="12.96"/>
    <n v="2"/>
    <n v="6.2207999999999997"/>
    <x v="0"/>
    <n v="6"/>
    <x v="0"/>
    <n v="13"/>
    <n v="4"/>
    <n v="48"/>
    <n v="6.48"/>
    <x v="0"/>
    <x v="0"/>
    <x v="0"/>
  </r>
  <r>
    <s v="CA-2011-158225"/>
    <d v="2011-09-22T00:00:00"/>
    <d v="2011-09-28T00:00:00"/>
    <s v="SanjitEngle@gmail.com"/>
    <x v="10"/>
    <x v="5"/>
    <x v="633"/>
    <n v="169.45"/>
    <n v="5"/>
    <n v="42.362499999999997"/>
    <x v="1"/>
    <n v="9"/>
    <x v="8"/>
    <n v="22"/>
    <n v="6"/>
    <n v="25"/>
    <n v="33.89"/>
    <x v="0"/>
    <x v="0"/>
    <x v="0"/>
  </r>
  <r>
    <s v="CA-2011-158225"/>
    <d v="2011-09-22T00:00:00"/>
    <d v="2011-09-28T00:00:00"/>
    <s v="SanjitEngle@gmail.com"/>
    <x v="10"/>
    <x v="5"/>
    <x v="869"/>
    <n v="40.68"/>
    <n v="2"/>
    <n v="0.40679999999999999"/>
    <x v="1"/>
    <n v="9"/>
    <x v="8"/>
    <n v="22"/>
    <n v="6"/>
    <n v="1"/>
    <n v="20.34"/>
    <x v="0"/>
    <x v="0"/>
    <x v="0"/>
  </r>
  <r>
    <s v="CA-2011-109897"/>
    <d v="2011-08-12T00:00:00"/>
    <d v="2011-08-16T00:00:00"/>
    <s v="BenWallace@gmail.com"/>
    <x v="3"/>
    <x v="1"/>
    <x v="430"/>
    <n v="85.44"/>
    <n v="3"/>
    <n v="31.6128"/>
    <x v="1"/>
    <n v="8"/>
    <x v="3"/>
    <n v="12"/>
    <n v="4"/>
    <n v="37"/>
    <n v="28.48"/>
    <x v="0"/>
    <x v="0"/>
    <x v="0"/>
  </r>
  <r>
    <s v="CA-2014-152310"/>
    <d v="2014-08-13T00:00:00"/>
    <d v="2014-08-20T00:00:00"/>
    <s v="DanaKaydos@gmail.com"/>
    <x v="1"/>
    <x v="16"/>
    <x v="548"/>
    <n v="299.99"/>
    <n v="1"/>
    <n v="89.997"/>
    <x v="3"/>
    <n v="8"/>
    <x v="3"/>
    <n v="13"/>
    <n v="7"/>
    <n v="30"/>
    <n v="299.99"/>
    <x v="0"/>
    <x v="0"/>
    <x v="1"/>
  </r>
  <r>
    <s v="CA-2014-152310"/>
    <d v="2014-08-13T00:00:00"/>
    <d v="2014-08-20T00:00:00"/>
    <s v="DanaKaydos@gmail.com"/>
    <x v="1"/>
    <x v="8"/>
    <x v="1274"/>
    <n v="192.16"/>
    <n v="4"/>
    <n v="92.236800000000002"/>
    <x v="3"/>
    <n v="8"/>
    <x v="3"/>
    <n v="13"/>
    <n v="7"/>
    <n v="48"/>
    <n v="48.04"/>
    <x v="0"/>
    <x v="0"/>
    <x v="0"/>
  </r>
  <r>
    <s v="CA-2014-152310"/>
    <d v="2014-08-13T00:00:00"/>
    <d v="2014-08-20T00:00:00"/>
    <s v="DanaKaydos@gmail.com"/>
    <x v="1"/>
    <x v="6"/>
    <x v="1275"/>
    <n v="242.624"/>
    <n v="8"/>
    <n v="27.295200000000001"/>
    <x v="3"/>
    <n v="8"/>
    <x v="3"/>
    <n v="13"/>
    <n v="7"/>
    <n v="11.25"/>
    <n v="30.327999999999999"/>
    <x v="0"/>
    <x v="0"/>
    <x v="1"/>
  </r>
  <r>
    <s v="CA-2014-152310"/>
    <d v="2014-08-13T00:00:00"/>
    <d v="2014-08-20T00:00:00"/>
    <s v="DanaKaydos@gmail.com"/>
    <x v="1"/>
    <x v="5"/>
    <x v="992"/>
    <n v="46.74"/>
    <n v="3"/>
    <n v="11.685"/>
    <x v="3"/>
    <n v="8"/>
    <x v="3"/>
    <n v="13"/>
    <n v="7"/>
    <n v="25"/>
    <n v="15.58"/>
    <x v="0"/>
    <x v="0"/>
    <x v="0"/>
  </r>
  <r>
    <s v="CA-2014-152310"/>
    <d v="2014-08-13T00:00:00"/>
    <d v="2014-08-20T00:00:00"/>
    <s v="DanaKaydos@gmail.com"/>
    <x v="1"/>
    <x v="7"/>
    <x v="1276"/>
    <n v="174.95"/>
    <n v="5"/>
    <n v="12.246499999999999"/>
    <x v="3"/>
    <n v="8"/>
    <x v="3"/>
    <n v="13"/>
    <n v="7"/>
    <n v="7"/>
    <n v="34.989999999999988"/>
    <x v="0"/>
    <x v="0"/>
    <x v="0"/>
  </r>
  <r>
    <s v="CA-2014-152310"/>
    <d v="2014-08-13T00:00:00"/>
    <d v="2014-08-20T00:00:00"/>
    <s v="DanaKaydos@gmail.com"/>
    <x v="1"/>
    <x v="3"/>
    <x v="1277"/>
    <n v="100.70399999999999"/>
    <n v="6"/>
    <n v="37.764000000000003"/>
    <x v="3"/>
    <n v="8"/>
    <x v="3"/>
    <n v="13"/>
    <n v="7"/>
    <n v="37.5"/>
    <n v="16.783999999999999"/>
    <x v="0"/>
    <x v="0"/>
    <x v="0"/>
  </r>
  <r>
    <s v="CA-2013-139549"/>
    <d v="2013-10-21T00:00:00"/>
    <d v="2013-10-26T00:00:00"/>
    <s v="MuhammedYedwab@gmail.com"/>
    <x v="154"/>
    <x v="9"/>
    <x v="1278"/>
    <n v="387.13600000000002"/>
    <n v="4"/>
    <n v="4.8391999999999999"/>
    <x v="0"/>
    <n v="10"/>
    <x v="7"/>
    <n v="21"/>
    <n v="5"/>
    <n v="1.25"/>
    <n v="96.784000000000006"/>
    <x v="1"/>
    <x v="0"/>
    <x v="1"/>
  </r>
  <r>
    <s v="US-2014-168802"/>
    <d v="2014-11-04T00:00:00"/>
    <d v="2014-11-08T00:00:00"/>
    <s v="JackO'Briant@gmail.com"/>
    <x v="1"/>
    <x v="3"/>
    <x v="1279"/>
    <n v="18.367999999999999"/>
    <n v="4"/>
    <n v="5.9695999999999998"/>
    <x v="3"/>
    <n v="11"/>
    <x v="6"/>
    <n v="4"/>
    <n v="4"/>
    <n v="32.5"/>
    <n v="4.5919999999999996"/>
    <x v="0"/>
    <x v="0"/>
    <x v="0"/>
  </r>
  <r>
    <s v="US-2011-103338"/>
    <d v="2011-03-11T00:00:00"/>
    <d v="2011-03-15T00:00:00"/>
    <s v="RichardBierner@gmail.com"/>
    <x v="8"/>
    <x v="2"/>
    <x v="780"/>
    <n v="7.98"/>
    <n v="3"/>
    <n v="2.0748000000000002"/>
    <x v="1"/>
    <n v="3"/>
    <x v="9"/>
    <n v="11"/>
    <n v="4"/>
    <n v="26"/>
    <n v="2.66"/>
    <x v="0"/>
    <x v="0"/>
    <x v="0"/>
  </r>
  <r>
    <s v="US-2014-167318"/>
    <d v="2014-07-27T00:00:00"/>
    <d v="2014-08-02T00:00:00"/>
    <s v="GeorgeZrebassa@gmail.com"/>
    <x v="0"/>
    <x v="9"/>
    <x v="1280"/>
    <n v="362.35199999999998"/>
    <n v="3"/>
    <n v="45.293999999999997"/>
    <x v="3"/>
    <n v="7"/>
    <x v="5"/>
    <n v="27"/>
    <n v="6"/>
    <n v="12.5"/>
    <n v="120.78400000000001"/>
    <x v="0"/>
    <x v="0"/>
    <x v="1"/>
  </r>
  <r>
    <s v="US-2011-120313"/>
    <d v="2011-10-31T00:00:00"/>
    <d v="2011-11-02T00:00:00"/>
    <s v="NancyLomonaco@gmail.com"/>
    <x v="3"/>
    <x v="6"/>
    <x v="316"/>
    <n v="73.584000000000003"/>
    <n v="2"/>
    <n v="8.2782"/>
    <x v="1"/>
    <n v="10"/>
    <x v="7"/>
    <n v="31"/>
    <n v="2"/>
    <n v="11.25"/>
    <n v="36.792000000000002"/>
    <x v="0"/>
    <x v="0"/>
    <x v="0"/>
  </r>
  <r>
    <s v="CA-2014-135419"/>
    <d v="2014-11-04T00:00:00"/>
    <d v="2014-11-10T00:00:00"/>
    <s v="BruceGeld@gmail.com"/>
    <x v="102"/>
    <x v="13"/>
    <x v="1021"/>
    <n v="486.36799999999999"/>
    <n v="4"/>
    <n v="36.477600000000002"/>
    <x v="3"/>
    <n v="11"/>
    <x v="6"/>
    <n v="4"/>
    <n v="6"/>
    <n v="7.5"/>
    <n v="121.592"/>
    <x v="0"/>
    <x v="0"/>
    <x v="1"/>
  </r>
  <r>
    <s v="CA-2013-149335"/>
    <d v="2013-07-26T00:00:00"/>
    <d v="2013-07-26T00:00:00"/>
    <s v="BeckyCastell@gmail.com"/>
    <x v="3"/>
    <x v="2"/>
    <x v="476"/>
    <n v="37.17"/>
    <n v="9"/>
    <n v="11.151"/>
    <x v="0"/>
    <n v="7"/>
    <x v="5"/>
    <n v="26"/>
    <n v="0"/>
    <n v="30"/>
    <n v="4.13"/>
    <x v="0"/>
    <x v="0"/>
    <x v="0"/>
  </r>
  <r>
    <s v="CA-2014-135076"/>
    <d v="2014-04-14T00:00:00"/>
    <d v="2014-04-18T00:00:00"/>
    <s v="YanaSorensen@gmail.com"/>
    <x v="22"/>
    <x v="9"/>
    <x v="1170"/>
    <n v="436.70400000000001"/>
    <n v="6"/>
    <n v="-38.211599999999997"/>
    <x v="3"/>
    <n v="4"/>
    <x v="10"/>
    <n v="14"/>
    <n v="4"/>
    <n v="-8.75"/>
    <n v="72.784000000000006"/>
    <x v="0"/>
    <x v="1"/>
    <x v="1"/>
  </r>
  <r>
    <s v="CA-2014-141481"/>
    <d v="2014-06-12T00:00:00"/>
    <d v="2014-06-15T00:00:00"/>
    <s v="ZuschussDonatelli@gmail.com"/>
    <x v="0"/>
    <x v="4"/>
    <x v="289"/>
    <n v="61.44"/>
    <n v="3"/>
    <n v="16.588799999999999"/>
    <x v="3"/>
    <n v="6"/>
    <x v="0"/>
    <n v="12"/>
    <n v="3"/>
    <n v="27"/>
    <n v="20.48"/>
    <x v="0"/>
    <x v="0"/>
    <x v="0"/>
  </r>
  <r>
    <s v="CA-2011-110555"/>
    <d v="2011-04-11T00:00:00"/>
    <d v="2011-04-18T00:00:00"/>
    <s v="MichelleMoray@gmail.com"/>
    <x v="32"/>
    <x v="5"/>
    <x v="579"/>
    <n v="87.08"/>
    <n v="7"/>
    <n v="24.382400000000001"/>
    <x v="1"/>
    <n v="4"/>
    <x v="10"/>
    <n v="11"/>
    <n v="7"/>
    <n v="28"/>
    <n v="12.44"/>
    <x v="0"/>
    <x v="0"/>
    <x v="0"/>
  </r>
  <r>
    <s v="CA-2011-110555"/>
    <d v="2011-04-11T00:00:00"/>
    <d v="2011-04-18T00:00:00"/>
    <s v="MichelleMoray@gmail.com"/>
    <x v="32"/>
    <x v="6"/>
    <x v="159"/>
    <n v="105.584"/>
    <n v="2"/>
    <n v="9.2385999999999999"/>
    <x v="1"/>
    <n v="4"/>
    <x v="10"/>
    <n v="11"/>
    <n v="7"/>
    <n v="8.75"/>
    <n v="52.792000000000002"/>
    <x v="0"/>
    <x v="0"/>
    <x v="0"/>
  </r>
  <r>
    <s v="CA-2011-110555"/>
    <d v="2011-04-11T00:00:00"/>
    <d v="2011-04-18T00:00:00"/>
    <s v="MichelleMoray@gmail.com"/>
    <x v="32"/>
    <x v="7"/>
    <x v="701"/>
    <n v="217.44"/>
    <n v="6"/>
    <n v="91.324799999999996"/>
    <x v="1"/>
    <n v="4"/>
    <x v="10"/>
    <n v="11"/>
    <n v="7"/>
    <n v="42"/>
    <n v="36.24"/>
    <x v="0"/>
    <x v="0"/>
    <x v="1"/>
  </r>
  <r>
    <s v="CA-2011-109918"/>
    <d v="2011-09-07T00:00:00"/>
    <d v="2011-09-12T00:00:00"/>
    <s v="LisaRyan@gmail.com"/>
    <x v="15"/>
    <x v="11"/>
    <x v="1281"/>
    <n v="27.36"/>
    <n v="4"/>
    <n v="7.3872"/>
    <x v="1"/>
    <n v="9"/>
    <x v="8"/>
    <n v="7"/>
    <n v="5"/>
    <n v="27"/>
    <n v="6.84"/>
    <x v="0"/>
    <x v="0"/>
    <x v="0"/>
  </r>
  <r>
    <s v="CA-2011-109918"/>
    <d v="2011-09-07T00:00:00"/>
    <d v="2011-09-12T00:00:00"/>
    <s v="LisaRyan@gmail.com"/>
    <x v="15"/>
    <x v="8"/>
    <x v="1016"/>
    <n v="20.56"/>
    <n v="2"/>
    <n v="9.6631999999999998"/>
    <x v="1"/>
    <n v="9"/>
    <x v="8"/>
    <n v="7"/>
    <n v="5"/>
    <n v="47"/>
    <n v="10.28"/>
    <x v="0"/>
    <x v="0"/>
    <x v="0"/>
  </r>
  <r>
    <s v="CA-2011-109918"/>
    <d v="2011-09-07T00:00:00"/>
    <d v="2011-09-12T00:00:00"/>
    <s v="LisaRyan@gmail.com"/>
    <x v="15"/>
    <x v="3"/>
    <x v="1277"/>
    <n v="83.92"/>
    <n v="5"/>
    <n v="31.47"/>
    <x v="1"/>
    <n v="9"/>
    <x v="8"/>
    <n v="7"/>
    <n v="5"/>
    <n v="37.5"/>
    <n v="16.783999999999999"/>
    <x v="0"/>
    <x v="0"/>
    <x v="0"/>
  </r>
  <r>
    <s v="CA-2013-163972"/>
    <d v="2013-10-18T00:00:00"/>
    <d v="2013-10-22T00:00:00"/>
    <s v="MichaelGranlund@gmail.com"/>
    <x v="57"/>
    <x v="14"/>
    <x v="829"/>
    <n v="120.666"/>
    <n v="2"/>
    <n v="21.294"/>
    <x v="0"/>
    <n v="10"/>
    <x v="7"/>
    <n v="18"/>
    <n v="4"/>
    <n v="17.649999999999999"/>
    <n v="60.332999999999998"/>
    <x v="0"/>
    <x v="0"/>
    <x v="0"/>
  </r>
  <r>
    <s v="CA-2013-113726"/>
    <d v="2013-11-25T00:00:00"/>
    <d v="2013-12-02T00:00:00"/>
    <s v="SteveCarroll@gmail.com"/>
    <x v="1"/>
    <x v="1"/>
    <x v="1282"/>
    <n v="82.26"/>
    <n v="3"/>
    <n v="33.726599999999998"/>
    <x v="0"/>
    <n v="11"/>
    <x v="6"/>
    <n v="25"/>
    <n v="7"/>
    <n v="41"/>
    <n v="27.42"/>
    <x v="0"/>
    <x v="0"/>
    <x v="0"/>
  </r>
  <r>
    <s v="CA-2013-152940"/>
    <d v="2013-11-11T00:00:00"/>
    <d v="2013-11-14T00:00:00"/>
    <s v="RoseO'Brian@gmail.com"/>
    <x v="3"/>
    <x v="5"/>
    <x v="1283"/>
    <n v="29.74"/>
    <n v="1"/>
    <n v="4.4610000000000003"/>
    <x v="0"/>
    <n v="11"/>
    <x v="6"/>
    <n v="11"/>
    <n v="3"/>
    <n v="15"/>
    <n v="29.74"/>
    <x v="0"/>
    <x v="0"/>
    <x v="0"/>
  </r>
  <r>
    <s v="CA-2012-158701"/>
    <d v="2012-01-05T00:00:00"/>
    <d v="2012-01-10T00:00:00"/>
    <s v="JamesLanier@gmail.com"/>
    <x v="3"/>
    <x v="4"/>
    <x v="1018"/>
    <n v="87.36"/>
    <n v="6"/>
    <n v="23.587199999999999"/>
    <x v="2"/>
    <n v="1"/>
    <x v="4"/>
    <n v="5"/>
    <n v="5"/>
    <n v="27"/>
    <n v="14.56"/>
    <x v="0"/>
    <x v="0"/>
    <x v="0"/>
  </r>
  <r>
    <s v="CA-2012-158701"/>
    <d v="2012-01-05T00:00:00"/>
    <d v="2012-01-10T00:00:00"/>
    <s v="JamesLanier@gmail.com"/>
    <x v="3"/>
    <x v="3"/>
    <x v="213"/>
    <n v="56.16"/>
    <n v="6"/>
    <n v="17.55"/>
    <x v="2"/>
    <n v="1"/>
    <x v="4"/>
    <n v="5"/>
    <n v="5"/>
    <n v="31.25"/>
    <n v="9.36"/>
    <x v="0"/>
    <x v="0"/>
    <x v="0"/>
  </r>
  <r>
    <s v="CA-2013-134544"/>
    <d v="2013-03-18T00:00:00"/>
    <d v="2013-03-20T00:00:00"/>
    <s v="AnnaChung@gmail.com"/>
    <x v="3"/>
    <x v="6"/>
    <x v="162"/>
    <n v="84.784000000000006"/>
    <n v="2"/>
    <n v="-20.136199999999999"/>
    <x v="0"/>
    <n v="3"/>
    <x v="9"/>
    <n v="18"/>
    <n v="2"/>
    <n v="-23.75"/>
    <n v="42.392000000000003"/>
    <x v="0"/>
    <x v="1"/>
    <x v="0"/>
  </r>
  <r>
    <s v="CA-2014-137582"/>
    <d v="2014-09-05T00:00:00"/>
    <d v="2014-09-09T00:00:00"/>
    <s v="CynthiaVoltz@gmail.com"/>
    <x v="52"/>
    <x v="3"/>
    <x v="1121"/>
    <n v="11.808"/>
    <n v="3"/>
    <n v="4.1327999999999996"/>
    <x v="3"/>
    <n v="9"/>
    <x v="8"/>
    <n v="5"/>
    <n v="4"/>
    <n v="35"/>
    <n v="3.9359999999999999"/>
    <x v="0"/>
    <x v="0"/>
    <x v="0"/>
  </r>
  <r>
    <s v="CA-2014-153227"/>
    <d v="2014-12-05T00:00:00"/>
    <d v="2014-12-07T00:00:00"/>
    <s v="ChrisSelesnick@gmail.com"/>
    <x v="0"/>
    <x v="8"/>
    <x v="690"/>
    <n v="11.76"/>
    <n v="2"/>
    <n v="5.7624000000000004"/>
    <x v="3"/>
    <n v="12"/>
    <x v="1"/>
    <n v="5"/>
    <n v="2"/>
    <n v="49"/>
    <n v="5.88"/>
    <x v="0"/>
    <x v="0"/>
    <x v="0"/>
  </r>
  <r>
    <s v="CA-2012-133837"/>
    <d v="2012-04-13T00:00:00"/>
    <d v="2012-04-18T00:00:00"/>
    <s v="TheaHendricks@gmail.com"/>
    <x v="62"/>
    <x v="5"/>
    <x v="368"/>
    <n v="10.744"/>
    <n v="1"/>
    <n v="0.80579999999999996"/>
    <x v="2"/>
    <n v="4"/>
    <x v="10"/>
    <n v="13"/>
    <n v="5"/>
    <n v="7.5"/>
    <n v="10.744"/>
    <x v="0"/>
    <x v="0"/>
    <x v="0"/>
  </r>
  <r>
    <s v="CA-2013-154067"/>
    <d v="2013-02-01T00:00:00"/>
    <d v="2013-02-07T00:00:00"/>
    <s v="SuzanneMcNair@gmail.com"/>
    <x v="0"/>
    <x v="8"/>
    <x v="45"/>
    <n v="105.52"/>
    <n v="4"/>
    <n v="48.539200000000001"/>
    <x v="0"/>
    <n v="2"/>
    <x v="11"/>
    <n v="1"/>
    <n v="6"/>
    <n v="46"/>
    <n v="26.38"/>
    <x v="0"/>
    <x v="0"/>
    <x v="0"/>
  </r>
  <r>
    <s v="CA-2012-134082"/>
    <d v="2012-12-11T00:00:00"/>
    <d v="2012-12-17T00:00:00"/>
    <s v="JimKriz@gmail.com"/>
    <x v="79"/>
    <x v="3"/>
    <x v="371"/>
    <n v="110.52800000000001"/>
    <n v="4"/>
    <n v="38.684800000000003"/>
    <x v="2"/>
    <n v="12"/>
    <x v="1"/>
    <n v="11"/>
    <n v="6"/>
    <n v="35"/>
    <n v="27.632000000000001"/>
    <x v="0"/>
    <x v="0"/>
    <x v="0"/>
  </r>
  <r>
    <s v="CA-2014-118199"/>
    <d v="2014-05-10T00:00:00"/>
    <d v="2014-05-12T00:00:00"/>
    <s v="LaurelBeltran@gmail.com"/>
    <x v="1"/>
    <x v="3"/>
    <x v="401"/>
    <n v="147.91999999999999"/>
    <n v="5"/>
    <n v="46.225000000000001"/>
    <x v="3"/>
    <n v="5"/>
    <x v="2"/>
    <n v="10"/>
    <n v="2"/>
    <n v="31.25"/>
    <n v="29.584"/>
    <x v="0"/>
    <x v="0"/>
    <x v="0"/>
  </r>
  <r>
    <s v="CA-2014-118199"/>
    <d v="2014-05-10T00:00:00"/>
    <d v="2014-05-12T00:00:00"/>
    <s v="LaurelBeltran@gmail.com"/>
    <x v="1"/>
    <x v="5"/>
    <x v="403"/>
    <n v="104.28"/>
    <n v="3"/>
    <n v="26.07"/>
    <x v="3"/>
    <n v="5"/>
    <x v="2"/>
    <n v="10"/>
    <n v="2"/>
    <n v="25"/>
    <n v="34.76"/>
    <x v="0"/>
    <x v="0"/>
    <x v="0"/>
  </r>
  <r>
    <s v="CA-2014-118199"/>
    <d v="2014-05-10T00:00:00"/>
    <d v="2014-05-12T00:00:00"/>
    <s v="LaurelBeltran@gmail.com"/>
    <x v="1"/>
    <x v="13"/>
    <x v="1284"/>
    <n v="286.85000000000002"/>
    <n v="1"/>
    <n v="63.106999999999999"/>
    <x v="3"/>
    <n v="5"/>
    <x v="2"/>
    <n v="10"/>
    <n v="2"/>
    <n v="22"/>
    <n v="286.85000000000002"/>
    <x v="0"/>
    <x v="0"/>
    <x v="1"/>
  </r>
  <r>
    <s v="CA-2014-118199"/>
    <d v="2014-05-10T00:00:00"/>
    <d v="2014-05-12T00:00:00"/>
    <s v="LaurelBeltran@gmail.com"/>
    <x v="1"/>
    <x v="5"/>
    <x v="1055"/>
    <n v="66.959999999999994"/>
    <n v="4"/>
    <n v="2.6783999999999999"/>
    <x v="3"/>
    <n v="5"/>
    <x v="2"/>
    <n v="10"/>
    <n v="2"/>
    <n v="4"/>
    <n v="16.739999999999998"/>
    <x v="0"/>
    <x v="0"/>
    <x v="0"/>
  </r>
  <r>
    <s v="CA-2014-118199"/>
    <d v="2014-05-10T00:00:00"/>
    <d v="2014-05-12T00:00:00"/>
    <s v="LaurelBeltran@gmail.com"/>
    <x v="1"/>
    <x v="7"/>
    <x v="555"/>
    <n v="199.98"/>
    <n v="2"/>
    <n v="87.991200000000006"/>
    <x v="3"/>
    <n v="5"/>
    <x v="2"/>
    <n v="10"/>
    <n v="2"/>
    <n v="44"/>
    <n v="99.99"/>
    <x v="0"/>
    <x v="0"/>
    <x v="0"/>
  </r>
  <r>
    <s v="CA-2012-128356"/>
    <d v="2012-10-02T00:00:00"/>
    <d v="2012-10-07T00:00:00"/>
    <s v="ResiPÃ¶lking@gmail.com"/>
    <x v="115"/>
    <x v="11"/>
    <x v="1281"/>
    <n v="10.944000000000001"/>
    <n v="2"/>
    <n v="0.95760000000000001"/>
    <x v="2"/>
    <n v="10"/>
    <x v="7"/>
    <n v="2"/>
    <n v="5"/>
    <n v="8.75"/>
    <n v="5.4720000000000004"/>
    <x v="0"/>
    <x v="0"/>
    <x v="0"/>
  </r>
  <r>
    <s v="US-2014-132220"/>
    <d v="2014-11-13T00:00:00"/>
    <d v="2014-11-17T00:00:00"/>
    <s v="DonJones@gmail.com"/>
    <x v="65"/>
    <x v="7"/>
    <x v="648"/>
    <n v="62.351999999999997"/>
    <n v="6"/>
    <n v="-10.9116"/>
    <x v="3"/>
    <n v="11"/>
    <x v="6"/>
    <n v="13"/>
    <n v="4"/>
    <n v="-17.5"/>
    <n v="10.391999999999999"/>
    <x v="0"/>
    <x v="1"/>
    <x v="0"/>
  </r>
  <r>
    <s v="CA-2012-151470"/>
    <d v="2012-09-20T00:00:00"/>
    <d v="2012-09-26T00:00:00"/>
    <s v="AnneMcFarland@gmail.com"/>
    <x v="26"/>
    <x v="3"/>
    <x v="942"/>
    <n v="45.584000000000003"/>
    <n v="11"/>
    <n v="16.5242"/>
    <x v="2"/>
    <n v="9"/>
    <x v="8"/>
    <n v="20"/>
    <n v="6"/>
    <n v="36.25"/>
    <n v="4.1440000000000001"/>
    <x v="0"/>
    <x v="0"/>
    <x v="0"/>
  </r>
  <r>
    <s v="CA-2011-108861"/>
    <d v="2011-05-28T00:00:00"/>
    <d v="2011-06-01T00:00:00"/>
    <s v="MagdeleneMorse@gmail.com"/>
    <x v="1"/>
    <x v="3"/>
    <x v="926"/>
    <n v="136.96"/>
    <n v="4"/>
    <n v="51.36"/>
    <x v="1"/>
    <n v="5"/>
    <x v="2"/>
    <n v="28"/>
    <n v="4"/>
    <n v="37.5"/>
    <n v="34.24"/>
    <x v="1"/>
    <x v="0"/>
    <x v="0"/>
  </r>
  <r>
    <s v="CA-2014-145779"/>
    <d v="2014-05-07T00:00:00"/>
    <d v="2014-05-11T00:00:00"/>
    <s v="DougBickford@gmail.com"/>
    <x v="24"/>
    <x v="8"/>
    <x v="45"/>
    <n v="84.415999999999997"/>
    <n v="4"/>
    <n v="27.435199999999998"/>
    <x v="3"/>
    <n v="5"/>
    <x v="2"/>
    <n v="7"/>
    <n v="4"/>
    <n v="32.5"/>
    <n v="21.103999999999999"/>
    <x v="0"/>
    <x v="0"/>
    <x v="0"/>
  </r>
  <r>
    <s v="CA-2013-154081"/>
    <d v="2013-05-23T00:00:00"/>
    <d v="2013-05-30T00:00:00"/>
    <s v="JimEpp@gmail.com"/>
    <x v="0"/>
    <x v="6"/>
    <x v="59"/>
    <n v="222.38399999999999"/>
    <n v="2"/>
    <n v="22.238399999999999"/>
    <x v="0"/>
    <n v="5"/>
    <x v="2"/>
    <n v="23"/>
    <n v="7"/>
    <n v="10"/>
    <n v="111.19199999999999"/>
    <x v="0"/>
    <x v="0"/>
    <x v="1"/>
  </r>
  <r>
    <s v="CA-2011-100881"/>
    <d v="2011-03-28T00:00:00"/>
    <d v="2011-04-01T00:00:00"/>
    <s v="DanielRaglin@gmail.com"/>
    <x v="93"/>
    <x v="6"/>
    <x v="180"/>
    <n v="302.37599999999998"/>
    <n v="3"/>
    <n v="22.6782"/>
    <x v="1"/>
    <n v="3"/>
    <x v="9"/>
    <n v="28"/>
    <n v="4"/>
    <n v="7.5"/>
    <n v="100.792"/>
    <x v="1"/>
    <x v="0"/>
    <x v="1"/>
  </r>
  <r>
    <s v="CA-2012-144043"/>
    <d v="2012-05-10T00:00:00"/>
    <d v="2012-05-15T00:00:00"/>
    <s v="AlanBarnes@gmail.com"/>
    <x v="28"/>
    <x v="7"/>
    <x v="1237"/>
    <n v="46.688000000000002"/>
    <n v="4"/>
    <n v="-2.9180000000000001"/>
    <x v="2"/>
    <n v="5"/>
    <x v="2"/>
    <n v="10"/>
    <n v="5"/>
    <n v="-6.25"/>
    <n v="11.672000000000001"/>
    <x v="0"/>
    <x v="1"/>
    <x v="0"/>
  </r>
  <r>
    <s v="CA-2013-168557"/>
    <d v="2013-09-20T00:00:00"/>
    <d v="2013-09-24T00:00:00"/>
    <s v="FrankHawley@gmail.com"/>
    <x v="3"/>
    <x v="3"/>
    <x v="649"/>
    <n v="8.9280000000000008"/>
    <n v="2"/>
    <n v="3.1248"/>
    <x v="0"/>
    <n v="9"/>
    <x v="8"/>
    <n v="20"/>
    <n v="4"/>
    <n v="35"/>
    <n v="4.4640000000000004"/>
    <x v="0"/>
    <x v="0"/>
    <x v="0"/>
  </r>
  <r>
    <s v="CA-2014-134880"/>
    <d v="2014-10-28T00:00:00"/>
    <d v="2014-11-02T00:00:00"/>
    <s v="TamaraWillingham@gmail.com"/>
    <x v="33"/>
    <x v="8"/>
    <x v="982"/>
    <n v="44.783999999999999"/>
    <n v="1"/>
    <n v="16.234200000000001"/>
    <x v="3"/>
    <n v="10"/>
    <x v="7"/>
    <n v="28"/>
    <n v="5"/>
    <n v="36.25"/>
    <n v="44.783999999999999"/>
    <x v="0"/>
    <x v="0"/>
    <x v="0"/>
  </r>
  <r>
    <s v="CA-2014-158736"/>
    <d v="2014-12-19T00:00:00"/>
    <d v="2014-12-25T00:00:00"/>
    <s v="TonjaTurnell@gmail.com"/>
    <x v="3"/>
    <x v="2"/>
    <x v="1285"/>
    <n v="5.76"/>
    <n v="2"/>
    <n v="1.6704000000000001"/>
    <x v="3"/>
    <n v="12"/>
    <x v="1"/>
    <n v="19"/>
    <n v="6"/>
    <n v="29"/>
    <n v="2.88"/>
    <x v="0"/>
    <x v="0"/>
    <x v="0"/>
  </r>
  <r>
    <s v="US-2013-119270"/>
    <d v="2013-03-13T00:00:00"/>
    <d v="2013-03-17T00:00:00"/>
    <s v="ScotWooten@gmail.com"/>
    <x v="0"/>
    <x v="8"/>
    <x v="1286"/>
    <n v="19.98"/>
    <n v="2"/>
    <n v="8.9909999999999997"/>
    <x v="0"/>
    <n v="3"/>
    <x v="9"/>
    <n v="13"/>
    <n v="4"/>
    <n v="45"/>
    <n v="9.99"/>
    <x v="0"/>
    <x v="0"/>
    <x v="0"/>
  </r>
  <r>
    <s v="CA-2014-142391"/>
    <d v="2014-09-25T00:00:00"/>
    <d v="2014-09-25T00:00:00"/>
    <s v="PhilipBrown@gmail.com"/>
    <x v="1"/>
    <x v="1"/>
    <x v="197"/>
    <n v="199.8"/>
    <n v="10"/>
    <n v="71.927999999999997"/>
    <x v="3"/>
    <n v="9"/>
    <x v="8"/>
    <n v="25"/>
    <n v="0"/>
    <n v="36"/>
    <n v="19.98"/>
    <x v="0"/>
    <x v="0"/>
    <x v="0"/>
  </r>
  <r>
    <s v="CA-2014-124716"/>
    <d v="2014-03-28T00:00:00"/>
    <d v="2014-04-01T00:00:00"/>
    <s v="BrendanDodson@gmail.com"/>
    <x v="57"/>
    <x v="8"/>
    <x v="499"/>
    <n v="45.68"/>
    <n v="2"/>
    <n v="21.012799999999999"/>
    <x v="3"/>
    <n v="3"/>
    <x v="9"/>
    <n v="28"/>
    <n v="4"/>
    <n v="46"/>
    <n v="22.84"/>
    <x v="0"/>
    <x v="0"/>
    <x v="0"/>
  </r>
  <r>
    <s v="CA-2014-124716"/>
    <d v="2014-03-28T00:00:00"/>
    <d v="2014-04-01T00:00:00"/>
    <s v="BrendanDodson@gmail.com"/>
    <x v="57"/>
    <x v="8"/>
    <x v="53"/>
    <n v="110.96"/>
    <n v="2"/>
    <n v="53.260800000000003"/>
    <x v="3"/>
    <n v="3"/>
    <x v="9"/>
    <n v="28"/>
    <n v="4"/>
    <n v="48"/>
    <n v="55.48"/>
    <x v="0"/>
    <x v="0"/>
    <x v="0"/>
  </r>
  <r>
    <s v="CA-2014-124716"/>
    <d v="2014-03-28T00:00:00"/>
    <d v="2014-04-01T00:00:00"/>
    <s v="BrendanDodson@gmail.com"/>
    <x v="57"/>
    <x v="8"/>
    <x v="1004"/>
    <n v="11.94"/>
    <n v="3"/>
    <n v="5.97"/>
    <x v="3"/>
    <n v="3"/>
    <x v="9"/>
    <n v="28"/>
    <n v="4"/>
    <n v="50"/>
    <n v="3.98"/>
    <x v="0"/>
    <x v="0"/>
    <x v="0"/>
  </r>
  <r>
    <s v="CA-2014-106824"/>
    <d v="2014-07-08T00:00:00"/>
    <d v="2014-07-12T00:00:00"/>
    <s v="AnnieThurman@gmail.com"/>
    <x v="0"/>
    <x v="10"/>
    <x v="739"/>
    <n v="5.94"/>
    <n v="3"/>
    <n v="0.1188"/>
    <x v="3"/>
    <n v="7"/>
    <x v="5"/>
    <n v="8"/>
    <n v="4"/>
    <n v="2"/>
    <n v="1.98"/>
    <x v="0"/>
    <x v="0"/>
    <x v="0"/>
  </r>
  <r>
    <s v="CA-2013-143154"/>
    <d v="2013-12-03T00:00:00"/>
    <d v="2013-12-09T00:00:00"/>
    <s v="AlanSchoenberger@gmail.com"/>
    <x v="159"/>
    <x v="7"/>
    <x v="805"/>
    <n v="165.6"/>
    <n v="3"/>
    <n v="-6.21"/>
    <x v="0"/>
    <n v="12"/>
    <x v="1"/>
    <n v="3"/>
    <n v="6"/>
    <n v="-3.75"/>
    <n v="55.2"/>
    <x v="0"/>
    <x v="1"/>
    <x v="0"/>
  </r>
  <r>
    <s v="CA-2012-102316"/>
    <d v="2012-02-29T00:00:00"/>
    <d v="2012-03-03T00:00:00"/>
    <s v="DaveHallsten@gmail.com"/>
    <x v="0"/>
    <x v="6"/>
    <x v="349"/>
    <n v="15.984"/>
    <n v="2"/>
    <n v="1.1988000000000001"/>
    <x v="2"/>
    <n v="2"/>
    <x v="11"/>
    <n v="29"/>
    <n v="3"/>
    <n v="7.5"/>
    <n v="7.992"/>
    <x v="0"/>
    <x v="0"/>
    <x v="0"/>
  </r>
  <r>
    <s v="CA-2012-102316"/>
    <d v="2012-02-29T00:00:00"/>
    <d v="2012-03-03T00:00:00"/>
    <s v="DaveHallsten@gmail.com"/>
    <x v="0"/>
    <x v="9"/>
    <x v="623"/>
    <n v="184.75200000000001"/>
    <n v="3"/>
    <n v="-20.784600000000001"/>
    <x v="2"/>
    <n v="2"/>
    <x v="11"/>
    <n v="29"/>
    <n v="3"/>
    <n v="-11.25"/>
    <n v="61.584000000000003"/>
    <x v="0"/>
    <x v="1"/>
    <x v="0"/>
  </r>
  <r>
    <s v="CA-2011-164903"/>
    <d v="2011-02-21T00:00:00"/>
    <d v="2011-02-25T00:00:00"/>
    <s v="StevenRoelle@gmail.com"/>
    <x v="0"/>
    <x v="8"/>
    <x v="728"/>
    <n v="12.96"/>
    <n v="2"/>
    <n v="6.2207999999999997"/>
    <x v="1"/>
    <n v="2"/>
    <x v="11"/>
    <n v="21"/>
    <n v="4"/>
    <n v="48"/>
    <n v="6.48"/>
    <x v="0"/>
    <x v="0"/>
    <x v="0"/>
  </r>
  <r>
    <s v="CA-2014-133074"/>
    <d v="2014-09-22T00:00:00"/>
    <d v="2014-09-26T00:00:00"/>
    <s v="DougBickford@gmail.com"/>
    <x v="3"/>
    <x v="8"/>
    <x v="1287"/>
    <n v="55.86"/>
    <n v="7"/>
    <n v="27.93"/>
    <x v="3"/>
    <n v="9"/>
    <x v="8"/>
    <n v="22"/>
    <n v="4"/>
    <n v="50"/>
    <n v="7.98"/>
    <x v="0"/>
    <x v="0"/>
    <x v="0"/>
  </r>
  <r>
    <s v="CA-2014-137624"/>
    <d v="2014-11-11T00:00:00"/>
    <d v="2014-11-18T00:00:00"/>
    <s v="MariaEtezadi@gmail.com"/>
    <x v="0"/>
    <x v="9"/>
    <x v="543"/>
    <n v="241.42400000000001"/>
    <n v="2"/>
    <n v="-36.2136"/>
    <x v="3"/>
    <n v="11"/>
    <x v="6"/>
    <n v="11"/>
    <n v="7"/>
    <n v="-15"/>
    <n v="120.712"/>
    <x v="0"/>
    <x v="1"/>
    <x v="1"/>
  </r>
  <r>
    <s v="US-2011-163146"/>
    <d v="2011-05-16T00:00:00"/>
    <d v="2011-05-20T00:00:00"/>
    <s v="CindyChapman@gmail.com"/>
    <x v="3"/>
    <x v="7"/>
    <x v="719"/>
    <n v="56.4"/>
    <n v="3"/>
    <n v="3.3839999999999999"/>
    <x v="1"/>
    <n v="5"/>
    <x v="2"/>
    <n v="16"/>
    <n v="4"/>
    <n v="6"/>
    <n v="18.8"/>
    <x v="0"/>
    <x v="0"/>
    <x v="0"/>
  </r>
  <r>
    <s v="CA-2014-147354"/>
    <d v="2014-03-10T00:00:00"/>
    <d v="2014-03-14T00:00:00"/>
    <s v="KarlBraun@gmail.com"/>
    <x v="0"/>
    <x v="16"/>
    <x v="548"/>
    <n v="479.98399999999998"/>
    <n v="2"/>
    <n v="59.997999999999998"/>
    <x v="3"/>
    <n v="3"/>
    <x v="9"/>
    <n v="10"/>
    <n v="4"/>
    <n v="12.5"/>
    <n v="239.99199999999999"/>
    <x v="0"/>
    <x v="0"/>
    <x v="1"/>
  </r>
  <r>
    <s v="CA-2014-147354"/>
    <d v="2014-03-10T00:00:00"/>
    <d v="2014-03-14T00:00:00"/>
    <s v="KarlBraun@gmail.com"/>
    <x v="0"/>
    <x v="3"/>
    <x v="3"/>
    <n v="30.84"/>
    <n v="5"/>
    <n v="9.6374999999999993"/>
    <x v="3"/>
    <n v="3"/>
    <x v="9"/>
    <n v="10"/>
    <n v="4"/>
    <n v="31.25"/>
    <n v="6.1680000000000001"/>
    <x v="0"/>
    <x v="0"/>
    <x v="0"/>
  </r>
  <r>
    <s v="CA-2012-149566"/>
    <d v="2012-12-05T00:00:00"/>
    <d v="2012-12-10T00:00:00"/>
    <s v="GeorgeBell@gmail.com"/>
    <x v="0"/>
    <x v="7"/>
    <x v="638"/>
    <n v="39"/>
    <n v="3"/>
    <n v="17.55"/>
    <x v="2"/>
    <n v="12"/>
    <x v="1"/>
    <n v="5"/>
    <n v="5"/>
    <n v="45"/>
    <n v="13"/>
    <x v="0"/>
    <x v="0"/>
    <x v="0"/>
  </r>
  <r>
    <s v="CA-2012-149566"/>
    <d v="2012-12-05T00:00:00"/>
    <d v="2012-12-10T00:00:00"/>
    <s v="GeorgeBell@gmail.com"/>
    <x v="0"/>
    <x v="0"/>
    <x v="267"/>
    <n v="12.6"/>
    <n v="4"/>
    <n v="6.048"/>
    <x v="2"/>
    <n v="12"/>
    <x v="1"/>
    <n v="5"/>
    <n v="5"/>
    <n v="48"/>
    <n v="3.15"/>
    <x v="0"/>
    <x v="0"/>
    <x v="0"/>
  </r>
  <r>
    <s v="CA-2012-126186"/>
    <d v="2012-09-11T00:00:00"/>
    <d v="2012-09-12T00:00:00"/>
    <s v="GeorgeBell@gmail.com"/>
    <x v="6"/>
    <x v="1"/>
    <x v="129"/>
    <n v="24.64"/>
    <n v="4"/>
    <n v="4.0039999999999996"/>
    <x v="2"/>
    <n v="9"/>
    <x v="8"/>
    <n v="11"/>
    <n v="1"/>
    <n v="16.25"/>
    <n v="6.16"/>
    <x v="0"/>
    <x v="0"/>
    <x v="0"/>
  </r>
  <r>
    <s v="CA-2011-159849"/>
    <d v="2011-09-19T00:00:00"/>
    <d v="2011-09-19T00:00:00"/>
    <s v="JimKriz@gmail.com"/>
    <x v="3"/>
    <x v="10"/>
    <x v="1288"/>
    <n v="5.67"/>
    <n v="3"/>
    <n v="0.1134"/>
    <x v="1"/>
    <n v="9"/>
    <x v="8"/>
    <n v="19"/>
    <n v="0"/>
    <n v="2"/>
    <n v="1.89"/>
    <x v="0"/>
    <x v="0"/>
    <x v="0"/>
  </r>
  <r>
    <s v="CA-2011-104808"/>
    <d v="2011-02-05T00:00:00"/>
    <d v="2011-02-09T00:00:00"/>
    <s v="MarkHaberlin@gmail.com"/>
    <x v="56"/>
    <x v="3"/>
    <x v="408"/>
    <n v="17.248000000000001"/>
    <n v="2"/>
    <n v="6.0368000000000004"/>
    <x v="1"/>
    <n v="2"/>
    <x v="11"/>
    <n v="5"/>
    <n v="4"/>
    <n v="35"/>
    <n v="8.6240000000000006"/>
    <x v="1"/>
    <x v="0"/>
    <x v="0"/>
  </r>
  <r>
    <s v="CA-2014-162012"/>
    <d v="2014-07-12T00:00:00"/>
    <d v="2014-07-19T00:00:00"/>
    <s v="KarenBern@gmail.com"/>
    <x v="0"/>
    <x v="4"/>
    <x v="231"/>
    <n v="168.1"/>
    <n v="5"/>
    <n v="43.706000000000003"/>
    <x v="3"/>
    <n v="7"/>
    <x v="5"/>
    <n v="12"/>
    <n v="7"/>
    <n v="26"/>
    <n v="33.619999999999997"/>
    <x v="0"/>
    <x v="0"/>
    <x v="0"/>
  </r>
  <r>
    <s v="CA-2014-101700"/>
    <d v="2014-04-24T00:00:00"/>
    <d v="2014-04-27T00:00:00"/>
    <s v="SeanO'Donnell@gmail.com"/>
    <x v="162"/>
    <x v="12"/>
    <x v="50"/>
    <n v="18.687999999999999"/>
    <n v="2"/>
    <n v="7.008"/>
    <x v="3"/>
    <n v="4"/>
    <x v="10"/>
    <n v="24"/>
    <n v="3"/>
    <n v="37.5"/>
    <n v="9.3439999999999994"/>
    <x v="0"/>
    <x v="0"/>
    <x v="0"/>
  </r>
  <r>
    <s v="CA-2014-101700"/>
    <d v="2014-04-24T00:00:00"/>
    <d v="2014-04-27T00:00:00"/>
    <s v="SeanO'Donnell@gmail.com"/>
    <x v="162"/>
    <x v="1"/>
    <x v="1289"/>
    <n v="11.664"/>
    <n v="3"/>
    <n v="3.3534000000000002"/>
    <x v="3"/>
    <n v="4"/>
    <x v="10"/>
    <n v="24"/>
    <n v="3"/>
    <n v="28.75"/>
    <n v="3.8879999999999999"/>
    <x v="0"/>
    <x v="0"/>
    <x v="0"/>
  </r>
  <r>
    <s v="US-2013-117387"/>
    <d v="2013-10-28T00:00:00"/>
    <d v="2013-11-01T00:00:00"/>
    <s v="PeteArmstrong@gmail.com"/>
    <x v="3"/>
    <x v="3"/>
    <x v="1277"/>
    <n v="67.135999999999996"/>
    <n v="4"/>
    <n v="25.175999999999998"/>
    <x v="0"/>
    <n v="10"/>
    <x v="7"/>
    <n v="28"/>
    <n v="4"/>
    <n v="37.5"/>
    <n v="16.783999999999999"/>
    <x v="1"/>
    <x v="0"/>
    <x v="0"/>
  </r>
  <r>
    <s v="CA-2011-141110"/>
    <d v="2011-11-26T00:00:00"/>
    <d v="2011-12-01T00:00:00"/>
    <s v="LukeSchmidt@gmail.com"/>
    <x v="57"/>
    <x v="3"/>
    <x v="241"/>
    <n v="4.32"/>
    <n v="3"/>
    <n v="1.512"/>
    <x v="1"/>
    <n v="11"/>
    <x v="6"/>
    <n v="26"/>
    <n v="5"/>
    <n v="35"/>
    <n v="1.44"/>
    <x v="0"/>
    <x v="0"/>
    <x v="0"/>
  </r>
  <r>
    <s v="CA-2011-141110"/>
    <d v="2011-11-26T00:00:00"/>
    <d v="2011-12-01T00:00:00"/>
    <s v="LukeSchmidt@gmail.com"/>
    <x v="57"/>
    <x v="8"/>
    <x v="365"/>
    <n v="14.94"/>
    <n v="3"/>
    <n v="7.0217999999999998"/>
    <x v="1"/>
    <n v="11"/>
    <x v="6"/>
    <n v="26"/>
    <n v="5"/>
    <n v="47"/>
    <n v="4.9800000000000004"/>
    <x v="0"/>
    <x v="0"/>
    <x v="0"/>
  </r>
  <r>
    <s v="CA-2011-141110"/>
    <d v="2011-11-26T00:00:00"/>
    <d v="2011-12-01T00:00:00"/>
    <s v="LukeSchmidt@gmail.com"/>
    <x v="57"/>
    <x v="4"/>
    <x v="502"/>
    <n v="40.54"/>
    <n v="2"/>
    <n v="11.3512"/>
    <x v="1"/>
    <n v="11"/>
    <x v="6"/>
    <n v="26"/>
    <n v="5"/>
    <n v="28"/>
    <n v="20.27"/>
    <x v="0"/>
    <x v="0"/>
    <x v="0"/>
  </r>
  <r>
    <s v="CA-2011-141110"/>
    <d v="2011-11-26T00:00:00"/>
    <d v="2011-12-01T00:00:00"/>
    <s v="LukeSchmidt@gmail.com"/>
    <x v="57"/>
    <x v="3"/>
    <x v="973"/>
    <n v="7.3120000000000003"/>
    <n v="1"/>
    <n v="2.5592000000000001"/>
    <x v="1"/>
    <n v="11"/>
    <x v="6"/>
    <n v="26"/>
    <n v="5"/>
    <n v="35"/>
    <n v="7.3120000000000003"/>
    <x v="0"/>
    <x v="0"/>
    <x v="0"/>
  </r>
  <r>
    <s v="US-2011-133949"/>
    <d v="2011-12-31T00:00:00"/>
    <d v="2011-12-31T00:00:00"/>
    <s v="JamesLanier@gmail.com"/>
    <x v="55"/>
    <x v="6"/>
    <x v="1118"/>
    <n v="475.94400000000002"/>
    <n v="7"/>
    <n v="59.493000000000002"/>
    <x v="1"/>
    <n v="12"/>
    <x v="1"/>
    <n v="31"/>
    <n v="0"/>
    <n v="12.5"/>
    <n v="67.992000000000004"/>
    <x v="0"/>
    <x v="0"/>
    <x v="1"/>
  </r>
  <r>
    <s v="CA-2014-123624"/>
    <d v="2014-11-14T00:00:00"/>
    <d v="2014-11-18T00:00:00"/>
    <s v="SanjitEngle@gmail.com"/>
    <x v="148"/>
    <x v="7"/>
    <x v="562"/>
    <n v="82.95"/>
    <n v="5"/>
    <n v="29.032499999999999"/>
    <x v="3"/>
    <n v="11"/>
    <x v="6"/>
    <n v="14"/>
    <n v="4"/>
    <n v="35"/>
    <n v="16.59"/>
    <x v="0"/>
    <x v="0"/>
    <x v="0"/>
  </r>
  <r>
    <s v="CA-2013-146437"/>
    <d v="2013-01-28T00:00:00"/>
    <d v="2013-02-01T00:00:00"/>
    <s v="HenryGoldwyn@gmail.com"/>
    <x v="0"/>
    <x v="2"/>
    <x v="617"/>
    <n v="39.68"/>
    <n v="2"/>
    <n v="10.316800000000001"/>
    <x v="0"/>
    <n v="1"/>
    <x v="4"/>
    <n v="28"/>
    <n v="4"/>
    <n v="26"/>
    <n v="19.84"/>
    <x v="0"/>
    <x v="0"/>
    <x v="0"/>
  </r>
  <r>
    <s v="CA-2013-138233"/>
    <d v="2013-11-10T00:00:00"/>
    <d v="2013-11-15T00:00:00"/>
    <s v="PhilipFox@gmail.com"/>
    <x v="52"/>
    <x v="7"/>
    <x v="1290"/>
    <n v="479.97"/>
    <n v="3"/>
    <n v="177.5889"/>
    <x v="0"/>
    <n v="11"/>
    <x v="6"/>
    <n v="10"/>
    <n v="5"/>
    <n v="37"/>
    <n v="159.99"/>
    <x v="0"/>
    <x v="0"/>
    <x v="1"/>
  </r>
  <r>
    <s v="CA-2013-165918"/>
    <d v="2013-09-11T00:00:00"/>
    <d v="2013-09-15T00:00:00"/>
    <s v="BryanDavis@gmail.com"/>
    <x v="43"/>
    <x v="0"/>
    <x v="1156"/>
    <n v="7.38"/>
    <n v="2"/>
    <n v="3.4685999999999999"/>
    <x v="0"/>
    <n v="9"/>
    <x v="8"/>
    <n v="11"/>
    <n v="4"/>
    <n v="47"/>
    <n v="3.69"/>
    <x v="0"/>
    <x v="0"/>
    <x v="0"/>
  </r>
  <r>
    <s v="CA-2013-165918"/>
    <d v="2013-09-11T00:00:00"/>
    <d v="2013-09-15T00:00:00"/>
    <s v="BryanDavis@gmail.com"/>
    <x v="43"/>
    <x v="3"/>
    <x v="84"/>
    <n v="14.256"/>
    <n v="3"/>
    <n v="4.4550000000000001"/>
    <x v="0"/>
    <n v="9"/>
    <x v="8"/>
    <n v="11"/>
    <n v="4"/>
    <n v="31.25"/>
    <n v="4.7519999999999998"/>
    <x v="0"/>
    <x v="0"/>
    <x v="0"/>
  </r>
  <r>
    <s v="CA-2013-165918"/>
    <d v="2013-09-11T00:00:00"/>
    <d v="2013-09-15T00:00:00"/>
    <s v="BryanDavis@gmail.com"/>
    <x v="43"/>
    <x v="8"/>
    <x v="1062"/>
    <n v="81.98"/>
    <n v="2"/>
    <n v="40.170200000000001"/>
    <x v="0"/>
    <n v="9"/>
    <x v="8"/>
    <n v="11"/>
    <n v="4"/>
    <n v="49"/>
    <n v="40.99"/>
    <x v="0"/>
    <x v="0"/>
    <x v="0"/>
  </r>
  <r>
    <s v="CA-2013-165918"/>
    <d v="2013-09-11T00:00:00"/>
    <d v="2013-09-15T00:00:00"/>
    <s v="BryanDavis@gmail.com"/>
    <x v="43"/>
    <x v="3"/>
    <x v="1045"/>
    <n v="39.624000000000002"/>
    <n v="3"/>
    <n v="13.868399999999999"/>
    <x v="0"/>
    <n v="9"/>
    <x v="8"/>
    <n v="11"/>
    <n v="4"/>
    <n v="35"/>
    <n v="13.208"/>
    <x v="0"/>
    <x v="0"/>
    <x v="0"/>
  </r>
  <r>
    <s v="CA-2014-117513"/>
    <d v="2014-03-04T00:00:00"/>
    <d v="2014-03-09T00:00:00"/>
    <s v="BillTyler@gmail.com"/>
    <x v="0"/>
    <x v="13"/>
    <x v="658"/>
    <n v="399.67200000000003"/>
    <n v="7"/>
    <n v="-14.9877"/>
    <x v="3"/>
    <n v="3"/>
    <x v="9"/>
    <n v="4"/>
    <n v="5"/>
    <n v="-3.75"/>
    <n v="57.095999999999997"/>
    <x v="0"/>
    <x v="1"/>
    <x v="1"/>
  </r>
  <r>
    <s v="US-2013-114230"/>
    <d v="2013-11-28T00:00:00"/>
    <d v="2013-12-02T00:00:00"/>
    <s v="ChrisMcAfee@gmail.com"/>
    <x v="7"/>
    <x v="5"/>
    <x v="579"/>
    <n v="39.808"/>
    <n v="4"/>
    <n v="3.9807999999999999"/>
    <x v="0"/>
    <n v="11"/>
    <x v="6"/>
    <n v="28"/>
    <n v="4"/>
    <n v="10"/>
    <n v="9.952"/>
    <x v="1"/>
    <x v="0"/>
    <x v="0"/>
  </r>
  <r>
    <s v="CA-2012-156118"/>
    <d v="2012-12-08T00:00:00"/>
    <d v="2012-12-12T00:00:00"/>
    <s v="HenryGoldwyn@gmail.com"/>
    <x v="19"/>
    <x v="8"/>
    <x v="1291"/>
    <n v="15.696"/>
    <n v="3"/>
    <n v="5.1012000000000004"/>
    <x v="2"/>
    <n v="12"/>
    <x v="1"/>
    <n v="8"/>
    <n v="4"/>
    <n v="32.5"/>
    <n v="5.2320000000000002"/>
    <x v="0"/>
    <x v="0"/>
    <x v="0"/>
  </r>
  <r>
    <s v="CA-2014-151281"/>
    <d v="2014-04-28T00:00:00"/>
    <d v="2014-05-03T00:00:00"/>
    <s v="HenryMacAllister@gmail.com"/>
    <x v="1"/>
    <x v="1"/>
    <x v="16"/>
    <n v="139.58000000000001"/>
    <n v="7"/>
    <n v="39.0824"/>
    <x v="3"/>
    <n v="4"/>
    <x v="10"/>
    <n v="28"/>
    <n v="5"/>
    <n v="28"/>
    <n v="19.940000000000001"/>
    <x v="0"/>
    <x v="0"/>
    <x v="0"/>
  </r>
  <r>
    <s v="CA-2014-147767"/>
    <d v="2014-12-03T00:00:00"/>
    <d v="2014-12-03T00:00:00"/>
    <s v="SusanVittorini@gmail.com"/>
    <x v="81"/>
    <x v="3"/>
    <x v="130"/>
    <n v="67.86"/>
    <n v="6"/>
    <n v="-45.24"/>
    <x v="3"/>
    <n v="12"/>
    <x v="1"/>
    <n v="3"/>
    <n v="0"/>
    <n v="-66.67"/>
    <n v="11.31"/>
    <x v="0"/>
    <x v="1"/>
    <x v="0"/>
  </r>
  <r>
    <s v="CA-2013-113341"/>
    <d v="2013-11-26T00:00:00"/>
    <d v="2013-11-30T00:00:00"/>
    <s v="MarkHamilton@gmail.com"/>
    <x v="0"/>
    <x v="9"/>
    <x v="1265"/>
    <n v="194.352"/>
    <n v="3"/>
    <n v="19.435199999999998"/>
    <x v="0"/>
    <n v="11"/>
    <x v="6"/>
    <n v="26"/>
    <n v="4"/>
    <n v="10"/>
    <n v="64.784000000000006"/>
    <x v="1"/>
    <x v="0"/>
    <x v="0"/>
  </r>
  <r>
    <s v="CA-2011-142769"/>
    <d v="2011-09-13T00:00:00"/>
    <d v="2011-09-13T00:00:00"/>
    <s v="ResiPÃ¶lking@gmail.com"/>
    <x v="1"/>
    <x v="10"/>
    <x v="1292"/>
    <n v="5.7"/>
    <n v="5"/>
    <n v="2.6789999999999998"/>
    <x v="1"/>
    <n v="9"/>
    <x v="8"/>
    <n v="13"/>
    <n v="0"/>
    <n v="47"/>
    <n v="1.1399999999999999"/>
    <x v="0"/>
    <x v="0"/>
    <x v="0"/>
  </r>
  <r>
    <s v="CA-2011-142769"/>
    <d v="2011-09-13T00:00:00"/>
    <d v="2011-09-13T00:00:00"/>
    <s v="ResiPÃ¶lking@gmail.com"/>
    <x v="1"/>
    <x v="1"/>
    <x v="78"/>
    <n v="14.19"/>
    <n v="3"/>
    <n v="5.5340999999999996"/>
    <x v="1"/>
    <n v="9"/>
    <x v="8"/>
    <n v="13"/>
    <n v="0"/>
    <n v="39"/>
    <n v="4.7300000000000004"/>
    <x v="0"/>
    <x v="0"/>
    <x v="0"/>
  </r>
  <r>
    <s v="CA-2011-142769"/>
    <d v="2011-09-13T00:00:00"/>
    <d v="2011-09-13T00:00:00"/>
    <s v="ResiPÃ¶lking@gmail.com"/>
    <x v="1"/>
    <x v="11"/>
    <x v="156"/>
    <n v="7.3"/>
    <n v="2"/>
    <n v="2.19"/>
    <x v="1"/>
    <n v="9"/>
    <x v="8"/>
    <n v="13"/>
    <n v="0"/>
    <n v="30"/>
    <n v="3.65"/>
    <x v="0"/>
    <x v="0"/>
    <x v="0"/>
  </r>
  <r>
    <s v="CA-2011-142769"/>
    <d v="2011-09-13T00:00:00"/>
    <d v="2011-09-13T00:00:00"/>
    <s v="ResiPÃ¶lking@gmail.com"/>
    <x v="1"/>
    <x v="7"/>
    <x v="255"/>
    <n v="199.98"/>
    <n v="2"/>
    <n v="75.992400000000004"/>
    <x v="1"/>
    <n v="9"/>
    <x v="8"/>
    <n v="13"/>
    <n v="0"/>
    <n v="38"/>
    <n v="99.99"/>
    <x v="0"/>
    <x v="0"/>
    <x v="0"/>
  </r>
  <r>
    <s v="CA-2011-142769"/>
    <d v="2011-09-13T00:00:00"/>
    <d v="2011-09-13T00:00:00"/>
    <s v="ResiPÃ¶lking@gmail.com"/>
    <x v="1"/>
    <x v="7"/>
    <x v="701"/>
    <n v="144.96"/>
    <n v="4"/>
    <n v="60.883200000000002"/>
    <x v="1"/>
    <n v="9"/>
    <x v="8"/>
    <n v="13"/>
    <n v="0"/>
    <n v="42"/>
    <n v="36.24"/>
    <x v="0"/>
    <x v="0"/>
    <x v="0"/>
  </r>
  <r>
    <s v="CA-2011-142769"/>
    <d v="2011-09-13T00:00:00"/>
    <d v="2011-09-13T00:00:00"/>
    <s v="ResiPÃ¶lking@gmail.com"/>
    <x v="1"/>
    <x v="7"/>
    <x v="353"/>
    <n v="118"/>
    <n v="2"/>
    <n v="20.059999999999999"/>
    <x v="1"/>
    <n v="9"/>
    <x v="8"/>
    <n v="13"/>
    <n v="0"/>
    <n v="17"/>
    <n v="59"/>
    <x v="0"/>
    <x v="0"/>
    <x v="0"/>
  </r>
  <r>
    <s v="CA-2011-142769"/>
    <d v="2011-09-13T00:00:00"/>
    <d v="2011-09-13T00:00:00"/>
    <s v="ResiPÃ¶lking@gmail.com"/>
    <x v="1"/>
    <x v="8"/>
    <x v="802"/>
    <n v="48.94"/>
    <n v="1"/>
    <n v="24.47"/>
    <x v="1"/>
    <n v="9"/>
    <x v="8"/>
    <n v="13"/>
    <n v="0"/>
    <n v="50"/>
    <n v="48.94"/>
    <x v="0"/>
    <x v="0"/>
    <x v="0"/>
  </r>
  <r>
    <s v="CA-2011-142769"/>
    <d v="2011-09-13T00:00:00"/>
    <d v="2011-09-13T00:00:00"/>
    <s v="ResiPÃ¶lking@gmail.com"/>
    <x v="1"/>
    <x v="4"/>
    <x v="725"/>
    <n v="22.66"/>
    <n v="2"/>
    <n v="9.7438000000000002"/>
    <x v="1"/>
    <n v="9"/>
    <x v="8"/>
    <n v="13"/>
    <n v="0"/>
    <n v="43"/>
    <n v="11.33"/>
    <x v="0"/>
    <x v="0"/>
    <x v="0"/>
  </r>
  <r>
    <s v="CA-2014-126634"/>
    <d v="2014-03-31T00:00:00"/>
    <d v="2014-04-02T00:00:00"/>
    <s v="AlanBarnes@gmail.com"/>
    <x v="116"/>
    <x v="1"/>
    <x v="468"/>
    <n v="94.2"/>
    <n v="5"/>
    <n v="39.564"/>
    <x v="3"/>
    <n v="3"/>
    <x v="9"/>
    <n v="31"/>
    <n v="2"/>
    <n v="42"/>
    <n v="18.84"/>
    <x v="0"/>
    <x v="0"/>
    <x v="0"/>
  </r>
  <r>
    <s v="CA-2013-118500"/>
    <d v="2013-11-18T00:00:00"/>
    <d v="2013-11-19T00:00:00"/>
    <s v="HeatherJas@gmail.com"/>
    <x v="3"/>
    <x v="11"/>
    <x v="492"/>
    <n v="49.5"/>
    <n v="5"/>
    <n v="13.365"/>
    <x v="0"/>
    <n v="11"/>
    <x v="6"/>
    <n v="18"/>
    <n v="1"/>
    <n v="27"/>
    <n v="9.9"/>
    <x v="0"/>
    <x v="0"/>
    <x v="0"/>
  </r>
  <r>
    <s v="CA-2013-149916"/>
    <d v="2013-12-23T00:00:00"/>
    <d v="2013-12-25T00:00:00"/>
    <s v="EmilyDucich@gmail.com"/>
    <x v="1"/>
    <x v="3"/>
    <x v="51"/>
    <n v="55.36"/>
    <n v="4"/>
    <n v="19.376000000000001"/>
    <x v="0"/>
    <n v="12"/>
    <x v="1"/>
    <n v="23"/>
    <n v="2"/>
    <n v="35"/>
    <n v="13.84"/>
    <x v="0"/>
    <x v="0"/>
    <x v="0"/>
  </r>
  <r>
    <s v="CA-2013-149916"/>
    <d v="2013-12-23T00:00:00"/>
    <d v="2013-12-25T00:00:00"/>
    <s v="EmilyDucich@gmail.com"/>
    <x v="1"/>
    <x v="15"/>
    <x v="1293"/>
    <n v="11.56"/>
    <n v="1"/>
    <n v="3.7570000000000001"/>
    <x v="0"/>
    <n v="12"/>
    <x v="1"/>
    <n v="23"/>
    <n v="2"/>
    <n v="32.5"/>
    <n v="11.56"/>
    <x v="0"/>
    <x v="0"/>
    <x v="0"/>
  </r>
  <r>
    <s v="CA-2012-158918"/>
    <d v="2012-12-20T00:00:00"/>
    <d v="2012-12-25T00:00:00"/>
    <s v="ArianneIrving@gmail.com"/>
    <x v="0"/>
    <x v="8"/>
    <x v="50"/>
    <n v="17.12"/>
    <n v="4"/>
    <n v="7.7039999999999997"/>
    <x v="2"/>
    <n v="12"/>
    <x v="1"/>
    <n v="20"/>
    <n v="5"/>
    <n v="45"/>
    <n v="4.28"/>
    <x v="0"/>
    <x v="0"/>
    <x v="0"/>
  </r>
  <r>
    <s v="CA-2014-101665"/>
    <d v="2014-11-26T00:00:00"/>
    <d v="2014-12-02T00:00:00"/>
    <s v="TracyZic@gmail.com"/>
    <x v="3"/>
    <x v="2"/>
    <x v="217"/>
    <n v="5.16"/>
    <n v="2"/>
    <n v="1.3415999999999999"/>
    <x v="3"/>
    <n v="11"/>
    <x v="6"/>
    <n v="26"/>
    <n v="6"/>
    <n v="26"/>
    <n v="2.58"/>
    <x v="0"/>
    <x v="0"/>
    <x v="0"/>
  </r>
  <r>
    <s v="CA-2013-155446"/>
    <d v="2013-12-17T00:00:00"/>
    <d v="2013-12-24T00:00:00"/>
    <s v="TanjaNorvell@gmail.com"/>
    <x v="16"/>
    <x v="7"/>
    <x v="122"/>
    <n v="21.21"/>
    <n v="7"/>
    <n v="4.4541000000000004"/>
    <x v="0"/>
    <n v="12"/>
    <x v="1"/>
    <n v="17"/>
    <n v="7"/>
    <n v="21"/>
    <n v="3.03"/>
    <x v="0"/>
    <x v="0"/>
    <x v="0"/>
  </r>
  <r>
    <s v="CA-2013-144015"/>
    <d v="2013-06-27T00:00:00"/>
    <d v="2013-06-27T00:00:00"/>
    <s v="AdamHart@gmail.com"/>
    <x v="0"/>
    <x v="11"/>
    <x v="114"/>
    <n v="231.72"/>
    <n v="2"/>
    <n v="11.586"/>
    <x v="0"/>
    <n v="6"/>
    <x v="0"/>
    <n v="27"/>
    <n v="0"/>
    <n v="5"/>
    <n v="115.86"/>
    <x v="0"/>
    <x v="0"/>
    <x v="1"/>
  </r>
  <r>
    <s v="CA-2013-144015"/>
    <d v="2013-06-27T00:00:00"/>
    <d v="2013-06-27T00:00:00"/>
    <s v="AdamHart@gmail.com"/>
    <x v="0"/>
    <x v="10"/>
    <x v="82"/>
    <n v="17.899999999999999"/>
    <n v="5"/>
    <n v="8.9499999999999993"/>
    <x v="0"/>
    <n v="6"/>
    <x v="0"/>
    <n v="27"/>
    <n v="0"/>
    <n v="50"/>
    <n v="3.58"/>
    <x v="0"/>
    <x v="0"/>
    <x v="0"/>
  </r>
  <r>
    <s v="CA-2013-144015"/>
    <d v="2013-06-27T00:00:00"/>
    <d v="2013-06-27T00:00:00"/>
    <s v="AdamHart@gmail.com"/>
    <x v="0"/>
    <x v="8"/>
    <x v="483"/>
    <n v="12.48"/>
    <n v="2"/>
    <n v="5.6159999999999997"/>
    <x v="0"/>
    <n v="6"/>
    <x v="0"/>
    <n v="27"/>
    <n v="0"/>
    <n v="45"/>
    <n v="6.24"/>
    <x v="0"/>
    <x v="0"/>
    <x v="0"/>
  </r>
  <r>
    <s v="CA-2013-118311"/>
    <d v="2013-10-25T00:00:00"/>
    <d v="2013-10-29T00:00:00"/>
    <s v="EmilyDucich@gmail.com"/>
    <x v="3"/>
    <x v="7"/>
    <x v="1003"/>
    <n v="450"/>
    <n v="5"/>
    <n v="162"/>
    <x v="0"/>
    <n v="10"/>
    <x v="7"/>
    <n v="25"/>
    <n v="4"/>
    <n v="36"/>
    <n v="90"/>
    <x v="0"/>
    <x v="0"/>
    <x v="1"/>
  </r>
  <r>
    <s v="CA-2014-127096"/>
    <d v="2014-09-16T00:00:00"/>
    <d v="2014-09-18T00:00:00"/>
    <s v="ChristopherSchild@gmail.com"/>
    <x v="3"/>
    <x v="13"/>
    <x v="318"/>
    <n v="300.904"/>
    <n v="1"/>
    <n v="11.283899999999999"/>
    <x v="3"/>
    <n v="9"/>
    <x v="8"/>
    <n v="16"/>
    <n v="2"/>
    <n v="3.75"/>
    <n v="300.904"/>
    <x v="0"/>
    <x v="0"/>
    <x v="1"/>
  </r>
  <r>
    <s v="US-2011-132745"/>
    <d v="2011-10-01T00:00:00"/>
    <d v="2011-10-05T00:00:00"/>
    <s v="NeilFranzÃ¶sisch@gmail.com"/>
    <x v="55"/>
    <x v="10"/>
    <x v="1294"/>
    <n v="4.71"/>
    <n v="1"/>
    <n v="0"/>
    <x v="1"/>
    <n v="10"/>
    <x v="7"/>
    <n v="1"/>
    <n v="4"/>
    <n v="0"/>
    <n v="4.71"/>
    <x v="1"/>
    <x v="0"/>
    <x v="0"/>
  </r>
  <r>
    <s v="CA-2011-119144"/>
    <d v="2011-11-16T00:00:00"/>
    <d v="2011-11-18T00:00:00"/>
    <s v="JustinDeggeller@gmail.com"/>
    <x v="0"/>
    <x v="6"/>
    <x v="1144"/>
    <n v="79.968000000000004"/>
    <n v="4"/>
    <n v="-17.992799999999999"/>
    <x v="1"/>
    <n v="11"/>
    <x v="6"/>
    <n v="16"/>
    <n v="2"/>
    <n v="-22.5"/>
    <n v="19.992000000000001"/>
    <x v="0"/>
    <x v="1"/>
    <x v="0"/>
  </r>
  <r>
    <s v="CA-2011-119144"/>
    <d v="2011-11-16T00:00:00"/>
    <d v="2011-11-18T00:00:00"/>
    <s v="JustinDeggeller@gmail.com"/>
    <x v="0"/>
    <x v="14"/>
    <x v="370"/>
    <n v="305.97449999999998"/>
    <n v="3"/>
    <n v="25.197900000000001"/>
    <x v="1"/>
    <n v="11"/>
    <x v="6"/>
    <n v="16"/>
    <n v="2"/>
    <n v="8.24"/>
    <n v="101.9915"/>
    <x v="0"/>
    <x v="0"/>
    <x v="1"/>
  </r>
  <r>
    <s v="CA-2011-119144"/>
    <d v="2011-11-16T00:00:00"/>
    <d v="2011-11-18T00:00:00"/>
    <s v="JustinDeggeller@gmail.com"/>
    <x v="0"/>
    <x v="5"/>
    <x v="925"/>
    <n v="344.91"/>
    <n v="3"/>
    <n v="10.347300000000001"/>
    <x v="1"/>
    <n v="11"/>
    <x v="6"/>
    <n v="16"/>
    <n v="2"/>
    <n v="3"/>
    <n v="114.97"/>
    <x v="0"/>
    <x v="0"/>
    <x v="1"/>
  </r>
  <r>
    <s v="US-2012-145422"/>
    <d v="2012-12-03T00:00:00"/>
    <d v="2012-12-07T00:00:00"/>
    <s v="PierreWener@gmail.com"/>
    <x v="3"/>
    <x v="14"/>
    <x v="958"/>
    <n v="359.49900000000002"/>
    <n v="3"/>
    <n v="-29.605799999999999"/>
    <x v="2"/>
    <n v="12"/>
    <x v="1"/>
    <n v="3"/>
    <n v="4"/>
    <n v="-8.24"/>
    <n v="119.833"/>
    <x v="0"/>
    <x v="1"/>
    <x v="1"/>
  </r>
  <r>
    <s v="CA-2014-136623"/>
    <d v="2014-07-12T00:00:00"/>
    <d v="2014-07-17T00:00:00"/>
    <s v="TomStivers@gmail.com"/>
    <x v="16"/>
    <x v="6"/>
    <x v="1295"/>
    <n v="71.951999999999998"/>
    <n v="6"/>
    <n v="5.3963999999999999"/>
    <x v="3"/>
    <n v="7"/>
    <x v="5"/>
    <n v="12"/>
    <n v="5"/>
    <n v="7.5"/>
    <n v="11.992000000000001"/>
    <x v="0"/>
    <x v="0"/>
    <x v="0"/>
  </r>
  <r>
    <s v="CA-2014-136623"/>
    <d v="2014-07-12T00:00:00"/>
    <d v="2014-07-17T00:00:00"/>
    <s v="TomStivers@gmail.com"/>
    <x v="16"/>
    <x v="3"/>
    <x v="340"/>
    <n v="29.8"/>
    <n v="5"/>
    <n v="9.3125"/>
    <x v="3"/>
    <n v="7"/>
    <x v="5"/>
    <n v="12"/>
    <n v="5"/>
    <n v="31.25"/>
    <n v="5.96"/>
    <x v="0"/>
    <x v="0"/>
    <x v="0"/>
  </r>
  <r>
    <s v="CA-2014-148145"/>
    <d v="2014-03-19T00:00:00"/>
    <d v="2014-03-24T00:00:00"/>
    <s v="ScottWilliamson@gmail.com"/>
    <x v="1"/>
    <x v="2"/>
    <x v="219"/>
    <n v="46.2"/>
    <n v="4"/>
    <n v="21.251999999999999"/>
    <x v="3"/>
    <n v="3"/>
    <x v="9"/>
    <n v="19"/>
    <n v="5"/>
    <n v="46"/>
    <n v="11.55"/>
    <x v="0"/>
    <x v="0"/>
    <x v="0"/>
  </r>
  <r>
    <s v="CA-2014-116988"/>
    <d v="2014-06-28T00:00:00"/>
    <d v="2014-06-30T00:00:00"/>
    <s v="PaulineWebber@gmail.com"/>
    <x v="1"/>
    <x v="8"/>
    <x v="1173"/>
    <n v="19.440000000000001"/>
    <n v="3"/>
    <n v="9.3312000000000008"/>
    <x v="3"/>
    <n v="6"/>
    <x v="0"/>
    <n v="28"/>
    <n v="2"/>
    <n v="48"/>
    <n v="6.48"/>
    <x v="0"/>
    <x v="0"/>
    <x v="0"/>
  </r>
  <r>
    <s v="CA-2014-116988"/>
    <d v="2014-06-28T00:00:00"/>
    <d v="2014-06-30T00:00:00"/>
    <s v="PaulineWebber@gmail.com"/>
    <x v="1"/>
    <x v="1"/>
    <x v="1296"/>
    <n v="126.3"/>
    <n v="3"/>
    <n v="40.415999999999997"/>
    <x v="3"/>
    <n v="6"/>
    <x v="0"/>
    <n v="28"/>
    <n v="2"/>
    <n v="32"/>
    <n v="42.1"/>
    <x v="0"/>
    <x v="0"/>
    <x v="0"/>
  </r>
  <r>
    <s v="US-2012-144771"/>
    <d v="2012-10-02T00:00:00"/>
    <d v="2012-10-04T00:00:00"/>
    <s v="ChlorisKastensmidt@gmail.com"/>
    <x v="156"/>
    <x v="1"/>
    <x v="608"/>
    <n v="11.032"/>
    <n v="1"/>
    <n v="3.0337999999999998"/>
    <x v="2"/>
    <n v="10"/>
    <x v="7"/>
    <n v="2"/>
    <n v="2"/>
    <n v="27.5"/>
    <n v="11.032"/>
    <x v="0"/>
    <x v="0"/>
    <x v="0"/>
  </r>
  <r>
    <s v="US-2012-144771"/>
    <d v="2012-10-02T00:00:00"/>
    <d v="2012-10-04T00:00:00"/>
    <s v="ChlorisKastensmidt@gmail.com"/>
    <x v="156"/>
    <x v="7"/>
    <x v="55"/>
    <n v="53.04"/>
    <n v="3"/>
    <n v="-4.641"/>
    <x v="2"/>
    <n v="10"/>
    <x v="7"/>
    <n v="2"/>
    <n v="2"/>
    <n v="-8.75"/>
    <n v="17.68"/>
    <x v="0"/>
    <x v="1"/>
    <x v="0"/>
  </r>
  <r>
    <s v="CA-2014-128076"/>
    <d v="2014-02-03T00:00:00"/>
    <d v="2014-02-08T00:00:00"/>
    <s v="BillOverfelt@gmail.com"/>
    <x v="16"/>
    <x v="1"/>
    <x v="1297"/>
    <n v="210.58"/>
    <n v="2"/>
    <n v="12.6348"/>
    <x v="3"/>
    <n v="2"/>
    <x v="11"/>
    <n v="3"/>
    <n v="5"/>
    <n v="6"/>
    <n v="105.29"/>
    <x v="0"/>
    <x v="0"/>
    <x v="0"/>
  </r>
  <r>
    <s v="CA-2014-128076"/>
    <d v="2014-02-03T00:00:00"/>
    <d v="2014-02-08T00:00:00"/>
    <s v="BillOverfelt@gmail.com"/>
    <x v="16"/>
    <x v="3"/>
    <x v="800"/>
    <n v="30.96"/>
    <n v="2"/>
    <n v="10.061999999999999"/>
    <x v="3"/>
    <n v="2"/>
    <x v="11"/>
    <n v="3"/>
    <n v="5"/>
    <n v="32.5"/>
    <n v="15.48"/>
    <x v="0"/>
    <x v="0"/>
    <x v="0"/>
  </r>
  <r>
    <s v="CA-2014-128076"/>
    <d v="2014-02-03T00:00:00"/>
    <d v="2014-02-08T00:00:00"/>
    <s v="BillOverfelt@gmail.com"/>
    <x v="16"/>
    <x v="15"/>
    <x v="1298"/>
    <n v="239.98400000000001"/>
    <n v="2"/>
    <n v="38.997399999999999"/>
    <x v="3"/>
    <n v="2"/>
    <x v="11"/>
    <n v="3"/>
    <n v="5"/>
    <n v="16.25"/>
    <n v="119.992"/>
    <x v="0"/>
    <x v="0"/>
    <x v="1"/>
  </r>
  <r>
    <s v="CA-2013-112578"/>
    <d v="2013-12-30T00:00:00"/>
    <d v="2014-01-03T00:00:00"/>
    <s v="FrankOlsen@gmail.com"/>
    <x v="91"/>
    <x v="5"/>
    <x v="251"/>
    <n v="14.03"/>
    <n v="1"/>
    <n v="4.0686999999999998"/>
    <x v="0"/>
    <n v="12"/>
    <x v="1"/>
    <n v="30"/>
    <n v="4"/>
    <n v="29"/>
    <n v="14.03"/>
    <x v="0"/>
    <x v="0"/>
    <x v="0"/>
  </r>
  <r>
    <s v="CA-2013-112578"/>
    <d v="2013-12-30T00:00:00"/>
    <d v="2014-01-03T00:00:00"/>
    <s v="FrankOlsen@gmail.com"/>
    <x v="91"/>
    <x v="11"/>
    <x v="930"/>
    <n v="27.96"/>
    <n v="2"/>
    <n v="7.2695999999999996"/>
    <x v="0"/>
    <n v="12"/>
    <x v="1"/>
    <n v="30"/>
    <n v="4"/>
    <n v="26"/>
    <n v="13.98"/>
    <x v="0"/>
    <x v="0"/>
    <x v="0"/>
  </r>
  <r>
    <s v="CA-2013-151148"/>
    <d v="2013-09-13T00:00:00"/>
    <d v="2013-09-14T00:00:00"/>
    <s v="PhilisseOvercash@gmail.com"/>
    <x v="28"/>
    <x v="6"/>
    <x v="1299"/>
    <n v="146.952"/>
    <n v="3"/>
    <n v="9.1844999999999999"/>
    <x v="0"/>
    <n v="9"/>
    <x v="8"/>
    <n v="13"/>
    <n v="1"/>
    <n v="6.25"/>
    <n v="48.984000000000002"/>
    <x v="0"/>
    <x v="0"/>
    <x v="0"/>
  </r>
  <r>
    <s v="CA-2013-151148"/>
    <d v="2013-09-13T00:00:00"/>
    <d v="2013-09-14T00:00:00"/>
    <s v="PhilisseOvercash@gmail.com"/>
    <x v="28"/>
    <x v="9"/>
    <x v="575"/>
    <n v="83.135999999999996"/>
    <n v="4"/>
    <n v="5.1959999999999997"/>
    <x v="0"/>
    <n v="9"/>
    <x v="8"/>
    <n v="13"/>
    <n v="1"/>
    <n v="6.25"/>
    <n v="20.783999999999999"/>
    <x v="0"/>
    <x v="0"/>
    <x v="0"/>
  </r>
  <r>
    <s v="CA-2012-165813"/>
    <d v="2012-03-20T00:00:00"/>
    <d v="2012-03-22T00:00:00"/>
    <s v="BryanMills@gmail.com"/>
    <x v="35"/>
    <x v="5"/>
    <x v="1073"/>
    <n v="29.303999999999998"/>
    <n v="3"/>
    <n v="2.5640999999999998"/>
    <x v="2"/>
    <n v="3"/>
    <x v="9"/>
    <n v="20"/>
    <n v="2"/>
    <n v="8.75"/>
    <n v="9.7679999999999989"/>
    <x v="0"/>
    <x v="0"/>
    <x v="0"/>
  </r>
  <r>
    <s v="CA-2013-116911"/>
    <d v="2013-09-16T00:00:00"/>
    <d v="2013-09-21T00:00:00"/>
    <s v="JustinDeggeller@gmail.com"/>
    <x v="163"/>
    <x v="3"/>
    <x v="1262"/>
    <n v="20.416"/>
    <n v="4"/>
    <n v="6.6352000000000002"/>
    <x v="0"/>
    <n v="9"/>
    <x v="8"/>
    <n v="16"/>
    <n v="5"/>
    <n v="32.5"/>
    <n v="5.1040000000000001"/>
    <x v="0"/>
    <x v="0"/>
    <x v="0"/>
  </r>
  <r>
    <s v="CA-2014-145765"/>
    <d v="2014-05-29T00:00:00"/>
    <d v="2014-06-03T00:00:00"/>
    <s v="CandaceMcMahon@gmail.com"/>
    <x v="7"/>
    <x v="6"/>
    <x v="1300"/>
    <n v="195.96"/>
    <n v="5"/>
    <n v="19.596"/>
    <x v="3"/>
    <n v="5"/>
    <x v="2"/>
    <n v="29"/>
    <n v="5"/>
    <n v="10"/>
    <n v="39.192"/>
    <x v="0"/>
    <x v="0"/>
    <x v="0"/>
  </r>
  <r>
    <s v="CA-2014-145765"/>
    <d v="2014-05-29T00:00:00"/>
    <d v="2014-06-03T00:00:00"/>
    <s v="CandaceMcMahon@gmail.com"/>
    <x v="7"/>
    <x v="8"/>
    <x v="668"/>
    <n v="15.552"/>
    <n v="3"/>
    <n v="5.4432"/>
    <x v="3"/>
    <n v="5"/>
    <x v="2"/>
    <n v="29"/>
    <n v="5"/>
    <n v="35"/>
    <n v="5.1840000000000002"/>
    <x v="0"/>
    <x v="0"/>
    <x v="0"/>
  </r>
  <r>
    <s v="CA-2014-145765"/>
    <d v="2014-05-29T00:00:00"/>
    <d v="2014-06-03T00:00:00"/>
    <s v="CandaceMcMahon@gmail.com"/>
    <x v="7"/>
    <x v="7"/>
    <x v="1171"/>
    <n v="271.96800000000002"/>
    <n v="4"/>
    <n v="54.393599999999999"/>
    <x v="3"/>
    <n v="5"/>
    <x v="2"/>
    <n v="29"/>
    <n v="5"/>
    <n v="20"/>
    <n v="67.992000000000004"/>
    <x v="0"/>
    <x v="0"/>
    <x v="1"/>
  </r>
  <r>
    <s v="CA-2011-162992"/>
    <d v="2011-12-19T00:00:00"/>
    <d v="2011-12-21T00:00:00"/>
    <s v="BartPistole@gmail.com"/>
    <x v="0"/>
    <x v="0"/>
    <x v="1141"/>
    <n v="14.62"/>
    <n v="2"/>
    <n v="6.8714000000000004"/>
    <x v="1"/>
    <n v="12"/>
    <x v="1"/>
    <n v="19"/>
    <n v="2"/>
    <n v="47"/>
    <n v="7.31"/>
    <x v="0"/>
    <x v="0"/>
    <x v="0"/>
  </r>
  <r>
    <s v="CA-2011-162992"/>
    <d v="2011-12-19T00:00:00"/>
    <d v="2011-12-21T00:00:00"/>
    <s v="BartPistole@gmail.com"/>
    <x v="0"/>
    <x v="10"/>
    <x v="519"/>
    <n v="22.55"/>
    <n v="5"/>
    <n v="8.7944999999999993"/>
    <x v="1"/>
    <n v="12"/>
    <x v="1"/>
    <n v="19"/>
    <n v="2"/>
    <n v="39"/>
    <n v="4.51"/>
    <x v="0"/>
    <x v="0"/>
    <x v="0"/>
  </r>
  <r>
    <s v="CA-2011-162992"/>
    <d v="2011-12-19T00:00:00"/>
    <d v="2011-12-21T00:00:00"/>
    <s v="BartPistole@gmail.com"/>
    <x v="0"/>
    <x v="6"/>
    <x v="698"/>
    <n v="211.16800000000001"/>
    <n v="4"/>
    <n v="15.8376"/>
    <x v="1"/>
    <n v="12"/>
    <x v="1"/>
    <n v="19"/>
    <n v="2"/>
    <n v="7.5"/>
    <n v="52.792000000000002"/>
    <x v="0"/>
    <x v="0"/>
    <x v="0"/>
  </r>
  <r>
    <s v="CA-2013-106397"/>
    <d v="2013-07-08T00:00:00"/>
    <d v="2013-07-14T00:00:00"/>
    <s v="MaxJones@gmail.com"/>
    <x v="40"/>
    <x v="8"/>
    <x v="145"/>
    <n v="12.96"/>
    <n v="2"/>
    <n v="6.2207999999999997"/>
    <x v="0"/>
    <n v="7"/>
    <x v="5"/>
    <n v="8"/>
    <n v="6"/>
    <n v="48"/>
    <n v="6.48"/>
    <x v="0"/>
    <x v="0"/>
    <x v="0"/>
  </r>
  <r>
    <s v="CA-2013-106397"/>
    <d v="2013-07-08T00:00:00"/>
    <d v="2013-07-14T00:00:00"/>
    <s v="MaxJones@gmail.com"/>
    <x v="40"/>
    <x v="2"/>
    <x v="991"/>
    <n v="45.98"/>
    <n v="2"/>
    <n v="12.8744"/>
    <x v="0"/>
    <n v="7"/>
    <x v="5"/>
    <n v="8"/>
    <n v="6"/>
    <n v="28"/>
    <n v="22.99"/>
    <x v="0"/>
    <x v="0"/>
    <x v="0"/>
  </r>
  <r>
    <s v="US-2014-100398"/>
    <d v="2014-08-20T00:00:00"/>
    <d v="2014-08-24T00:00:00"/>
    <s v="DennyOrdway@gmail.com"/>
    <x v="87"/>
    <x v="3"/>
    <x v="1152"/>
    <n v="102.72"/>
    <n v="3"/>
    <n v="37.235999999999997"/>
    <x v="3"/>
    <n v="8"/>
    <x v="3"/>
    <n v="20"/>
    <n v="4"/>
    <n v="36.25"/>
    <n v="34.24"/>
    <x v="0"/>
    <x v="0"/>
    <x v="0"/>
  </r>
  <r>
    <s v="CA-2014-120614"/>
    <d v="2014-05-31T00:00:00"/>
    <d v="2014-06-05T00:00:00"/>
    <s v="SuzanneMcNair@gmail.com"/>
    <x v="0"/>
    <x v="8"/>
    <x v="1169"/>
    <n v="37.520000000000003"/>
    <n v="4"/>
    <n v="18.009599999999999"/>
    <x v="3"/>
    <n v="5"/>
    <x v="2"/>
    <n v="31"/>
    <n v="5"/>
    <n v="48"/>
    <n v="9.3800000000000008"/>
    <x v="0"/>
    <x v="0"/>
    <x v="0"/>
  </r>
  <r>
    <s v="CA-2012-127754"/>
    <d v="2012-07-26T00:00:00"/>
    <d v="2012-07-31T00:00:00"/>
    <s v="CymaKinney@gmail.com"/>
    <x v="62"/>
    <x v="9"/>
    <x v="1100"/>
    <n v="266.35199999999998"/>
    <n v="3"/>
    <n v="13.317600000000001"/>
    <x v="2"/>
    <n v="7"/>
    <x v="5"/>
    <n v="26"/>
    <n v="5"/>
    <n v="5"/>
    <n v="88.783999999999992"/>
    <x v="0"/>
    <x v="0"/>
    <x v="1"/>
  </r>
  <r>
    <s v="CA-2013-167983"/>
    <d v="2013-08-22T00:00:00"/>
    <d v="2013-08-25T00:00:00"/>
    <s v="RachelPayne@gmail.com"/>
    <x v="1"/>
    <x v="3"/>
    <x v="261"/>
    <n v="33.44"/>
    <n v="10"/>
    <n v="11.704000000000001"/>
    <x v="0"/>
    <n v="8"/>
    <x v="3"/>
    <n v="22"/>
    <n v="3"/>
    <n v="35"/>
    <n v="3.3439999999999999"/>
    <x v="0"/>
    <x v="0"/>
    <x v="0"/>
  </r>
  <r>
    <s v="CA-2011-153808"/>
    <d v="2011-04-06T00:00:00"/>
    <d v="2011-04-10T00:00:00"/>
    <s v="FrankHawley@gmail.com"/>
    <x v="0"/>
    <x v="2"/>
    <x v="746"/>
    <n v="70.95"/>
    <n v="3"/>
    <n v="18.446999999999999"/>
    <x v="1"/>
    <n v="4"/>
    <x v="10"/>
    <n v="6"/>
    <n v="4"/>
    <n v="26"/>
    <n v="23.65"/>
    <x v="0"/>
    <x v="0"/>
    <x v="0"/>
  </r>
  <r>
    <s v="CA-2011-153808"/>
    <d v="2011-04-06T00:00:00"/>
    <d v="2011-04-10T00:00:00"/>
    <s v="FrankHawley@gmail.com"/>
    <x v="0"/>
    <x v="3"/>
    <x v="27"/>
    <n v="65.567999999999998"/>
    <n v="2"/>
    <n v="23.7684"/>
    <x v="1"/>
    <n v="4"/>
    <x v="10"/>
    <n v="6"/>
    <n v="4"/>
    <n v="36.25"/>
    <n v="32.783999999999999"/>
    <x v="0"/>
    <x v="0"/>
    <x v="0"/>
  </r>
  <r>
    <s v="CA-2011-153808"/>
    <d v="2011-04-06T00:00:00"/>
    <d v="2011-04-10T00:00:00"/>
    <s v="FrankHawley@gmail.com"/>
    <x v="0"/>
    <x v="7"/>
    <x v="555"/>
    <n v="299.97000000000003"/>
    <n v="3"/>
    <n v="131.98679999999999"/>
    <x v="1"/>
    <n v="4"/>
    <x v="10"/>
    <n v="6"/>
    <n v="4"/>
    <n v="44"/>
    <n v="99.990000000000009"/>
    <x v="0"/>
    <x v="0"/>
    <x v="1"/>
  </r>
  <r>
    <s v="US-2013-112396"/>
    <d v="2013-02-09T00:00:00"/>
    <d v="2013-02-13T00:00:00"/>
    <s v="JustinRitter@gmail.com"/>
    <x v="3"/>
    <x v="7"/>
    <x v="66"/>
    <n v="89.97"/>
    <n v="3"/>
    <n v="39.586799999999997"/>
    <x v="0"/>
    <n v="2"/>
    <x v="11"/>
    <n v="9"/>
    <n v="4"/>
    <n v="44"/>
    <n v="29.99"/>
    <x v="0"/>
    <x v="0"/>
    <x v="0"/>
  </r>
  <r>
    <s v="US-2013-112396"/>
    <d v="2013-02-09T00:00:00"/>
    <d v="2013-02-13T00:00:00"/>
    <s v="JustinRitter@gmail.com"/>
    <x v="3"/>
    <x v="7"/>
    <x v="1301"/>
    <n v="31.86"/>
    <n v="2"/>
    <n v="11.151"/>
    <x v="0"/>
    <n v="2"/>
    <x v="11"/>
    <n v="9"/>
    <n v="4"/>
    <n v="35"/>
    <n v="15.93"/>
    <x v="0"/>
    <x v="0"/>
    <x v="0"/>
  </r>
  <r>
    <s v="CA-2014-163671"/>
    <d v="2014-12-25T00:00:00"/>
    <d v="2014-12-31T00:00:00"/>
    <s v="DavePoirier@gmail.com"/>
    <x v="107"/>
    <x v="3"/>
    <x v="1302"/>
    <n v="21.312000000000001"/>
    <n v="3"/>
    <n v="7.992"/>
    <x v="3"/>
    <n v="12"/>
    <x v="1"/>
    <n v="25"/>
    <n v="6"/>
    <n v="37.5"/>
    <n v="7.1040000000000001"/>
    <x v="0"/>
    <x v="0"/>
    <x v="0"/>
  </r>
  <r>
    <s v="CA-2014-135909"/>
    <d v="2014-10-14T00:00:00"/>
    <d v="2014-10-21T00:00:00"/>
    <s v="JaneWaco@gmail.com"/>
    <x v="91"/>
    <x v="7"/>
    <x v="894"/>
    <n v="209.94"/>
    <n v="6"/>
    <n v="39.888599999999997"/>
    <x v="3"/>
    <n v="10"/>
    <x v="7"/>
    <n v="14"/>
    <n v="7"/>
    <n v="19"/>
    <n v="34.99"/>
    <x v="0"/>
    <x v="0"/>
    <x v="0"/>
  </r>
  <r>
    <s v="CA-2014-135909"/>
    <d v="2014-10-14T00:00:00"/>
    <d v="2014-10-21T00:00:00"/>
    <s v="JaneWaco@gmail.com"/>
    <x v="91"/>
    <x v="6"/>
    <x v="1172"/>
    <n v="31.984000000000002"/>
    <n v="2"/>
    <n v="-7.9960000000000004"/>
    <x v="3"/>
    <n v="10"/>
    <x v="7"/>
    <n v="14"/>
    <n v="7"/>
    <n v="-25"/>
    <n v="15.992000000000001"/>
    <x v="0"/>
    <x v="1"/>
    <x v="0"/>
  </r>
  <r>
    <s v="CA-2014-101805"/>
    <d v="2014-12-02T00:00:00"/>
    <d v="2014-12-07T00:00:00"/>
    <s v="SallyHughsby@gmail.com"/>
    <x v="1"/>
    <x v="3"/>
    <x v="891"/>
    <n v="15.92"/>
    <n v="5"/>
    <n v="5.3730000000000002"/>
    <x v="3"/>
    <n v="12"/>
    <x v="1"/>
    <n v="2"/>
    <n v="5"/>
    <n v="33.75"/>
    <n v="3.1840000000000002"/>
    <x v="0"/>
    <x v="0"/>
    <x v="0"/>
  </r>
  <r>
    <s v="CA-2014-101805"/>
    <d v="2014-12-02T00:00:00"/>
    <d v="2014-12-07T00:00:00"/>
    <s v="SallyHughsby@gmail.com"/>
    <x v="1"/>
    <x v="1"/>
    <x v="112"/>
    <n v="70.680000000000007"/>
    <n v="12"/>
    <n v="31.0992"/>
    <x v="3"/>
    <n v="12"/>
    <x v="1"/>
    <n v="2"/>
    <n v="5"/>
    <n v="44"/>
    <n v="5.8900000000000006"/>
    <x v="0"/>
    <x v="0"/>
    <x v="0"/>
  </r>
  <r>
    <s v="US-2012-107944"/>
    <d v="2012-03-23T00:00:00"/>
    <d v="2012-03-25T00:00:00"/>
    <s v="AliceMcCarthy@gmail.com"/>
    <x v="0"/>
    <x v="8"/>
    <x v="1007"/>
    <n v="192.72"/>
    <n v="11"/>
    <n v="92.505600000000001"/>
    <x v="2"/>
    <n v="3"/>
    <x v="9"/>
    <n v="23"/>
    <n v="2"/>
    <n v="48"/>
    <n v="17.52"/>
    <x v="0"/>
    <x v="0"/>
    <x v="0"/>
  </r>
  <r>
    <s v="US-2012-107944"/>
    <d v="2012-03-23T00:00:00"/>
    <d v="2012-03-25T00:00:00"/>
    <s v="AliceMcCarthy@gmail.com"/>
    <x v="0"/>
    <x v="7"/>
    <x v="945"/>
    <n v="239.97"/>
    <n v="3"/>
    <n v="86.389200000000002"/>
    <x v="2"/>
    <n v="3"/>
    <x v="9"/>
    <n v="23"/>
    <n v="2"/>
    <n v="36"/>
    <n v="79.989999999999995"/>
    <x v="0"/>
    <x v="0"/>
    <x v="1"/>
  </r>
  <r>
    <s v="CA-2011-169642"/>
    <d v="2011-07-27T00:00:00"/>
    <d v="2011-07-30T00:00:00"/>
    <s v="BarryBlumstein@gmail.com"/>
    <x v="0"/>
    <x v="5"/>
    <x v="1303"/>
    <n v="276.27999999999997"/>
    <n v="2"/>
    <n v="0"/>
    <x v="1"/>
    <n v="7"/>
    <x v="5"/>
    <n v="27"/>
    <n v="3"/>
    <n v="0"/>
    <n v="138.13999999999999"/>
    <x v="0"/>
    <x v="0"/>
    <x v="1"/>
  </r>
  <r>
    <s v="CA-2013-167241"/>
    <d v="2013-08-16T00:00:00"/>
    <d v="2013-08-23T00:00:00"/>
    <s v="BillDonatelli@gmail.com"/>
    <x v="0"/>
    <x v="1"/>
    <x v="1304"/>
    <n v="312.02999999999997"/>
    <n v="3"/>
    <n v="43.684199999999997"/>
    <x v="0"/>
    <n v="8"/>
    <x v="3"/>
    <n v="16"/>
    <n v="7"/>
    <n v="14"/>
    <n v="104.01"/>
    <x v="0"/>
    <x v="0"/>
    <x v="1"/>
  </r>
  <r>
    <s v="CA-2013-167241"/>
    <d v="2013-08-16T00:00:00"/>
    <d v="2013-08-23T00:00:00"/>
    <s v="BillDonatelli@gmail.com"/>
    <x v="0"/>
    <x v="5"/>
    <x v="455"/>
    <n v="17.940000000000001"/>
    <n v="3"/>
    <n v="3.0497999999999998"/>
    <x v="0"/>
    <n v="8"/>
    <x v="3"/>
    <n v="16"/>
    <n v="7"/>
    <n v="17"/>
    <n v="5.98"/>
    <x v="0"/>
    <x v="0"/>
    <x v="0"/>
  </r>
  <r>
    <s v="CA-2013-167241"/>
    <d v="2013-08-16T00:00:00"/>
    <d v="2013-08-23T00:00:00"/>
    <s v="BillDonatelli@gmail.com"/>
    <x v="0"/>
    <x v="6"/>
    <x v="1305"/>
    <n v="165.6"/>
    <n v="3"/>
    <n v="10.35"/>
    <x v="0"/>
    <n v="8"/>
    <x v="3"/>
    <n v="16"/>
    <n v="7"/>
    <n v="6.25"/>
    <n v="55.2"/>
    <x v="0"/>
    <x v="0"/>
    <x v="0"/>
  </r>
  <r>
    <s v="CA-2013-167241"/>
    <d v="2013-08-16T00:00:00"/>
    <d v="2013-08-23T00:00:00"/>
    <s v="BillDonatelli@gmail.com"/>
    <x v="0"/>
    <x v="8"/>
    <x v="1169"/>
    <n v="37.520000000000003"/>
    <n v="4"/>
    <n v="18.009599999999999"/>
    <x v="0"/>
    <n v="8"/>
    <x v="3"/>
    <n v="16"/>
    <n v="7"/>
    <n v="48"/>
    <n v="9.3800000000000008"/>
    <x v="0"/>
    <x v="0"/>
    <x v="0"/>
  </r>
  <r>
    <s v="CA-2013-139934"/>
    <d v="2013-12-19T00:00:00"/>
    <d v="2013-12-21T00:00:00"/>
    <s v="AndyYotov@gmail.com"/>
    <x v="3"/>
    <x v="6"/>
    <x v="1037"/>
    <n v="66.975999999999999"/>
    <n v="7"/>
    <n v="6.6976000000000004"/>
    <x v="0"/>
    <n v="12"/>
    <x v="1"/>
    <n v="19"/>
    <n v="2"/>
    <n v="10"/>
    <n v="9.5679999999999996"/>
    <x v="0"/>
    <x v="0"/>
    <x v="0"/>
  </r>
  <r>
    <s v="CA-2012-109603"/>
    <d v="2012-01-26T00:00:00"/>
    <d v="2012-02-01T00:00:00"/>
    <s v="ElizabethMoffitt@gmail.com"/>
    <x v="130"/>
    <x v="8"/>
    <x v="718"/>
    <n v="182.72"/>
    <n v="8"/>
    <n v="84.051199999999994"/>
    <x v="2"/>
    <n v="1"/>
    <x v="4"/>
    <n v="26"/>
    <n v="6"/>
    <n v="46"/>
    <n v="22.84"/>
    <x v="0"/>
    <x v="0"/>
    <x v="0"/>
  </r>
  <r>
    <s v="CA-2012-143616"/>
    <d v="2012-09-27T00:00:00"/>
    <d v="2012-09-29T00:00:00"/>
    <s v="SaphhiraShifley@gmail.com"/>
    <x v="1"/>
    <x v="2"/>
    <x v="433"/>
    <n v="99.2"/>
    <n v="5"/>
    <n v="25.792000000000002"/>
    <x v="2"/>
    <n v="9"/>
    <x v="8"/>
    <n v="27"/>
    <n v="2"/>
    <n v="26"/>
    <n v="19.84"/>
    <x v="0"/>
    <x v="0"/>
    <x v="0"/>
  </r>
  <r>
    <s v="CA-2012-134117"/>
    <d v="2012-12-17T00:00:00"/>
    <d v="2012-12-19T00:00:00"/>
    <s v="PaulGonzalez@gmail.com"/>
    <x v="0"/>
    <x v="2"/>
    <x v="297"/>
    <n v="204.85"/>
    <n v="5"/>
    <n v="53.261000000000003"/>
    <x v="2"/>
    <n v="12"/>
    <x v="1"/>
    <n v="17"/>
    <n v="2"/>
    <n v="26"/>
    <n v="40.97"/>
    <x v="0"/>
    <x v="0"/>
    <x v="0"/>
  </r>
  <r>
    <s v="CA-2012-134117"/>
    <d v="2012-12-17T00:00:00"/>
    <d v="2012-12-19T00:00:00"/>
    <s v="PaulGonzalez@gmail.com"/>
    <x v="0"/>
    <x v="6"/>
    <x v="1118"/>
    <n v="135.98400000000001"/>
    <n v="2"/>
    <n v="16.998000000000001"/>
    <x v="2"/>
    <n v="12"/>
    <x v="1"/>
    <n v="17"/>
    <n v="2"/>
    <n v="12.5"/>
    <n v="67.992000000000004"/>
    <x v="0"/>
    <x v="0"/>
    <x v="0"/>
  </r>
  <r>
    <s v="CA-2012-134117"/>
    <d v="2012-12-17T00:00:00"/>
    <d v="2012-12-19T00:00:00"/>
    <s v="PaulGonzalez@gmail.com"/>
    <x v="0"/>
    <x v="2"/>
    <x v="1306"/>
    <n v="16.399999999999999"/>
    <n v="5"/>
    <n v="7.0519999999999996"/>
    <x v="2"/>
    <n v="12"/>
    <x v="1"/>
    <n v="17"/>
    <n v="2"/>
    <n v="43"/>
    <n v="3.28"/>
    <x v="0"/>
    <x v="0"/>
    <x v="0"/>
  </r>
  <r>
    <s v="CA-2012-134117"/>
    <d v="2012-12-17T00:00:00"/>
    <d v="2012-12-19T00:00:00"/>
    <s v="PaulGonzalez@gmail.com"/>
    <x v="0"/>
    <x v="3"/>
    <x v="546"/>
    <n v="92.96"/>
    <n v="2"/>
    <n v="31.373999999999999"/>
    <x v="2"/>
    <n v="12"/>
    <x v="1"/>
    <n v="17"/>
    <n v="2"/>
    <n v="33.75"/>
    <n v="46.48"/>
    <x v="0"/>
    <x v="0"/>
    <x v="0"/>
  </r>
  <r>
    <s v="CA-2013-159023"/>
    <d v="2013-11-04T00:00:00"/>
    <d v="2013-11-06T00:00:00"/>
    <s v="NatalieWebber@gmail.com"/>
    <x v="5"/>
    <x v="3"/>
    <x v="818"/>
    <n v="4.1580000000000004"/>
    <n v="7"/>
    <n v="-3.4649999999999999"/>
    <x v="0"/>
    <n v="11"/>
    <x v="6"/>
    <n v="4"/>
    <n v="2"/>
    <n v="-83.33"/>
    <n v="0.59400000000000008"/>
    <x v="0"/>
    <x v="1"/>
    <x v="0"/>
  </r>
  <r>
    <s v="CA-2013-159023"/>
    <d v="2013-11-04T00:00:00"/>
    <d v="2013-11-06T00:00:00"/>
    <s v="NatalieWebber@gmail.com"/>
    <x v="5"/>
    <x v="15"/>
    <x v="1307"/>
    <n v="179.99100000000001"/>
    <n v="3"/>
    <n v="-251.98740000000001"/>
    <x v="0"/>
    <n v="11"/>
    <x v="6"/>
    <n v="4"/>
    <n v="2"/>
    <n v="-140"/>
    <n v="59.997000000000007"/>
    <x v="0"/>
    <x v="1"/>
    <x v="0"/>
  </r>
  <r>
    <s v="CA-2011-154592"/>
    <d v="2011-12-07T00:00:00"/>
    <d v="2011-12-08T00:00:00"/>
    <s v="EricaHernandez@gmail.com"/>
    <x v="3"/>
    <x v="8"/>
    <x v="584"/>
    <n v="164.88"/>
    <n v="3"/>
    <n v="80.791200000000003"/>
    <x v="1"/>
    <n v="12"/>
    <x v="1"/>
    <n v="7"/>
    <n v="1"/>
    <n v="49"/>
    <n v="54.96"/>
    <x v="0"/>
    <x v="0"/>
    <x v="0"/>
  </r>
  <r>
    <s v="CA-2011-128622"/>
    <d v="2011-11-15T00:00:00"/>
    <d v="2011-11-17T00:00:00"/>
    <s v="ScottCohen@gmail.com"/>
    <x v="3"/>
    <x v="11"/>
    <x v="156"/>
    <n v="10.95"/>
    <n v="3"/>
    <n v="3.2850000000000001"/>
    <x v="1"/>
    <n v="11"/>
    <x v="6"/>
    <n v="15"/>
    <n v="2"/>
    <n v="30"/>
    <n v="3.65"/>
    <x v="0"/>
    <x v="0"/>
    <x v="0"/>
  </r>
  <r>
    <s v="CA-2011-132913"/>
    <d v="2011-12-24T00:00:00"/>
    <d v="2011-12-26T00:00:00"/>
    <s v="AdamShillingsburg@gmail.com"/>
    <x v="16"/>
    <x v="4"/>
    <x v="1255"/>
    <n v="13.97"/>
    <n v="1"/>
    <n v="3.6322000000000001"/>
    <x v="1"/>
    <n v="12"/>
    <x v="1"/>
    <n v="24"/>
    <n v="2"/>
    <n v="26"/>
    <n v="13.97"/>
    <x v="1"/>
    <x v="0"/>
    <x v="0"/>
  </r>
  <r>
    <s v="CA-2011-126480"/>
    <d v="2011-09-20T00:00:00"/>
    <d v="2011-09-24T00:00:00"/>
    <s v="HenryGoldwyn@gmail.com"/>
    <x v="16"/>
    <x v="8"/>
    <x v="1220"/>
    <n v="8.56"/>
    <n v="2"/>
    <n v="3.8519999999999999"/>
    <x v="1"/>
    <n v="9"/>
    <x v="8"/>
    <n v="20"/>
    <n v="4"/>
    <n v="45"/>
    <n v="4.28"/>
    <x v="0"/>
    <x v="0"/>
    <x v="0"/>
  </r>
  <r>
    <s v="CA-2014-159226"/>
    <d v="2014-04-26T00:00:00"/>
    <d v="2014-04-28T00:00:00"/>
    <s v="RobLucas@gmail.com"/>
    <x v="0"/>
    <x v="14"/>
    <x v="1178"/>
    <n v="344.98099999999999"/>
    <n v="7"/>
    <n v="28.4102"/>
    <x v="3"/>
    <n v="4"/>
    <x v="10"/>
    <n v="26"/>
    <n v="2"/>
    <n v="8.24"/>
    <n v="49.283000000000001"/>
    <x v="0"/>
    <x v="0"/>
    <x v="1"/>
  </r>
  <r>
    <s v="US-2014-139577"/>
    <d v="2014-10-02T00:00:00"/>
    <d v="2014-10-07T00:00:00"/>
    <s v="TanjaNorvell@gmail.com"/>
    <x v="3"/>
    <x v="7"/>
    <x v="868"/>
    <n v="104.75"/>
    <n v="5"/>
    <n v="21.997499999999999"/>
    <x v="3"/>
    <n v="10"/>
    <x v="7"/>
    <n v="2"/>
    <n v="5"/>
    <n v="21"/>
    <n v="20.95"/>
    <x v="0"/>
    <x v="0"/>
    <x v="0"/>
  </r>
  <r>
    <s v="CA-2011-133389"/>
    <d v="2011-06-22T00:00:00"/>
    <d v="2011-06-22T00:00:00"/>
    <s v="TobyBraunhardt@gmail.com"/>
    <x v="7"/>
    <x v="3"/>
    <x v="973"/>
    <n v="8.2260000000000009"/>
    <n v="3"/>
    <n v="-6.0324"/>
    <x v="1"/>
    <n v="6"/>
    <x v="0"/>
    <n v="22"/>
    <n v="0"/>
    <n v="-73.33"/>
    <n v="2.742"/>
    <x v="1"/>
    <x v="1"/>
    <x v="0"/>
  </r>
  <r>
    <s v="CA-2012-102855"/>
    <d v="2012-04-05T00:00:00"/>
    <d v="2012-04-06T00:00:00"/>
    <s v="JenniferFerguson@gmail.com"/>
    <x v="74"/>
    <x v="7"/>
    <x v="347"/>
    <n v="239.94"/>
    <n v="6"/>
    <n v="26.3934"/>
    <x v="2"/>
    <n v="4"/>
    <x v="10"/>
    <n v="5"/>
    <n v="1"/>
    <n v="11"/>
    <n v="39.99"/>
    <x v="0"/>
    <x v="0"/>
    <x v="1"/>
  </r>
  <r>
    <s v="CA-2012-102855"/>
    <d v="2012-04-05T00:00:00"/>
    <d v="2012-04-06T00:00:00"/>
    <s v="JenniferFerguson@gmail.com"/>
    <x v="74"/>
    <x v="2"/>
    <x v="1308"/>
    <n v="23.84"/>
    <n v="8"/>
    <n v="6.4367999999999999"/>
    <x v="2"/>
    <n v="4"/>
    <x v="10"/>
    <n v="5"/>
    <n v="1"/>
    <n v="27"/>
    <n v="2.98"/>
    <x v="0"/>
    <x v="0"/>
    <x v="0"/>
  </r>
  <r>
    <s v="CA-2014-143084"/>
    <d v="2014-03-19T00:00:00"/>
    <d v="2014-03-23T00:00:00"/>
    <s v="BarryPond@gmail.com"/>
    <x v="0"/>
    <x v="2"/>
    <x v="596"/>
    <n v="13.9"/>
    <n v="5"/>
    <n v="3.7530000000000001"/>
    <x v="3"/>
    <n v="3"/>
    <x v="9"/>
    <n v="19"/>
    <n v="4"/>
    <n v="27"/>
    <n v="2.78"/>
    <x v="0"/>
    <x v="0"/>
    <x v="0"/>
  </r>
  <r>
    <s v="CA-2014-143084"/>
    <d v="2014-03-19T00:00:00"/>
    <d v="2014-03-23T00:00:00"/>
    <s v="BarryPond@gmail.com"/>
    <x v="0"/>
    <x v="12"/>
    <x v="1048"/>
    <n v="19.399999999999999"/>
    <n v="5"/>
    <n v="9.3119999999999994"/>
    <x v="3"/>
    <n v="3"/>
    <x v="9"/>
    <n v="19"/>
    <n v="4"/>
    <n v="48"/>
    <n v="3.88"/>
    <x v="0"/>
    <x v="0"/>
    <x v="0"/>
  </r>
  <r>
    <s v="CA-2013-131639"/>
    <d v="2013-12-18T00:00:00"/>
    <d v="2013-12-24T00:00:00"/>
    <s v="NoelStaavos@gmail.com"/>
    <x v="11"/>
    <x v="3"/>
    <x v="214"/>
    <n v="13.488"/>
    <n v="2"/>
    <n v="4.3836000000000004"/>
    <x v="0"/>
    <n v="12"/>
    <x v="1"/>
    <n v="18"/>
    <n v="6"/>
    <n v="32.5"/>
    <n v="6.7439999999999998"/>
    <x v="0"/>
    <x v="0"/>
    <x v="0"/>
  </r>
  <r>
    <s v="CA-2013-131639"/>
    <d v="2013-12-18T00:00:00"/>
    <d v="2013-12-24T00:00:00"/>
    <s v="NoelStaavos@gmail.com"/>
    <x v="11"/>
    <x v="3"/>
    <x v="1309"/>
    <n v="11.416"/>
    <n v="1"/>
    <n v="3.8529"/>
    <x v="0"/>
    <n v="12"/>
    <x v="1"/>
    <n v="18"/>
    <n v="6"/>
    <n v="33.75"/>
    <n v="11.416"/>
    <x v="0"/>
    <x v="0"/>
    <x v="0"/>
  </r>
  <r>
    <s v="CA-2013-161361"/>
    <d v="2013-03-27T00:00:00"/>
    <d v="2013-03-29T00:00:00"/>
    <s v="MarkVanHuff@gmail.com"/>
    <x v="139"/>
    <x v="8"/>
    <x v="690"/>
    <n v="17.64"/>
    <n v="3"/>
    <n v="8.6435999999999993"/>
    <x v="0"/>
    <n v="3"/>
    <x v="9"/>
    <n v="27"/>
    <n v="2"/>
    <n v="49"/>
    <n v="5.88"/>
    <x v="0"/>
    <x v="0"/>
    <x v="0"/>
  </r>
  <r>
    <s v="CA-2013-161361"/>
    <d v="2013-03-27T00:00:00"/>
    <d v="2013-03-29T00:00:00"/>
    <s v="MarkVanHuff@gmail.com"/>
    <x v="139"/>
    <x v="3"/>
    <x v="9"/>
    <n v="17.04"/>
    <n v="3"/>
    <n v="5.5380000000000003"/>
    <x v="0"/>
    <n v="3"/>
    <x v="9"/>
    <n v="27"/>
    <n v="2"/>
    <n v="32.5"/>
    <n v="5.68"/>
    <x v="0"/>
    <x v="0"/>
    <x v="0"/>
  </r>
  <r>
    <s v="US-2013-141880"/>
    <d v="2013-08-23T00:00:00"/>
    <d v="2013-08-24T00:00:00"/>
    <s v="TonyChapman@gmail.com"/>
    <x v="90"/>
    <x v="1"/>
    <x v="167"/>
    <n v="98.328000000000003"/>
    <n v="3"/>
    <n v="9.8328000000000007"/>
    <x v="0"/>
    <n v="8"/>
    <x v="3"/>
    <n v="23"/>
    <n v="1"/>
    <n v="10"/>
    <n v="32.776000000000003"/>
    <x v="0"/>
    <x v="0"/>
    <x v="0"/>
  </r>
  <r>
    <s v="CA-2014-128041"/>
    <d v="2014-09-02T00:00:00"/>
    <d v="2014-09-02T00:00:00"/>
    <s v="RickWilson@gmail.com"/>
    <x v="1"/>
    <x v="4"/>
    <x v="1310"/>
    <n v="314.60000000000002"/>
    <n v="4"/>
    <n v="103.818"/>
    <x v="3"/>
    <n v="9"/>
    <x v="8"/>
    <n v="2"/>
    <n v="0"/>
    <n v="33"/>
    <n v="78.650000000000006"/>
    <x v="0"/>
    <x v="0"/>
    <x v="1"/>
  </r>
  <r>
    <s v="CA-2014-128041"/>
    <d v="2014-09-02T00:00:00"/>
    <d v="2014-09-02T00:00:00"/>
    <s v="RickWilson@gmail.com"/>
    <x v="1"/>
    <x v="13"/>
    <x v="425"/>
    <n v="283.56"/>
    <n v="4"/>
    <n v="45.369599999999998"/>
    <x v="3"/>
    <n v="9"/>
    <x v="8"/>
    <n v="2"/>
    <n v="0"/>
    <n v="16"/>
    <n v="70.89"/>
    <x v="0"/>
    <x v="0"/>
    <x v="1"/>
  </r>
  <r>
    <s v="CA-2011-138177"/>
    <d v="2011-09-19T00:00:00"/>
    <d v="2011-09-24T00:00:00"/>
    <s v="NeilDucich@gmail.com"/>
    <x v="132"/>
    <x v="13"/>
    <x v="1218"/>
    <n v="73.915000000000006"/>
    <n v="1"/>
    <n v="-45.827300000000001"/>
    <x v="1"/>
    <n v="9"/>
    <x v="8"/>
    <n v="19"/>
    <n v="5"/>
    <n v="-62"/>
    <n v="73.915000000000006"/>
    <x v="1"/>
    <x v="1"/>
    <x v="0"/>
  </r>
  <r>
    <s v="CA-2012-168760"/>
    <d v="2012-09-22T00:00:00"/>
    <d v="2012-09-26T00:00:00"/>
    <s v="MuhammedMacIntyre@gmail.com"/>
    <x v="0"/>
    <x v="4"/>
    <x v="289"/>
    <n v="61.44"/>
    <n v="3"/>
    <n v="16.588799999999999"/>
    <x v="2"/>
    <n v="9"/>
    <x v="8"/>
    <n v="22"/>
    <n v="4"/>
    <n v="27"/>
    <n v="20.48"/>
    <x v="0"/>
    <x v="0"/>
    <x v="0"/>
  </r>
  <r>
    <s v="CA-2013-168830"/>
    <d v="2013-11-08T00:00:00"/>
    <d v="2013-11-14T00:00:00"/>
    <s v="MarinaLichtenstein@gmail.com"/>
    <x v="3"/>
    <x v="7"/>
    <x v="229"/>
    <n v="479.97"/>
    <n v="3"/>
    <n v="163.18979999999999"/>
    <x v="0"/>
    <n v="11"/>
    <x v="6"/>
    <n v="8"/>
    <n v="6"/>
    <n v="34"/>
    <n v="159.99"/>
    <x v="0"/>
    <x v="0"/>
    <x v="1"/>
  </r>
  <r>
    <s v="CA-2014-137463"/>
    <d v="2014-12-17T00:00:00"/>
    <d v="2014-12-21T00:00:00"/>
    <s v="KalycaMeade@gmail.com"/>
    <x v="85"/>
    <x v="3"/>
    <x v="683"/>
    <n v="5.984"/>
    <n v="2"/>
    <n v="2.2440000000000002"/>
    <x v="3"/>
    <n v="12"/>
    <x v="1"/>
    <n v="17"/>
    <n v="4"/>
    <n v="37.5"/>
    <n v="2.992"/>
    <x v="0"/>
    <x v="0"/>
    <x v="0"/>
  </r>
  <r>
    <s v="CA-2014-137463"/>
    <d v="2014-12-17T00:00:00"/>
    <d v="2014-12-21T00:00:00"/>
    <s v="KalycaMeade@gmail.com"/>
    <x v="85"/>
    <x v="7"/>
    <x v="536"/>
    <n v="189.95"/>
    <n v="5"/>
    <n v="45.588000000000001"/>
    <x v="3"/>
    <n v="12"/>
    <x v="1"/>
    <n v="17"/>
    <n v="4"/>
    <n v="24"/>
    <n v="37.989999999999988"/>
    <x v="0"/>
    <x v="0"/>
    <x v="0"/>
  </r>
  <r>
    <s v="CA-2014-137463"/>
    <d v="2014-12-17T00:00:00"/>
    <d v="2014-12-21T00:00:00"/>
    <s v="KalycaMeade@gmail.com"/>
    <x v="85"/>
    <x v="7"/>
    <x v="1153"/>
    <n v="149.94999999999999"/>
    <n v="5"/>
    <n v="31.4895"/>
    <x v="3"/>
    <n v="12"/>
    <x v="1"/>
    <n v="17"/>
    <n v="4"/>
    <n v="21"/>
    <n v="29.99"/>
    <x v="0"/>
    <x v="0"/>
    <x v="0"/>
  </r>
  <r>
    <s v="CA-2014-137463"/>
    <d v="2014-12-17T00:00:00"/>
    <d v="2014-12-21T00:00:00"/>
    <s v="KalycaMeade@gmail.com"/>
    <x v="85"/>
    <x v="2"/>
    <x v="1311"/>
    <n v="29.95"/>
    <n v="5"/>
    <n v="8.6854999999999993"/>
    <x v="3"/>
    <n v="12"/>
    <x v="1"/>
    <n v="17"/>
    <n v="4"/>
    <n v="29"/>
    <n v="5.99"/>
    <x v="0"/>
    <x v="0"/>
    <x v="0"/>
  </r>
  <r>
    <s v="CA-2014-137463"/>
    <d v="2014-12-17T00:00:00"/>
    <d v="2014-12-21T00:00:00"/>
    <s v="KalycaMeade@gmail.com"/>
    <x v="85"/>
    <x v="0"/>
    <x v="1041"/>
    <n v="44.4"/>
    <n v="3"/>
    <n v="22.2"/>
    <x v="3"/>
    <n v="12"/>
    <x v="1"/>
    <n v="17"/>
    <n v="4"/>
    <n v="50"/>
    <n v="14.8"/>
    <x v="0"/>
    <x v="0"/>
    <x v="0"/>
  </r>
  <r>
    <s v="CA-2012-165554"/>
    <d v="2012-05-18T00:00:00"/>
    <d v="2012-05-22T00:00:00"/>
    <s v="AnthonyJacobs@gmail.com"/>
    <x v="0"/>
    <x v="8"/>
    <x v="98"/>
    <n v="10.86"/>
    <n v="2"/>
    <n v="5.3213999999999997"/>
    <x v="2"/>
    <n v="5"/>
    <x v="2"/>
    <n v="18"/>
    <n v="4"/>
    <n v="49"/>
    <n v="5.43"/>
    <x v="0"/>
    <x v="0"/>
    <x v="0"/>
  </r>
  <r>
    <s v="CA-2011-141838"/>
    <d v="2011-03-26T00:00:00"/>
    <d v="2011-03-31T00:00:00"/>
    <s v="DamalaKotsonis@gmail.com"/>
    <x v="3"/>
    <x v="2"/>
    <x v="490"/>
    <n v="3.36"/>
    <n v="2"/>
    <n v="0.84"/>
    <x v="1"/>
    <n v="3"/>
    <x v="9"/>
    <n v="26"/>
    <n v="5"/>
    <n v="25"/>
    <n v="1.68"/>
    <x v="0"/>
    <x v="0"/>
    <x v="0"/>
  </r>
  <r>
    <s v="CA-2011-141838"/>
    <d v="2011-03-26T00:00:00"/>
    <d v="2011-03-31T00:00:00"/>
    <s v="DamalaKotsonis@gmail.com"/>
    <x v="3"/>
    <x v="3"/>
    <x v="192"/>
    <n v="27.936"/>
    <n v="4"/>
    <n v="9.4283999999999999"/>
    <x v="1"/>
    <n v="3"/>
    <x v="9"/>
    <n v="26"/>
    <n v="5"/>
    <n v="33.75"/>
    <n v="6.984"/>
    <x v="0"/>
    <x v="0"/>
    <x v="0"/>
  </r>
  <r>
    <s v="CA-2011-141838"/>
    <d v="2011-03-26T00:00:00"/>
    <d v="2011-03-31T00:00:00"/>
    <s v="DamalaKotsonis@gmail.com"/>
    <x v="3"/>
    <x v="6"/>
    <x v="1054"/>
    <n v="28.783999999999999"/>
    <n v="2"/>
    <n v="2.8784000000000001"/>
    <x v="1"/>
    <n v="3"/>
    <x v="9"/>
    <n v="26"/>
    <n v="5"/>
    <n v="10"/>
    <n v="14.391999999999999"/>
    <x v="0"/>
    <x v="0"/>
    <x v="0"/>
  </r>
  <r>
    <s v="CA-2014-117009"/>
    <d v="2014-09-23T00:00:00"/>
    <d v="2014-09-29T00:00:00"/>
    <s v="BerenikeKampe@gmail.com"/>
    <x v="44"/>
    <x v="11"/>
    <x v="37"/>
    <n v="21.96"/>
    <n v="2"/>
    <n v="6.1487999999999996"/>
    <x v="3"/>
    <n v="9"/>
    <x v="8"/>
    <n v="23"/>
    <n v="6"/>
    <n v="28"/>
    <n v="10.98"/>
    <x v="0"/>
    <x v="0"/>
    <x v="0"/>
  </r>
  <r>
    <s v="CA-2012-128993"/>
    <d v="2012-09-12T00:00:00"/>
    <d v="2012-09-17T00:00:00"/>
    <s v="CraigCarreira@gmail.com"/>
    <x v="1"/>
    <x v="7"/>
    <x v="684"/>
    <n v="21.98"/>
    <n v="2"/>
    <n v="8.5722000000000005"/>
    <x v="2"/>
    <n v="9"/>
    <x v="8"/>
    <n v="12"/>
    <n v="5"/>
    <n v="39"/>
    <n v="10.99"/>
    <x v="0"/>
    <x v="0"/>
    <x v="0"/>
  </r>
  <r>
    <s v="CA-2012-149097"/>
    <d v="2012-10-20T00:00:00"/>
    <d v="2012-10-24T00:00:00"/>
    <s v="StewartVisinsky@gmail.com"/>
    <x v="0"/>
    <x v="1"/>
    <x v="1312"/>
    <n v="74.760000000000005"/>
    <n v="7"/>
    <n v="23.923200000000001"/>
    <x v="2"/>
    <n v="10"/>
    <x v="7"/>
    <n v="20"/>
    <n v="4"/>
    <n v="32"/>
    <n v="10.68"/>
    <x v="0"/>
    <x v="0"/>
    <x v="0"/>
  </r>
  <r>
    <s v="CA-2012-149097"/>
    <d v="2012-10-20T00:00:00"/>
    <d v="2012-10-24T00:00:00"/>
    <s v="StewartVisinsky@gmail.com"/>
    <x v="0"/>
    <x v="13"/>
    <x v="1021"/>
    <n v="364.77600000000001"/>
    <n v="3"/>
    <n v="27.3582"/>
    <x v="2"/>
    <n v="10"/>
    <x v="7"/>
    <n v="20"/>
    <n v="4"/>
    <n v="7.5"/>
    <n v="121.592"/>
    <x v="0"/>
    <x v="0"/>
    <x v="1"/>
  </r>
  <r>
    <s v="CA-2012-136420"/>
    <d v="2012-11-20T00:00:00"/>
    <d v="2012-11-21T00:00:00"/>
    <s v="ChrisSelesnick@gmail.com"/>
    <x v="16"/>
    <x v="3"/>
    <x v="820"/>
    <n v="89.695999999999998"/>
    <n v="4"/>
    <n v="33.636000000000003"/>
    <x v="2"/>
    <n v="11"/>
    <x v="6"/>
    <n v="20"/>
    <n v="1"/>
    <n v="37.5"/>
    <n v="22.423999999999999"/>
    <x v="0"/>
    <x v="0"/>
    <x v="0"/>
  </r>
  <r>
    <s v="CA-2012-136420"/>
    <d v="2012-11-20T00:00:00"/>
    <d v="2012-11-21T00:00:00"/>
    <s v="ChrisSelesnick@gmail.com"/>
    <x v="16"/>
    <x v="0"/>
    <x v="689"/>
    <n v="50.12"/>
    <n v="4"/>
    <n v="23.5564"/>
    <x v="2"/>
    <n v="11"/>
    <x v="6"/>
    <n v="20"/>
    <n v="1"/>
    <n v="47"/>
    <n v="12.53"/>
    <x v="0"/>
    <x v="0"/>
    <x v="0"/>
  </r>
  <r>
    <s v="CA-2013-106278"/>
    <d v="2013-09-03T00:00:00"/>
    <d v="2013-09-06T00:00:00"/>
    <s v="BeckyMartin@gmail.com"/>
    <x v="25"/>
    <x v="9"/>
    <x v="412"/>
    <n v="215.976"/>
    <n v="3"/>
    <n v="-2.6997"/>
    <x v="0"/>
    <n v="9"/>
    <x v="8"/>
    <n v="3"/>
    <n v="3"/>
    <n v="-1.25"/>
    <n v="71.992000000000004"/>
    <x v="0"/>
    <x v="1"/>
    <x v="1"/>
  </r>
  <r>
    <s v="CA-2013-106278"/>
    <d v="2013-09-03T00:00:00"/>
    <d v="2013-09-06T00:00:00"/>
    <s v="BeckyMartin@gmail.com"/>
    <x v="25"/>
    <x v="12"/>
    <x v="856"/>
    <n v="65.94"/>
    <n v="3"/>
    <n v="30.991800000000001"/>
    <x v="0"/>
    <n v="9"/>
    <x v="8"/>
    <n v="3"/>
    <n v="3"/>
    <n v="47"/>
    <n v="21.98"/>
    <x v="0"/>
    <x v="0"/>
    <x v="0"/>
  </r>
  <r>
    <s v="CA-2014-166898"/>
    <d v="2014-09-12T00:00:00"/>
    <d v="2014-09-14T00:00:00"/>
    <s v="KenHeidel@gmail.com"/>
    <x v="44"/>
    <x v="6"/>
    <x v="1069"/>
    <n v="143.952"/>
    <n v="6"/>
    <n v="17.994"/>
    <x v="3"/>
    <n v="9"/>
    <x v="8"/>
    <n v="12"/>
    <n v="2"/>
    <n v="12.5"/>
    <n v="23.992000000000001"/>
    <x v="0"/>
    <x v="0"/>
    <x v="0"/>
  </r>
  <r>
    <s v="CA-2014-166898"/>
    <d v="2014-09-12T00:00:00"/>
    <d v="2014-09-14T00:00:00"/>
    <s v="KenHeidel@gmail.com"/>
    <x v="44"/>
    <x v="8"/>
    <x v="350"/>
    <n v="19.440000000000001"/>
    <n v="3"/>
    <n v="9.3312000000000008"/>
    <x v="3"/>
    <n v="9"/>
    <x v="8"/>
    <n v="12"/>
    <n v="2"/>
    <n v="48"/>
    <n v="6.48"/>
    <x v="0"/>
    <x v="0"/>
    <x v="0"/>
  </r>
  <r>
    <s v="CA-2013-126102"/>
    <d v="2013-09-11T00:00:00"/>
    <d v="2013-09-13T00:00:00"/>
    <s v="DiannaVittorini@gmail.com"/>
    <x v="0"/>
    <x v="3"/>
    <x v="1313"/>
    <n v="276.78399999999999"/>
    <n v="2"/>
    <n v="89.954800000000006"/>
    <x v="0"/>
    <n v="9"/>
    <x v="8"/>
    <n v="11"/>
    <n v="2"/>
    <n v="32.5"/>
    <n v="138.392"/>
    <x v="0"/>
    <x v="0"/>
    <x v="1"/>
  </r>
  <r>
    <s v="US-2013-155971"/>
    <d v="2013-06-07T00:00:00"/>
    <d v="2013-06-13T00:00:00"/>
    <s v="RossBaird@gmail.com"/>
    <x v="0"/>
    <x v="0"/>
    <x v="267"/>
    <n v="22.05"/>
    <n v="7"/>
    <n v="10.584"/>
    <x v="0"/>
    <n v="6"/>
    <x v="0"/>
    <n v="7"/>
    <n v="6"/>
    <n v="48"/>
    <n v="3.15"/>
    <x v="0"/>
    <x v="0"/>
    <x v="0"/>
  </r>
  <r>
    <s v="US-2013-155971"/>
    <d v="2013-06-07T00:00:00"/>
    <d v="2013-06-13T00:00:00"/>
    <s v="RossBaird@gmail.com"/>
    <x v="0"/>
    <x v="8"/>
    <x v="1314"/>
    <n v="99.9"/>
    <n v="5"/>
    <n v="46.953000000000003"/>
    <x v="0"/>
    <n v="6"/>
    <x v="0"/>
    <n v="7"/>
    <n v="6"/>
    <n v="47"/>
    <n v="19.98"/>
    <x v="0"/>
    <x v="0"/>
    <x v="0"/>
  </r>
  <r>
    <s v="CA-2014-122007"/>
    <d v="2014-03-19T00:00:00"/>
    <d v="2014-03-21T00:00:00"/>
    <s v="JasonKlamczynski@gmail.com"/>
    <x v="0"/>
    <x v="4"/>
    <x v="160"/>
    <n v="90.86"/>
    <n v="7"/>
    <n v="26.349399999999999"/>
    <x v="3"/>
    <n v="3"/>
    <x v="9"/>
    <n v="19"/>
    <n v="2"/>
    <n v="29"/>
    <n v="12.98"/>
    <x v="1"/>
    <x v="0"/>
    <x v="0"/>
  </r>
  <r>
    <s v="CA-2014-162250"/>
    <d v="2014-11-25T00:00:00"/>
    <d v="2014-11-25T00:00:00"/>
    <s v="PatrickRyan@gmail.com"/>
    <x v="3"/>
    <x v="8"/>
    <x v="685"/>
    <n v="7.78"/>
    <n v="1"/>
    <n v="3.5009999999999999"/>
    <x v="3"/>
    <n v="11"/>
    <x v="6"/>
    <n v="25"/>
    <n v="0"/>
    <n v="45"/>
    <n v="7.78"/>
    <x v="0"/>
    <x v="0"/>
    <x v="0"/>
  </r>
  <r>
    <s v="CA-2012-157028"/>
    <d v="2012-11-28T00:00:00"/>
    <d v="2012-12-03T00:00:00"/>
    <s v="MichelleArnett@gmail.com"/>
    <x v="99"/>
    <x v="2"/>
    <x v="873"/>
    <n v="8.2799999999999994"/>
    <n v="2"/>
    <n v="3.4775999999999998"/>
    <x v="2"/>
    <n v="11"/>
    <x v="6"/>
    <n v="28"/>
    <n v="5"/>
    <n v="42"/>
    <n v="4.1399999999999997"/>
    <x v="0"/>
    <x v="0"/>
    <x v="0"/>
  </r>
  <r>
    <s v="US-2014-147655"/>
    <d v="2014-09-05T00:00:00"/>
    <d v="2014-09-06T00:00:00"/>
    <s v="AaronSmayling@gmail.com"/>
    <x v="72"/>
    <x v="3"/>
    <x v="234"/>
    <n v="88.073999999999998"/>
    <n v="7"/>
    <n v="-58.716000000000001"/>
    <x v="3"/>
    <n v="9"/>
    <x v="8"/>
    <n v="5"/>
    <n v="1"/>
    <n v="-66.67"/>
    <n v="12.582000000000001"/>
    <x v="0"/>
    <x v="1"/>
    <x v="0"/>
  </r>
  <r>
    <s v="CA-2014-123029"/>
    <d v="2014-10-01T00:00:00"/>
    <d v="2014-10-03T00:00:00"/>
    <s v="BradleyTalbott@gmail.com"/>
    <x v="0"/>
    <x v="7"/>
    <x v="1315"/>
    <n v="159.97999999999999"/>
    <n v="2"/>
    <n v="47.994"/>
    <x v="3"/>
    <n v="10"/>
    <x v="7"/>
    <n v="1"/>
    <n v="2"/>
    <n v="30"/>
    <n v="79.989999999999995"/>
    <x v="0"/>
    <x v="0"/>
    <x v="0"/>
  </r>
  <r>
    <s v="US-2014-166688"/>
    <d v="2014-05-21T00:00:00"/>
    <d v="2014-05-27T00:00:00"/>
    <s v="RickDuston@gmail.com"/>
    <x v="26"/>
    <x v="3"/>
    <x v="942"/>
    <n v="8.2880000000000003"/>
    <n v="2"/>
    <n v="3.0044"/>
    <x v="3"/>
    <n v="5"/>
    <x v="2"/>
    <n v="21"/>
    <n v="6"/>
    <n v="36.25"/>
    <n v="4.1440000000000001"/>
    <x v="0"/>
    <x v="0"/>
    <x v="0"/>
  </r>
  <r>
    <s v="US-2014-166688"/>
    <d v="2014-05-21T00:00:00"/>
    <d v="2014-05-27T00:00:00"/>
    <s v="RickDuston@gmail.com"/>
    <x v="26"/>
    <x v="4"/>
    <x v="160"/>
    <n v="64.900000000000006"/>
    <n v="5"/>
    <n v="18.821000000000002"/>
    <x v="3"/>
    <n v="5"/>
    <x v="2"/>
    <n v="21"/>
    <n v="6"/>
    <n v="29"/>
    <n v="12.98"/>
    <x v="0"/>
    <x v="0"/>
    <x v="0"/>
  </r>
  <r>
    <s v="US-2012-106873"/>
    <d v="2012-09-24T00:00:00"/>
    <d v="2012-09-29T00:00:00"/>
    <s v="KunstMiller@gmail.com"/>
    <x v="164"/>
    <x v="2"/>
    <x v="771"/>
    <n v="14.576000000000001"/>
    <n v="2"/>
    <n v="2.3685999999999998"/>
    <x v="2"/>
    <n v="9"/>
    <x v="8"/>
    <n v="24"/>
    <n v="5"/>
    <n v="16.25"/>
    <n v="7.2880000000000003"/>
    <x v="0"/>
    <x v="0"/>
    <x v="0"/>
  </r>
  <r>
    <s v="US-2012-106873"/>
    <d v="2012-09-24T00:00:00"/>
    <d v="2012-09-29T00:00:00"/>
    <s v="KunstMiller@gmail.com"/>
    <x v="164"/>
    <x v="7"/>
    <x v="730"/>
    <n v="23.2"/>
    <n v="2"/>
    <n v="1.45"/>
    <x v="2"/>
    <n v="9"/>
    <x v="8"/>
    <n v="24"/>
    <n v="5"/>
    <n v="6.25"/>
    <n v="11.6"/>
    <x v="0"/>
    <x v="0"/>
    <x v="0"/>
  </r>
  <r>
    <s v="US-2012-106873"/>
    <d v="2012-09-24T00:00:00"/>
    <d v="2012-09-29T00:00:00"/>
    <s v="KunstMiller@gmail.com"/>
    <x v="164"/>
    <x v="2"/>
    <x v="135"/>
    <n v="16.463999999999999"/>
    <n v="7"/>
    <n v="1.8522000000000001"/>
    <x v="2"/>
    <n v="9"/>
    <x v="8"/>
    <n v="24"/>
    <n v="5"/>
    <n v="11.25"/>
    <n v="2.3519999999999999"/>
    <x v="0"/>
    <x v="0"/>
    <x v="0"/>
  </r>
  <r>
    <s v="CA-2011-102645"/>
    <d v="2011-01-24T00:00:00"/>
    <d v="2011-01-29T00:00:00"/>
    <s v="IoniaMcGrath@gmail.com"/>
    <x v="26"/>
    <x v="8"/>
    <x v="32"/>
    <n v="40.08"/>
    <n v="6"/>
    <n v="19.238399999999999"/>
    <x v="1"/>
    <n v="1"/>
    <x v="4"/>
    <n v="24"/>
    <n v="5"/>
    <n v="48"/>
    <n v="6.68"/>
    <x v="0"/>
    <x v="0"/>
    <x v="0"/>
  </r>
  <r>
    <s v="CA-2013-100300"/>
    <d v="2013-06-25T00:00:00"/>
    <d v="2013-06-27T00:00:00"/>
    <s v="MaxJones@gmail.com"/>
    <x v="16"/>
    <x v="8"/>
    <x v="1079"/>
    <n v="104.85"/>
    <n v="1"/>
    <n v="50.328000000000003"/>
    <x v="0"/>
    <n v="6"/>
    <x v="0"/>
    <n v="25"/>
    <n v="2"/>
    <n v="48"/>
    <n v="104.85"/>
    <x v="0"/>
    <x v="0"/>
    <x v="0"/>
  </r>
  <r>
    <s v="CA-2013-100300"/>
    <d v="2013-06-25T00:00:00"/>
    <d v="2013-06-27T00:00:00"/>
    <s v="MaxJones@gmail.com"/>
    <x v="16"/>
    <x v="4"/>
    <x v="699"/>
    <n v="241.44"/>
    <n v="3"/>
    <n v="72.432000000000002"/>
    <x v="0"/>
    <n v="6"/>
    <x v="0"/>
    <n v="25"/>
    <n v="2"/>
    <n v="30"/>
    <n v="80.48"/>
    <x v="0"/>
    <x v="0"/>
    <x v="1"/>
  </r>
  <r>
    <s v="US-2013-155768"/>
    <d v="2013-12-02T00:00:00"/>
    <d v="2013-12-02T00:00:00"/>
    <s v="LaurelBeltran@gmail.com"/>
    <x v="148"/>
    <x v="1"/>
    <x v="141"/>
    <n v="31.96"/>
    <n v="2"/>
    <n v="1.5980000000000001"/>
    <x v="0"/>
    <n v="12"/>
    <x v="1"/>
    <n v="2"/>
    <n v="0"/>
    <n v="5"/>
    <n v="15.98"/>
    <x v="0"/>
    <x v="0"/>
    <x v="0"/>
  </r>
  <r>
    <s v="US-2013-155768"/>
    <d v="2013-12-02T00:00:00"/>
    <d v="2013-12-02T00:00:00"/>
    <s v="LaurelBeltran@gmail.com"/>
    <x v="148"/>
    <x v="8"/>
    <x v="1316"/>
    <n v="47.9"/>
    <n v="1"/>
    <n v="22.992000000000001"/>
    <x v="0"/>
    <n v="12"/>
    <x v="1"/>
    <n v="2"/>
    <n v="0"/>
    <n v="48"/>
    <n v="47.9"/>
    <x v="0"/>
    <x v="0"/>
    <x v="0"/>
  </r>
  <r>
    <s v="US-2013-155768"/>
    <d v="2013-12-02T00:00:00"/>
    <d v="2013-12-02T00:00:00"/>
    <s v="LaurelBeltran@gmail.com"/>
    <x v="148"/>
    <x v="12"/>
    <x v="293"/>
    <n v="22.92"/>
    <n v="3"/>
    <n v="11.2308"/>
    <x v="0"/>
    <n v="12"/>
    <x v="1"/>
    <n v="2"/>
    <n v="0"/>
    <n v="49"/>
    <n v="7.6400000000000006"/>
    <x v="0"/>
    <x v="0"/>
    <x v="0"/>
  </r>
  <r>
    <s v="CA-2014-119424"/>
    <d v="2014-06-13T00:00:00"/>
    <d v="2014-06-15T00:00:00"/>
    <s v="SarahBrown@gmail.com"/>
    <x v="68"/>
    <x v="6"/>
    <x v="1069"/>
    <n v="71.975999999999999"/>
    <n v="3"/>
    <n v="8.9969999999999999"/>
    <x v="3"/>
    <n v="6"/>
    <x v="0"/>
    <n v="13"/>
    <n v="2"/>
    <n v="12.5"/>
    <n v="23.992000000000001"/>
    <x v="0"/>
    <x v="0"/>
    <x v="0"/>
  </r>
  <r>
    <s v="CA-2014-119424"/>
    <d v="2014-06-13T00:00:00"/>
    <d v="2014-06-15T00:00:00"/>
    <s v="SarahBrown@gmail.com"/>
    <x v="68"/>
    <x v="8"/>
    <x v="1059"/>
    <n v="19.440000000000001"/>
    <n v="3"/>
    <n v="9.3312000000000008"/>
    <x v="3"/>
    <n v="6"/>
    <x v="0"/>
    <n v="13"/>
    <n v="2"/>
    <n v="48"/>
    <n v="6.48"/>
    <x v="0"/>
    <x v="0"/>
    <x v="0"/>
  </r>
  <r>
    <s v="CA-2014-156776"/>
    <d v="2014-08-08T00:00:00"/>
    <d v="2014-08-12T00:00:00"/>
    <s v="JeremyLonsdale@gmail.com"/>
    <x v="63"/>
    <x v="3"/>
    <x v="186"/>
    <n v="11.952"/>
    <n v="3"/>
    <n v="4.1832000000000003"/>
    <x v="3"/>
    <n v="8"/>
    <x v="3"/>
    <n v="8"/>
    <n v="4"/>
    <n v="35"/>
    <n v="3.984"/>
    <x v="0"/>
    <x v="0"/>
    <x v="0"/>
  </r>
  <r>
    <s v="CA-2014-156776"/>
    <d v="2014-08-08T00:00:00"/>
    <d v="2014-08-12T00:00:00"/>
    <s v="JeremyLonsdale@gmail.com"/>
    <x v="63"/>
    <x v="3"/>
    <x v="1317"/>
    <n v="31.128"/>
    <n v="3"/>
    <n v="11.673"/>
    <x v="3"/>
    <n v="8"/>
    <x v="3"/>
    <n v="8"/>
    <n v="4"/>
    <n v="37.5"/>
    <n v="10.375999999999999"/>
    <x v="0"/>
    <x v="0"/>
    <x v="0"/>
  </r>
  <r>
    <s v="CA-2014-156776"/>
    <d v="2014-08-08T00:00:00"/>
    <d v="2014-08-12T00:00:00"/>
    <s v="JeremyLonsdale@gmail.com"/>
    <x v="63"/>
    <x v="7"/>
    <x v="1165"/>
    <n v="55.76"/>
    <n v="4"/>
    <n v="7.8064"/>
    <x v="3"/>
    <n v="8"/>
    <x v="3"/>
    <n v="8"/>
    <n v="4"/>
    <n v="14"/>
    <n v="13.94"/>
    <x v="0"/>
    <x v="0"/>
    <x v="0"/>
  </r>
  <r>
    <s v="CA-2014-156776"/>
    <d v="2014-08-08T00:00:00"/>
    <d v="2014-08-12T00:00:00"/>
    <s v="JeremyLonsdale@gmail.com"/>
    <x v="63"/>
    <x v="8"/>
    <x v="260"/>
    <n v="24.56"/>
    <n v="2"/>
    <n v="11.543200000000001"/>
    <x v="3"/>
    <n v="8"/>
    <x v="3"/>
    <n v="8"/>
    <n v="4"/>
    <n v="47"/>
    <n v="12.28"/>
    <x v="0"/>
    <x v="0"/>
    <x v="0"/>
  </r>
  <r>
    <s v="CA-2014-156776"/>
    <d v="2014-08-08T00:00:00"/>
    <d v="2014-08-12T00:00:00"/>
    <s v="JeremyLonsdale@gmail.com"/>
    <x v="63"/>
    <x v="1"/>
    <x v="250"/>
    <n v="51.75"/>
    <n v="1"/>
    <n v="15.525"/>
    <x v="3"/>
    <n v="8"/>
    <x v="3"/>
    <n v="8"/>
    <n v="4"/>
    <n v="30"/>
    <n v="51.75"/>
    <x v="0"/>
    <x v="0"/>
    <x v="0"/>
  </r>
  <r>
    <s v="CA-2014-156776"/>
    <d v="2014-08-08T00:00:00"/>
    <d v="2014-08-12T00:00:00"/>
    <s v="JeremyLonsdale@gmail.com"/>
    <x v="63"/>
    <x v="9"/>
    <x v="1318"/>
    <n v="207.184"/>
    <n v="1"/>
    <n v="25.898"/>
    <x v="3"/>
    <n v="8"/>
    <x v="3"/>
    <n v="8"/>
    <n v="4"/>
    <n v="12.5"/>
    <n v="207.184"/>
    <x v="0"/>
    <x v="0"/>
    <x v="0"/>
  </r>
  <r>
    <s v="CA-2011-146843"/>
    <d v="2011-11-30T00:00:00"/>
    <d v="2011-12-06T00:00:00"/>
    <s v="PhilipBrown@gmail.com"/>
    <x v="164"/>
    <x v="11"/>
    <x v="951"/>
    <n v="47.991999999999997"/>
    <n v="7"/>
    <n v="3.5994000000000002"/>
    <x v="1"/>
    <n v="11"/>
    <x v="6"/>
    <n v="30"/>
    <n v="6"/>
    <n v="7.5"/>
    <n v="6.8559999999999999"/>
    <x v="0"/>
    <x v="0"/>
    <x v="0"/>
  </r>
  <r>
    <s v="CA-2011-146843"/>
    <d v="2011-11-30T00:00:00"/>
    <d v="2011-12-06T00:00:00"/>
    <s v="PhilipBrown@gmail.com"/>
    <x v="164"/>
    <x v="7"/>
    <x v="1319"/>
    <n v="102.24"/>
    <n v="4"/>
    <n v="-16.614000000000001"/>
    <x v="1"/>
    <n v="11"/>
    <x v="6"/>
    <n v="30"/>
    <n v="6"/>
    <n v="-16.25"/>
    <n v="25.56"/>
    <x v="0"/>
    <x v="1"/>
    <x v="0"/>
  </r>
  <r>
    <s v="CA-2011-103310"/>
    <d v="2011-05-10T00:00:00"/>
    <d v="2011-05-15T00:00:00"/>
    <s v="GregMatthias@gmail.com"/>
    <x v="10"/>
    <x v="8"/>
    <x v="1117"/>
    <n v="39.96"/>
    <n v="2"/>
    <n v="19.180800000000001"/>
    <x v="1"/>
    <n v="5"/>
    <x v="2"/>
    <n v="10"/>
    <n v="5"/>
    <n v="48"/>
    <n v="19.98"/>
    <x v="0"/>
    <x v="0"/>
    <x v="0"/>
  </r>
  <r>
    <s v="CA-2011-103310"/>
    <d v="2011-05-10T00:00:00"/>
    <d v="2011-05-15T00:00:00"/>
    <s v="GregMatthias@gmail.com"/>
    <x v="10"/>
    <x v="11"/>
    <x v="977"/>
    <n v="41.04"/>
    <n v="6"/>
    <n v="11.0808"/>
    <x v="1"/>
    <n v="5"/>
    <x v="2"/>
    <n v="10"/>
    <n v="5"/>
    <n v="27"/>
    <n v="6.84"/>
    <x v="0"/>
    <x v="0"/>
    <x v="0"/>
  </r>
  <r>
    <s v="CA-2011-103310"/>
    <d v="2011-05-10T00:00:00"/>
    <d v="2011-05-15T00:00:00"/>
    <s v="GregMatthias@gmail.com"/>
    <x v="10"/>
    <x v="9"/>
    <x v="1320"/>
    <n v="256.78399999999999"/>
    <n v="1"/>
    <n v="32.097999999999999"/>
    <x v="1"/>
    <n v="5"/>
    <x v="2"/>
    <n v="10"/>
    <n v="5"/>
    <n v="12.5"/>
    <n v="256.78399999999999"/>
    <x v="0"/>
    <x v="0"/>
    <x v="1"/>
  </r>
  <r>
    <s v="CA-2013-104689"/>
    <d v="2013-12-02T00:00:00"/>
    <d v="2013-12-06T00:00:00"/>
    <s v="FredHopkins@gmail.com"/>
    <x v="0"/>
    <x v="2"/>
    <x v="34"/>
    <n v="23.04"/>
    <n v="8"/>
    <n v="6.9119999999999999"/>
    <x v="0"/>
    <n v="12"/>
    <x v="1"/>
    <n v="2"/>
    <n v="4"/>
    <n v="30"/>
    <n v="2.88"/>
    <x v="0"/>
    <x v="0"/>
    <x v="0"/>
  </r>
  <r>
    <s v="CA-2014-141747"/>
    <d v="2014-08-04T00:00:00"/>
    <d v="2014-08-09T00:00:00"/>
    <s v="ScotCoram@gmail.com"/>
    <x v="1"/>
    <x v="5"/>
    <x v="470"/>
    <n v="16.059999999999999"/>
    <n v="1"/>
    <n v="4.1756000000000002"/>
    <x v="3"/>
    <n v="8"/>
    <x v="3"/>
    <n v="4"/>
    <n v="5"/>
    <n v="26"/>
    <n v="16.059999999999999"/>
    <x v="0"/>
    <x v="0"/>
    <x v="0"/>
  </r>
  <r>
    <s v="CA-2012-167479"/>
    <d v="2012-03-14T00:00:00"/>
    <d v="2012-03-19T00:00:00"/>
    <s v="ArianneIrving@gmail.com"/>
    <x v="8"/>
    <x v="8"/>
    <x v="278"/>
    <n v="19.440000000000001"/>
    <n v="3"/>
    <n v="9.3312000000000008"/>
    <x v="2"/>
    <n v="3"/>
    <x v="9"/>
    <n v="14"/>
    <n v="5"/>
    <n v="48"/>
    <n v="6.48"/>
    <x v="0"/>
    <x v="0"/>
    <x v="0"/>
  </r>
  <r>
    <s v="CA-2011-144071"/>
    <d v="2011-12-08T00:00:00"/>
    <d v="2011-12-15T00:00:00"/>
    <s v="DennyJoy@gmail.com"/>
    <x v="3"/>
    <x v="1"/>
    <x v="16"/>
    <n v="39.880000000000003"/>
    <n v="2"/>
    <n v="11.166399999999999"/>
    <x v="1"/>
    <n v="12"/>
    <x v="1"/>
    <n v="8"/>
    <n v="7"/>
    <n v="28"/>
    <n v="19.940000000000001"/>
    <x v="0"/>
    <x v="0"/>
    <x v="0"/>
  </r>
  <r>
    <s v="CA-2011-144071"/>
    <d v="2011-12-08T00:00:00"/>
    <d v="2011-12-15T00:00:00"/>
    <s v="DennyJoy@gmail.com"/>
    <x v="3"/>
    <x v="1"/>
    <x v="554"/>
    <n v="79.44"/>
    <n v="3"/>
    <n v="28.598400000000002"/>
    <x v="1"/>
    <n v="12"/>
    <x v="1"/>
    <n v="8"/>
    <n v="7"/>
    <n v="36"/>
    <n v="26.48"/>
    <x v="0"/>
    <x v="0"/>
    <x v="0"/>
  </r>
  <r>
    <s v="CA-2013-152646"/>
    <d v="2013-11-22T00:00:00"/>
    <d v="2013-11-27T00:00:00"/>
    <s v="TiffanyHouse@gmail.com"/>
    <x v="0"/>
    <x v="8"/>
    <x v="152"/>
    <n v="32.4"/>
    <n v="5"/>
    <n v="15.552"/>
    <x v="0"/>
    <n v="11"/>
    <x v="6"/>
    <n v="22"/>
    <n v="5"/>
    <n v="48"/>
    <n v="6.48"/>
    <x v="0"/>
    <x v="0"/>
    <x v="0"/>
  </r>
  <r>
    <s v="CA-2014-140515"/>
    <d v="2014-03-20T00:00:00"/>
    <d v="2014-03-25T00:00:00"/>
    <s v="GeorgeZrebassa@gmail.com"/>
    <x v="0"/>
    <x v="4"/>
    <x v="1132"/>
    <n v="381.36"/>
    <n v="7"/>
    <n v="106.7808"/>
    <x v="3"/>
    <n v="3"/>
    <x v="9"/>
    <n v="20"/>
    <n v="5"/>
    <n v="28"/>
    <n v="54.48"/>
    <x v="0"/>
    <x v="0"/>
    <x v="1"/>
  </r>
  <r>
    <s v="CA-2011-153619"/>
    <d v="2011-11-03T00:00:00"/>
    <d v="2011-11-03T00:00:00"/>
    <s v="TracyCollins@gmail.com"/>
    <x v="0"/>
    <x v="2"/>
    <x v="359"/>
    <n v="6.72"/>
    <n v="4"/>
    <n v="3.36"/>
    <x v="1"/>
    <n v="11"/>
    <x v="6"/>
    <n v="3"/>
    <n v="0"/>
    <n v="50"/>
    <n v="1.68"/>
    <x v="0"/>
    <x v="0"/>
    <x v="0"/>
  </r>
  <r>
    <s v="CA-2014-133718"/>
    <d v="2014-07-24T00:00:00"/>
    <d v="2014-07-27T00:00:00"/>
    <s v="TracyBlumstein@gmail.com"/>
    <x v="0"/>
    <x v="3"/>
    <x v="736"/>
    <n v="15.192"/>
    <n v="3"/>
    <n v="5.5071000000000003"/>
    <x v="3"/>
    <n v="7"/>
    <x v="5"/>
    <n v="24"/>
    <n v="3"/>
    <n v="36.25"/>
    <n v="5.0640000000000001"/>
    <x v="0"/>
    <x v="0"/>
    <x v="0"/>
  </r>
  <r>
    <s v="CA-2014-133718"/>
    <d v="2014-07-24T00:00:00"/>
    <d v="2014-07-27T00:00:00"/>
    <s v="TracyBlumstein@gmail.com"/>
    <x v="0"/>
    <x v="8"/>
    <x v="1321"/>
    <n v="58.32"/>
    <n v="9"/>
    <n v="27.993600000000001"/>
    <x v="3"/>
    <n v="7"/>
    <x v="5"/>
    <n v="24"/>
    <n v="3"/>
    <n v="48"/>
    <n v="6.48"/>
    <x v="0"/>
    <x v="0"/>
    <x v="0"/>
  </r>
  <r>
    <s v="CA-2013-126732"/>
    <d v="2013-09-03T00:00:00"/>
    <d v="2013-09-07T00:00:00"/>
    <s v="LenaRadford@gmail.com"/>
    <x v="0"/>
    <x v="1"/>
    <x v="437"/>
    <n v="94.68"/>
    <n v="9"/>
    <n v="31.244399999999999"/>
    <x v="0"/>
    <n v="9"/>
    <x v="8"/>
    <n v="3"/>
    <n v="4"/>
    <n v="33"/>
    <n v="10.52"/>
    <x v="0"/>
    <x v="0"/>
    <x v="0"/>
  </r>
  <r>
    <s v="CA-2013-126732"/>
    <d v="2013-09-03T00:00:00"/>
    <d v="2013-09-07T00:00:00"/>
    <s v="LenaRadford@gmail.com"/>
    <x v="0"/>
    <x v="5"/>
    <x v="990"/>
    <n v="23.67"/>
    <n v="3"/>
    <n v="0.94679999999999997"/>
    <x v="0"/>
    <n v="9"/>
    <x v="8"/>
    <n v="3"/>
    <n v="4"/>
    <n v="4"/>
    <n v="7.8900000000000006"/>
    <x v="0"/>
    <x v="0"/>
    <x v="0"/>
  </r>
  <r>
    <s v="CA-2013-126732"/>
    <d v="2013-09-03T00:00:00"/>
    <d v="2013-09-07T00:00:00"/>
    <s v="LenaRadford@gmail.com"/>
    <x v="0"/>
    <x v="2"/>
    <x v="1322"/>
    <n v="18.690000000000001"/>
    <n v="7"/>
    <n v="5.2332000000000001"/>
    <x v="0"/>
    <n v="9"/>
    <x v="8"/>
    <n v="3"/>
    <n v="4"/>
    <n v="28"/>
    <n v="2.67"/>
    <x v="0"/>
    <x v="0"/>
    <x v="0"/>
  </r>
  <r>
    <s v="CA-2013-126732"/>
    <d v="2013-09-03T00:00:00"/>
    <d v="2013-09-07T00:00:00"/>
    <s v="LenaRadford@gmail.com"/>
    <x v="0"/>
    <x v="3"/>
    <x v="973"/>
    <n v="7.3120000000000003"/>
    <n v="1"/>
    <n v="2.5592000000000001"/>
    <x v="0"/>
    <n v="9"/>
    <x v="8"/>
    <n v="3"/>
    <n v="4"/>
    <n v="35"/>
    <n v="7.3120000000000003"/>
    <x v="0"/>
    <x v="0"/>
    <x v="0"/>
  </r>
  <r>
    <s v="CA-2011-113271"/>
    <d v="2011-07-09T00:00:00"/>
    <d v="2011-07-14T00:00:00"/>
    <s v="DarrinSayre@gmail.com"/>
    <x v="3"/>
    <x v="3"/>
    <x v="1323"/>
    <n v="14.304"/>
    <n v="6"/>
    <n v="4.6487999999999996"/>
    <x v="1"/>
    <n v="7"/>
    <x v="5"/>
    <n v="9"/>
    <n v="5"/>
    <n v="32.5"/>
    <n v="2.3839999999999999"/>
    <x v="0"/>
    <x v="0"/>
    <x v="0"/>
  </r>
  <r>
    <s v="CA-2011-113271"/>
    <d v="2011-07-09T00:00:00"/>
    <d v="2011-07-14T00:00:00"/>
    <s v="DarrinSayre@gmail.com"/>
    <x v="3"/>
    <x v="14"/>
    <x v="1061"/>
    <n v="119.833"/>
    <n v="1"/>
    <n v="7.0490000000000004"/>
    <x v="1"/>
    <n v="7"/>
    <x v="5"/>
    <n v="9"/>
    <n v="5"/>
    <n v="5.88"/>
    <n v="119.833"/>
    <x v="0"/>
    <x v="0"/>
    <x v="0"/>
  </r>
  <r>
    <s v="CA-2011-113271"/>
    <d v="2011-07-09T00:00:00"/>
    <d v="2011-07-14T00:00:00"/>
    <s v="DarrinSayre@gmail.com"/>
    <x v="3"/>
    <x v="2"/>
    <x v="596"/>
    <n v="5.56"/>
    <n v="2"/>
    <n v="2.2240000000000002"/>
    <x v="1"/>
    <n v="7"/>
    <x v="5"/>
    <n v="9"/>
    <n v="5"/>
    <n v="40"/>
    <n v="2.78"/>
    <x v="0"/>
    <x v="0"/>
    <x v="0"/>
  </r>
  <r>
    <s v="CA-2011-113271"/>
    <d v="2011-07-09T00:00:00"/>
    <d v="2011-07-14T00:00:00"/>
    <s v="DarrinSayre@gmail.com"/>
    <x v="3"/>
    <x v="8"/>
    <x v="1324"/>
    <n v="32.4"/>
    <n v="5"/>
    <n v="15.552"/>
    <x v="1"/>
    <n v="7"/>
    <x v="5"/>
    <n v="9"/>
    <n v="5"/>
    <n v="48"/>
    <n v="6.48"/>
    <x v="0"/>
    <x v="0"/>
    <x v="0"/>
  </r>
  <r>
    <s v="CA-2014-130106"/>
    <d v="2014-05-23T00:00:00"/>
    <d v="2014-05-27T00:00:00"/>
    <s v="VickyFreymann@gmail.com"/>
    <x v="3"/>
    <x v="2"/>
    <x v="1235"/>
    <n v="9.84"/>
    <n v="3"/>
    <n v="2.8536000000000001"/>
    <x v="3"/>
    <n v="5"/>
    <x v="2"/>
    <n v="23"/>
    <n v="4"/>
    <n v="29"/>
    <n v="3.28"/>
    <x v="0"/>
    <x v="0"/>
    <x v="0"/>
  </r>
  <r>
    <s v="CA-2014-130106"/>
    <d v="2014-05-23T00:00:00"/>
    <d v="2014-05-27T00:00:00"/>
    <s v="VickyFreymann@gmail.com"/>
    <x v="3"/>
    <x v="2"/>
    <x v="259"/>
    <n v="2.78"/>
    <n v="1"/>
    <n v="0.7228"/>
    <x v="3"/>
    <n v="5"/>
    <x v="2"/>
    <n v="23"/>
    <n v="4"/>
    <n v="26"/>
    <n v="2.78"/>
    <x v="0"/>
    <x v="0"/>
    <x v="0"/>
  </r>
  <r>
    <s v="CA-2014-155712"/>
    <d v="2014-03-03T00:00:00"/>
    <d v="2014-03-09T00:00:00"/>
    <s v="KenDana@gmail.com"/>
    <x v="0"/>
    <x v="3"/>
    <x v="980"/>
    <n v="107.648"/>
    <n v="2"/>
    <n v="33.64"/>
    <x v="3"/>
    <n v="3"/>
    <x v="9"/>
    <n v="3"/>
    <n v="6"/>
    <n v="31.25"/>
    <n v="53.823999999999998"/>
    <x v="0"/>
    <x v="0"/>
    <x v="0"/>
  </r>
  <r>
    <s v="CA-2014-111388"/>
    <d v="2014-09-03T00:00:00"/>
    <d v="2014-09-03T00:00:00"/>
    <s v="StephanieUlpright@gmail.com"/>
    <x v="1"/>
    <x v="9"/>
    <x v="412"/>
    <n v="215.976"/>
    <n v="3"/>
    <n v="-2.6997"/>
    <x v="3"/>
    <n v="9"/>
    <x v="8"/>
    <n v="3"/>
    <n v="0"/>
    <n v="-1.25"/>
    <n v="71.992000000000004"/>
    <x v="1"/>
    <x v="1"/>
    <x v="1"/>
  </r>
  <r>
    <s v="CA-2011-125759"/>
    <d v="2011-02-09T00:00:00"/>
    <d v="2011-02-10T00:00:00"/>
    <s v="NathanMautz@gmail.com"/>
    <x v="70"/>
    <x v="1"/>
    <x v="879"/>
    <n v="14.56"/>
    <n v="2"/>
    <n v="5.5327999999999999"/>
    <x v="1"/>
    <n v="2"/>
    <x v="11"/>
    <n v="9"/>
    <n v="1"/>
    <n v="38"/>
    <n v="7.28"/>
    <x v="0"/>
    <x v="0"/>
    <x v="0"/>
  </r>
  <r>
    <s v="US-2011-134054"/>
    <d v="2011-10-10T00:00:00"/>
    <d v="2011-10-10T00:00:00"/>
    <s v="FredChung@gmail.com"/>
    <x v="93"/>
    <x v="2"/>
    <x v="1325"/>
    <n v="255.85"/>
    <n v="7"/>
    <n v="112.574"/>
    <x v="1"/>
    <n v="10"/>
    <x v="7"/>
    <n v="10"/>
    <n v="0"/>
    <n v="44"/>
    <n v="36.549999999999997"/>
    <x v="0"/>
    <x v="0"/>
    <x v="1"/>
  </r>
  <r>
    <s v="CA-2013-166772"/>
    <d v="2013-09-21T00:00:00"/>
    <d v="2013-09-25T00:00:00"/>
    <s v="HeatherJas@gmail.com"/>
    <x v="1"/>
    <x v="14"/>
    <x v="1326"/>
    <n v="163.88"/>
    <n v="2"/>
    <n v="40.97"/>
    <x v="0"/>
    <n v="9"/>
    <x v="8"/>
    <n v="21"/>
    <n v="4"/>
    <n v="25"/>
    <n v="81.94"/>
    <x v="0"/>
    <x v="0"/>
    <x v="0"/>
  </r>
  <r>
    <s v="CA-2014-102218"/>
    <d v="2014-09-03T00:00:00"/>
    <d v="2014-09-05T00:00:00"/>
    <s v="LukeWeiss@gmail.com"/>
    <x v="90"/>
    <x v="0"/>
    <x v="936"/>
    <n v="11.696"/>
    <n v="2"/>
    <n v="3.9474"/>
    <x v="3"/>
    <n v="9"/>
    <x v="8"/>
    <n v="3"/>
    <n v="2"/>
    <n v="33.75"/>
    <n v="5.8479999999999999"/>
    <x v="0"/>
    <x v="0"/>
    <x v="0"/>
  </r>
  <r>
    <s v="CA-2011-111857"/>
    <d v="2011-04-23T00:00:00"/>
    <d v="2011-04-26T00:00:00"/>
    <s v="NathanMautz@gmail.com"/>
    <x v="3"/>
    <x v="8"/>
    <x v="571"/>
    <n v="48.91"/>
    <n v="1"/>
    <n v="22.9877"/>
    <x v="1"/>
    <n v="4"/>
    <x v="10"/>
    <n v="23"/>
    <n v="3"/>
    <n v="47"/>
    <n v="48.91"/>
    <x v="0"/>
    <x v="0"/>
    <x v="0"/>
  </r>
  <r>
    <s v="CA-2012-137603"/>
    <d v="2012-09-19T00:00:00"/>
    <d v="2012-09-24T00:00:00"/>
    <s v="MarcHarrigan@gmail.com"/>
    <x v="114"/>
    <x v="2"/>
    <x v="927"/>
    <n v="8.4"/>
    <n v="5"/>
    <n v="2.1840000000000002"/>
    <x v="2"/>
    <n v="9"/>
    <x v="8"/>
    <n v="19"/>
    <n v="5"/>
    <n v="26"/>
    <n v="1.68"/>
    <x v="0"/>
    <x v="0"/>
    <x v="0"/>
  </r>
  <r>
    <s v="CA-2011-128237"/>
    <d v="2011-03-25T00:00:00"/>
    <d v="2011-03-30T00:00:00"/>
    <s v="ChristinaAnderson@gmail.com"/>
    <x v="3"/>
    <x v="2"/>
    <x v="1024"/>
    <n v="6.56"/>
    <n v="2"/>
    <n v="1.9024000000000001"/>
    <x v="1"/>
    <n v="3"/>
    <x v="9"/>
    <n v="25"/>
    <n v="5"/>
    <n v="29"/>
    <n v="3.28"/>
    <x v="0"/>
    <x v="0"/>
    <x v="0"/>
  </r>
  <r>
    <s v="CA-2011-128237"/>
    <d v="2011-03-25T00:00:00"/>
    <d v="2011-03-30T00:00:00"/>
    <s v="ChristinaAnderson@gmail.com"/>
    <x v="3"/>
    <x v="2"/>
    <x v="1219"/>
    <n v="14.88"/>
    <n v="2"/>
    <n v="3.72"/>
    <x v="1"/>
    <n v="3"/>
    <x v="9"/>
    <n v="25"/>
    <n v="5"/>
    <n v="25"/>
    <n v="7.44"/>
    <x v="0"/>
    <x v="0"/>
    <x v="0"/>
  </r>
  <r>
    <s v="CA-2011-128237"/>
    <d v="2011-03-25T00:00:00"/>
    <d v="2011-03-30T00:00:00"/>
    <s v="ChristinaAnderson@gmail.com"/>
    <x v="3"/>
    <x v="7"/>
    <x v="1327"/>
    <n v="45.48"/>
    <n v="4"/>
    <n v="15.917999999999999"/>
    <x v="1"/>
    <n v="3"/>
    <x v="9"/>
    <n v="25"/>
    <n v="5"/>
    <n v="35"/>
    <n v="11.37"/>
    <x v="0"/>
    <x v="0"/>
    <x v="0"/>
  </r>
  <r>
    <s v="CA-2011-128237"/>
    <d v="2011-03-25T00:00:00"/>
    <d v="2011-03-30T00:00:00"/>
    <s v="ChristinaAnderson@gmail.com"/>
    <x v="3"/>
    <x v="2"/>
    <x v="242"/>
    <n v="25.44"/>
    <n v="6"/>
    <n v="9.9215999999999998"/>
    <x v="1"/>
    <n v="3"/>
    <x v="9"/>
    <n v="25"/>
    <n v="5"/>
    <n v="39"/>
    <n v="4.24"/>
    <x v="0"/>
    <x v="0"/>
    <x v="0"/>
  </r>
  <r>
    <s v="CA-2014-121853"/>
    <d v="2014-09-24T00:00:00"/>
    <d v="2014-09-30T00:00:00"/>
    <s v="DuaneBenoit@gmail.com"/>
    <x v="0"/>
    <x v="8"/>
    <x v="938"/>
    <n v="211.04"/>
    <n v="8"/>
    <n v="97.078400000000002"/>
    <x v="3"/>
    <n v="9"/>
    <x v="8"/>
    <n v="24"/>
    <n v="6"/>
    <n v="46"/>
    <n v="26.38"/>
    <x v="0"/>
    <x v="0"/>
    <x v="0"/>
  </r>
  <r>
    <s v="CA-2014-121853"/>
    <d v="2014-09-24T00:00:00"/>
    <d v="2014-09-30T00:00:00"/>
    <s v="DuaneBenoit@gmail.com"/>
    <x v="0"/>
    <x v="3"/>
    <x v="616"/>
    <n v="72.959999999999994"/>
    <n v="3"/>
    <n v="23.712"/>
    <x v="3"/>
    <n v="9"/>
    <x v="8"/>
    <n v="24"/>
    <n v="6"/>
    <n v="32.5"/>
    <n v="24.32"/>
    <x v="0"/>
    <x v="0"/>
    <x v="0"/>
  </r>
  <r>
    <s v="US-2014-130687"/>
    <d v="2014-09-08T00:00:00"/>
    <d v="2014-09-11T00:00:00"/>
    <s v="PhillipFlathmann@gmail.com"/>
    <x v="43"/>
    <x v="1"/>
    <x v="1256"/>
    <n v="80.959999999999994"/>
    <n v="4"/>
    <n v="34.812800000000003"/>
    <x v="3"/>
    <n v="9"/>
    <x v="8"/>
    <n v="8"/>
    <n v="3"/>
    <n v="43"/>
    <n v="20.239999999999998"/>
    <x v="0"/>
    <x v="0"/>
    <x v="0"/>
  </r>
  <r>
    <s v="US-2014-130687"/>
    <d v="2014-09-08T00:00:00"/>
    <d v="2014-09-11T00:00:00"/>
    <s v="PhillipFlathmann@gmail.com"/>
    <x v="43"/>
    <x v="6"/>
    <x v="1328"/>
    <n v="455.71199999999999"/>
    <n v="2"/>
    <n v="34.178400000000003"/>
    <x v="3"/>
    <n v="9"/>
    <x v="8"/>
    <n v="8"/>
    <n v="3"/>
    <n v="7.5"/>
    <n v="227.85599999999999"/>
    <x v="0"/>
    <x v="0"/>
    <x v="1"/>
  </r>
  <r>
    <s v="US-2014-130687"/>
    <d v="2014-09-08T00:00:00"/>
    <d v="2014-09-11T00:00:00"/>
    <s v="PhillipFlathmann@gmail.com"/>
    <x v="43"/>
    <x v="2"/>
    <x v="1329"/>
    <n v="25.98"/>
    <n v="1"/>
    <n v="7.2744"/>
    <x v="3"/>
    <n v="9"/>
    <x v="8"/>
    <n v="8"/>
    <n v="3"/>
    <n v="28"/>
    <n v="25.98"/>
    <x v="0"/>
    <x v="0"/>
    <x v="0"/>
  </r>
  <r>
    <s v="CA-2012-164497"/>
    <d v="2012-11-28T00:00:00"/>
    <d v="2012-11-30T00:00:00"/>
    <s v="AshleyJarboe@gmail.com"/>
    <x v="3"/>
    <x v="4"/>
    <x v="1330"/>
    <n v="45.28"/>
    <n v="4"/>
    <n v="15.395200000000001"/>
    <x v="2"/>
    <n v="11"/>
    <x v="6"/>
    <n v="28"/>
    <n v="2"/>
    <n v="34"/>
    <n v="11.32"/>
    <x v="0"/>
    <x v="0"/>
    <x v="0"/>
  </r>
  <r>
    <s v="CA-2014-130715"/>
    <d v="2014-09-17T00:00:00"/>
    <d v="2014-09-21T00:00:00"/>
    <s v="CraigYedwab@gmail.com"/>
    <x v="3"/>
    <x v="10"/>
    <x v="1331"/>
    <n v="17.899999999999999"/>
    <n v="5"/>
    <n v="8.7710000000000008"/>
    <x v="3"/>
    <n v="9"/>
    <x v="8"/>
    <n v="17"/>
    <n v="4"/>
    <n v="49"/>
    <n v="3.58"/>
    <x v="0"/>
    <x v="0"/>
    <x v="0"/>
  </r>
  <r>
    <s v="CA-2011-155264"/>
    <d v="2011-10-19T00:00:00"/>
    <d v="2011-10-22T00:00:00"/>
    <s v="RachelPayne@gmail.com"/>
    <x v="3"/>
    <x v="3"/>
    <x v="683"/>
    <n v="2.992"/>
    <n v="1"/>
    <n v="1.1220000000000001"/>
    <x v="1"/>
    <n v="10"/>
    <x v="7"/>
    <n v="19"/>
    <n v="3"/>
    <n v="37.5"/>
    <n v="2.992"/>
    <x v="0"/>
    <x v="0"/>
    <x v="0"/>
  </r>
  <r>
    <s v="CA-2011-155264"/>
    <d v="2011-10-19T00:00:00"/>
    <d v="2011-10-22T00:00:00"/>
    <s v="RachelPayne@gmail.com"/>
    <x v="3"/>
    <x v="3"/>
    <x v="261"/>
    <n v="20.064"/>
    <n v="6"/>
    <n v="7.0224000000000002"/>
    <x v="1"/>
    <n v="10"/>
    <x v="7"/>
    <n v="19"/>
    <n v="3"/>
    <n v="35"/>
    <n v="3.3439999999999999"/>
    <x v="0"/>
    <x v="0"/>
    <x v="0"/>
  </r>
  <r>
    <s v="CA-2011-155264"/>
    <d v="2011-10-19T00:00:00"/>
    <d v="2011-10-22T00:00:00"/>
    <s v="RachelPayne@gmail.com"/>
    <x v="3"/>
    <x v="8"/>
    <x v="892"/>
    <n v="146.72999999999999"/>
    <n v="3"/>
    <n v="68.963099999999997"/>
    <x v="1"/>
    <n v="10"/>
    <x v="7"/>
    <n v="19"/>
    <n v="3"/>
    <n v="47"/>
    <n v="48.91"/>
    <x v="0"/>
    <x v="0"/>
    <x v="0"/>
  </r>
  <r>
    <s v="CA-2011-155264"/>
    <d v="2011-10-19T00:00:00"/>
    <d v="2011-10-22T00:00:00"/>
    <s v="RachelPayne@gmail.com"/>
    <x v="3"/>
    <x v="0"/>
    <x v="177"/>
    <n v="18.75"/>
    <n v="5"/>
    <n v="9"/>
    <x v="1"/>
    <n v="10"/>
    <x v="7"/>
    <n v="19"/>
    <n v="3"/>
    <n v="48"/>
    <n v="3.75"/>
    <x v="0"/>
    <x v="0"/>
    <x v="0"/>
  </r>
  <r>
    <s v="CA-2011-155264"/>
    <d v="2011-10-19T00:00:00"/>
    <d v="2011-10-22T00:00:00"/>
    <s v="RachelPayne@gmail.com"/>
    <x v="3"/>
    <x v="6"/>
    <x v="1300"/>
    <n v="117.57599999999999"/>
    <n v="3"/>
    <n v="11.7576"/>
    <x v="1"/>
    <n v="10"/>
    <x v="7"/>
    <n v="19"/>
    <n v="3"/>
    <n v="10"/>
    <n v="39.192"/>
    <x v="0"/>
    <x v="0"/>
    <x v="0"/>
  </r>
  <r>
    <s v="CA-2013-119123"/>
    <d v="2013-03-14T00:00:00"/>
    <d v="2013-03-19T00:00:00"/>
    <s v="DennisBolton@gmail.com"/>
    <x v="47"/>
    <x v="3"/>
    <x v="320"/>
    <n v="51.183999999999997"/>
    <n v="7"/>
    <n v="19.193999999999999"/>
    <x v="0"/>
    <n v="3"/>
    <x v="9"/>
    <n v="14"/>
    <n v="5"/>
    <n v="37.5"/>
    <n v="7.3119999999999994"/>
    <x v="0"/>
    <x v="0"/>
    <x v="0"/>
  </r>
  <r>
    <s v="CA-2013-114860"/>
    <d v="2013-12-23T00:00:00"/>
    <d v="2013-12-29T00:00:00"/>
    <s v="DuaneNoonan@gmail.com"/>
    <x v="130"/>
    <x v="1"/>
    <x v="1269"/>
    <n v="41.96"/>
    <n v="2"/>
    <n v="10.909599999999999"/>
    <x v="0"/>
    <n v="12"/>
    <x v="1"/>
    <n v="23"/>
    <n v="6"/>
    <n v="26"/>
    <n v="20.98"/>
    <x v="0"/>
    <x v="0"/>
    <x v="0"/>
  </r>
  <r>
    <s v="CA-2013-159009"/>
    <d v="2013-09-24T00:00:00"/>
    <d v="2013-09-28T00:00:00"/>
    <s v="DavePoirier@gmail.com"/>
    <x v="1"/>
    <x v="3"/>
    <x v="301"/>
    <n v="13.215999999999999"/>
    <n v="4"/>
    <n v="4.4603999999999999"/>
    <x v="0"/>
    <n v="9"/>
    <x v="8"/>
    <n v="24"/>
    <n v="4"/>
    <n v="33.75"/>
    <n v="3.3039999999999998"/>
    <x v="0"/>
    <x v="0"/>
    <x v="0"/>
  </r>
  <r>
    <s v="CA-2013-159009"/>
    <d v="2013-09-24T00:00:00"/>
    <d v="2013-09-28T00:00:00"/>
    <s v="DavePoirier@gmail.com"/>
    <x v="1"/>
    <x v="9"/>
    <x v="623"/>
    <n v="184.75200000000001"/>
    <n v="3"/>
    <n v="-20.784600000000001"/>
    <x v="0"/>
    <n v="9"/>
    <x v="8"/>
    <n v="24"/>
    <n v="4"/>
    <n v="-11.25"/>
    <n v="61.584000000000003"/>
    <x v="0"/>
    <x v="1"/>
    <x v="0"/>
  </r>
  <r>
    <s v="CA-2014-111591"/>
    <d v="2014-03-22T00:00:00"/>
    <d v="2014-03-26T00:00:00"/>
    <s v="PaulStevenson@gmail.com"/>
    <x v="1"/>
    <x v="3"/>
    <x v="1332"/>
    <n v="30.576000000000001"/>
    <n v="6"/>
    <n v="10.3194"/>
    <x v="3"/>
    <n v="3"/>
    <x v="9"/>
    <n v="22"/>
    <n v="4"/>
    <n v="33.75"/>
    <n v="5.0960000000000001"/>
    <x v="0"/>
    <x v="0"/>
    <x v="0"/>
  </r>
  <r>
    <s v="CA-2014-111591"/>
    <d v="2014-03-22T00:00:00"/>
    <d v="2014-03-26T00:00:00"/>
    <s v="PaulStevenson@gmail.com"/>
    <x v="1"/>
    <x v="10"/>
    <x v="885"/>
    <n v="13.02"/>
    <n v="7"/>
    <n v="0.3906"/>
    <x v="3"/>
    <n v="3"/>
    <x v="9"/>
    <n v="22"/>
    <n v="4"/>
    <n v="3"/>
    <n v="1.86"/>
    <x v="0"/>
    <x v="0"/>
    <x v="0"/>
  </r>
  <r>
    <s v="CA-2014-111591"/>
    <d v="2014-03-22T00:00:00"/>
    <d v="2014-03-26T00:00:00"/>
    <s v="PaulStevenson@gmail.com"/>
    <x v="1"/>
    <x v="1"/>
    <x v="798"/>
    <n v="22.14"/>
    <n v="3"/>
    <n v="6.4206000000000003"/>
    <x v="3"/>
    <n v="3"/>
    <x v="9"/>
    <n v="22"/>
    <n v="4"/>
    <n v="29"/>
    <n v="7.38"/>
    <x v="0"/>
    <x v="0"/>
    <x v="0"/>
  </r>
  <r>
    <s v="CA-2014-111591"/>
    <d v="2014-03-22T00:00:00"/>
    <d v="2014-03-26T00:00:00"/>
    <s v="PaulStevenson@gmail.com"/>
    <x v="1"/>
    <x v="5"/>
    <x v="196"/>
    <n v="359.32"/>
    <n v="4"/>
    <n v="7.1863999999999999"/>
    <x v="3"/>
    <n v="3"/>
    <x v="9"/>
    <n v="22"/>
    <n v="4"/>
    <n v="2"/>
    <n v="89.83"/>
    <x v="0"/>
    <x v="0"/>
    <x v="1"/>
  </r>
  <r>
    <s v="CA-2014-102820"/>
    <d v="2014-05-08T00:00:00"/>
    <d v="2014-05-12T00:00:00"/>
    <s v="CarlosSoltero@gmail.com"/>
    <x v="59"/>
    <x v="6"/>
    <x v="1333"/>
    <n v="419.94400000000002"/>
    <n v="7"/>
    <n v="52.493000000000002"/>
    <x v="3"/>
    <n v="5"/>
    <x v="2"/>
    <n v="8"/>
    <n v="4"/>
    <n v="12.5"/>
    <n v="59.991999999999997"/>
    <x v="0"/>
    <x v="0"/>
    <x v="1"/>
  </r>
  <r>
    <s v="CA-2013-149671"/>
    <d v="2013-06-06T00:00:00"/>
    <d v="2013-06-10T00:00:00"/>
    <s v="KenBrennan@gmail.com"/>
    <x v="1"/>
    <x v="11"/>
    <x v="948"/>
    <n v="61.38"/>
    <n v="6"/>
    <n v="15.9588"/>
    <x v="0"/>
    <n v="6"/>
    <x v="0"/>
    <n v="6"/>
    <n v="4"/>
    <n v="26"/>
    <n v="10.23"/>
    <x v="1"/>
    <x v="0"/>
    <x v="0"/>
  </r>
  <r>
    <s v="CA-2012-126347"/>
    <d v="2012-12-14T00:00:00"/>
    <d v="2012-12-19T00:00:00"/>
    <s v="AshleyJarboe@gmail.com"/>
    <x v="0"/>
    <x v="7"/>
    <x v="390"/>
    <n v="50"/>
    <n v="2"/>
    <n v="10.5"/>
    <x v="2"/>
    <n v="12"/>
    <x v="1"/>
    <n v="14"/>
    <n v="5"/>
    <n v="21"/>
    <n v="25"/>
    <x v="0"/>
    <x v="0"/>
    <x v="0"/>
  </r>
  <r>
    <s v="CA-2014-163097"/>
    <d v="2014-08-28T00:00:00"/>
    <d v="2014-09-01T00:00:00"/>
    <s v="SarahFoster@gmail.com"/>
    <x v="33"/>
    <x v="1"/>
    <x v="468"/>
    <n v="120.57599999999999"/>
    <n v="8"/>
    <n v="33.1584"/>
    <x v="3"/>
    <n v="8"/>
    <x v="3"/>
    <n v="28"/>
    <n v="4"/>
    <n v="27.5"/>
    <n v="15.071999999999999"/>
    <x v="0"/>
    <x v="0"/>
    <x v="0"/>
  </r>
  <r>
    <s v="CA-2011-159814"/>
    <d v="2011-06-24T00:00:00"/>
    <d v="2011-06-28T00:00:00"/>
    <s v="LizPelletier@gmail.com"/>
    <x v="24"/>
    <x v="1"/>
    <x v="964"/>
    <n v="4.2720000000000002"/>
    <n v="2"/>
    <n v="0.96120000000000005"/>
    <x v="1"/>
    <n v="6"/>
    <x v="0"/>
    <n v="24"/>
    <n v="4"/>
    <n v="22.5"/>
    <n v="2.1360000000000001"/>
    <x v="0"/>
    <x v="0"/>
    <x v="0"/>
  </r>
  <r>
    <s v="CA-2013-108959"/>
    <d v="2013-03-11T00:00:00"/>
    <d v="2013-03-15T00:00:00"/>
    <s v="MayaHerman@gmail.com"/>
    <x v="62"/>
    <x v="5"/>
    <x v="586"/>
    <n v="104.696"/>
    <n v="1"/>
    <n v="6.5434999999999999"/>
    <x v="0"/>
    <n v="3"/>
    <x v="9"/>
    <n v="11"/>
    <n v="4"/>
    <n v="6.25"/>
    <n v="104.696"/>
    <x v="0"/>
    <x v="0"/>
    <x v="0"/>
  </r>
  <r>
    <s v="CA-2012-127824"/>
    <d v="2012-10-18T00:00:00"/>
    <d v="2012-10-22T00:00:00"/>
    <s v="JohnCastell@gmail.com"/>
    <x v="1"/>
    <x v="6"/>
    <x v="1334"/>
    <n v="249.584"/>
    <n v="2"/>
    <n v="15.599"/>
    <x v="2"/>
    <n v="10"/>
    <x v="7"/>
    <n v="18"/>
    <n v="4"/>
    <n v="6.25"/>
    <n v="124.792"/>
    <x v="0"/>
    <x v="0"/>
    <x v="1"/>
  </r>
  <r>
    <s v="CA-2012-127824"/>
    <d v="2012-10-18T00:00:00"/>
    <d v="2012-10-22T00:00:00"/>
    <s v="JohnCastell@gmail.com"/>
    <x v="1"/>
    <x v="8"/>
    <x v="603"/>
    <n v="17.940000000000001"/>
    <n v="3"/>
    <n v="8.7905999999999995"/>
    <x v="2"/>
    <n v="10"/>
    <x v="7"/>
    <n v="18"/>
    <n v="4"/>
    <n v="49"/>
    <n v="5.98"/>
    <x v="0"/>
    <x v="0"/>
    <x v="0"/>
  </r>
  <r>
    <s v="CA-2012-127824"/>
    <d v="2012-10-18T00:00:00"/>
    <d v="2012-10-22T00:00:00"/>
    <s v="JohnCastell@gmail.com"/>
    <x v="1"/>
    <x v="1"/>
    <x v="947"/>
    <n v="10.11"/>
    <n v="3"/>
    <n v="3.2351999999999999"/>
    <x v="2"/>
    <n v="10"/>
    <x v="7"/>
    <n v="18"/>
    <n v="4"/>
    <n v="32"/>
    <n v="3.37"/>
    <x v="0"/>
    <x v="0"/>
    <x v="0"/>
  </r>
  <r>
    <s v="CA-2011-145254"/>
    <d v="2011-07-23T00:00:00"/>
    <d v="2011-07-27T00:00:00"/>
    <s v="NickCrebassa@gmail.com"/>
    <x v="3"/>
    <x v="11"/>
    <x v="1050"/>
    <n v="40.700000000000003"/>
    <n v="5"/>
    <n v="11.803000000000001"/>
    <x v="1"/>
    <n v="7"/>
    <x v="5"/>
    <n v="23"/>
    <n v="4"/>
    <n v="29"/>
    <n v="8.14"/>
    <x v="0"/>
    <x v="0"/>
    <x v="0"/>
  </r>
  <r>
    <s v="CA-2011-145254"/>
    <d v="2011-07-23T00:00:00"/>
    <d v="2011-07-27T00:00:00"/>
    <s v="NickCrebassa@gmail.com"/>
    <x v="3"/>
    <x v="6"/>
    <x v="1335"/>
    <n v="302.37599999999998"/>
    <n v="3"/>
    <n v="37.796999999999997"/>
    <x v="1"/>
    <n v="7"/>
    <x v="5"/>
    <n v="23"/>
    <n v="4"/>
    <n v="12.5"/>
    <n v="100.792"/>
    <x v="0"/>
    <x v="0"/>
    <x v="1"/>
  </r>
  <r>
    <s v="CA-2011-145254"/>
    <d v="2011-07-23T00:00:00"/>
    <d v="2011-07-27T00:00:00"/>
    <s v="NickCrebassa@gmail.com"/>
    <x v="3"/>
    <x v="7"/>
    <x v="1336"/>
    <n v="45"/>
    <n v="3"/>
    <n v="4.95"/>
    <x v="1"/>
    <n v="7"/>
    <x v="5"/>
    <n v="23"/>
    <n v="4"/>
    <n v="11"/>
    <n v="15"/>
    <x v="0"/>
    <x v="0"/>
    <x v="0"/>
  </r>
  <r>
    <s v="CA-2013-160479"/>
    <d v="2013-09-16T00:00:00"/>
    <d v="2013-09-21T00:00:00"/>
    <s v="AngeleHood@gmail.com"/>
    <x v="1"/>
    <x v="2"/>
    <x v="851"/>
    <n v="35.4"/>
    <n v="5"/>
    <n v="13.452"/>
    <x v="0"/>
    <n v="9"/>
    <x v="8"/>
    <n v="16"/>
    <n v="5"/>
    <n v="38"/>
    <n v="7.08"/>
    <x v="0"/>
    <x v="0"/>
    <x v="0"/>
  </r>
  <r>
    <s v="CA-2012-119627"/>
    <d v="2012-08-17T00:00:00"/>
    <d v="2012-08-23T00:00:00"/>
    <s v="StevenCartwright@gmail.com"/>
    <x v="81"/>
    <x v="7"/>
    <x v="719"/>
    <n v="30.08"/>
    <n v="2"/>
    <n v="-5.2640000000000002"/>
    <x v="2"/>
    <n v="8"/>
    <x v="3"/>
    <n v="17"/>
    <n v="6"/>
    <n v="-17.5"/>
    <n v="15.04"/>
    <x v="0"/>
    <x v="1"/>
    <x v="0"/>
  </r>
  <r>
    <s v="CA-2012-119627"/>
    <d v="2012-08-17T00:00:00"/>
    <d v="2012-08-23T00:00:00"/>
    <s v="StevenCartwright@gmail.com"/>
    <x v="81"/>
    <x v="8"/>
    <x v="1337"/>
    <n v="36.287999999999997"/>
    <n v="7"/>
    <n v="12.700799999999999"/>
    <x v="2"/>
    <n v="8"/>
    <x v="3"/>
    <n v="17"/>
    <n v="6"/>
    <n v="35"/>
    <n v="5.1839999999999993"/>
    <x v="0"/>
    <x v="0"/>
    <x v="0"/>
  </r>
  <r>
    <s v="CA-2012-119627"/>
    <d v="2012-08-17T00:00:00"/>
    <d v="2012-08-23T00:00:00"/>
    <s v="StevenCartwright@gmail.com"/>
    <x v="81"/>
    <x v="2"/>
    <x v="704"/>
    <n v="10.272"/>
    <n v="3"/>
    <n v="1.1556"/>
    <x v="2"/>
    <n v="8"/>
    <x v="3"/>
    <n v="17"/>
    <n v="6"/>
    <n v="11.25"/>
    <n v="3.4239999999999999"/>
    <x v="0"/>
    <x v="0"/>
    <x v="0"/>
  </r>
  <r>
    <s v="CA-2012-119627"/>
    <d v="2012-08-17T00:00:00"/>
    <d v="2012-08-23T00:00:00"/>
    <s v="StevenCartwright@gmail.com"/>
    <x v="81"/>
    <x v="7"/>
    <x v="181"/>
    <n v="252.8"/>
    <n v="4"/>
    <n v="-31.6"/>
    <x v="2"/>
    <n v="8"/>
    <x v="3"/>
    <n v="17"/>
    <n v="6"/>
    <n v="-12.5"/>
    <n v="63.2"/>
    <x v="0"/>
    <x v="1"/>
    <x v="1"/>
  </r>
  <r>
    <s v="CA-2014-107853"/>
    <d v="2014-05-27T00:00:00"/>
    <d v="2014-06-01T00:00:00"/>
    <s v="CarlosDaly@gmail.com"/>
    <x v="49"/>
    <x v="8"/>
    <x v="615"/>
    <n v="12.96"/>
    <n v="2"/>
    <n v="6.2207999999999997"/>
    <x v="3"/>
    <n v="5"/>
    <x v="2"/>
    <n v="27"/>
    <n v="5"/>
    <n v="48"/>
    <n v="6.48"/>
    <x v="0"/>
    <x v="0"/>
    <x v="0"/>
  </r>
  <r>
    <s v="US-2013-148957"/>
    <d v="2013-09-18T00:00:00"/>
    <d v="2013-09-24T00:00:00"/>
    <s v="ChuckClark@gmail.com"/>
    <x v="120"/>
    <x v="0"/>
    <x v="1338"/>
    <n v="12.32"/>
    <n v="4"/>
    <n v="5.9135999999999997"/>
    <x v="0"/>
    <n v="9"/>
    <x v="8"/>
    <n v="18"/>
    <n v="6"/>
    <n v="48"/>
    <n v="3.08"/>
    <x v="0"/>
    <x v="0"/>
    <x v="0"/>
  </r>
  <r>
    <s v="CA-2011-140032"/>
    <d v="2011-09-08T00:00:00"/>
    <d v="2011-09-13T00:00:00"/>
    <s v="TobySwindell@gmail.com"/>
    <x v="3"/>
    <x v="3"/>
    <x v="714"/>
    <n v="8.6080000000000005"/>
    <n v="2"/>
    <n v="3.0127999999999999"/>
    <x v="1"/>
    <n v="9"/>
    <x v="8"/>
    <n v="8"/>
    <n v="5"/>
    <n v="35"/>
    <n v="4.3040000000000003"/>
    <x v="0"/>
    <x v="0"/>
    <x v="0"/>
  </r>
  <r>
    <s v="CA-2014-145506"/>
    <d v="2014-06-04T00:00:00"/>
    <d v="2014-06-08T00:00:00"/>
    <s v="MegO'Connel@gmail.com"/>
    <x v="74"/>
    <x v="5"/>
    <x v="793"/>
    <n v="136.26"/>
    <n v="9"/>
    <n v="5.4504000000000001"/>
    <x v="3"/>
    <n v="6"/>
    <x v="0"/>
    <n v="4"/>
    <n v="4"/>
    <n v="4"/>
    <n v="15.14"/>
    <x v="0"/>
    <x v="0"/>
    <x v="0"/>
  </r>
  <r>
    <s v="CA-2012-129546"/>
    <d v="2012-09-28T00:00:00"/>
    <d v="2012-10-05T00:00:00"/>
    <s v="RoyPhan@gmail.com"/>
    <x v="0"/>
    <x v="4"/>
    <x v="1339"/>
    <n v="186.15"/>
    <n v="3"/>
    <n v="55.844999999999999"/>
    <x v="2"/>
    <n v="9"/>
    <x v="8"/>
    <n v="28"/>
    <n v="7"/>
    <n v="30"/>
    <n v="62.05"/>
    <x v="0"/>
    <x v="0"/>
    <x v="0"/>
  </r>
  <r>
    <s v="CA-2012-129546"/>
    <d v="2012-09-28T00:00:00"/>
    <d v="2012-10-05T00:00:00"/>
    <s v="RoyPhan@gmail.com"/>
    <x v="0"/>
    <x v="3"/>
    <x v="724"/>
    <n v="81.792000000000002"/>
    <n v="6"/>
    <n v="26.5824"/>
    <x v="2"/>
    <n v="9"/>
    <x v="8"/>
    <n v="28"/>
    <n v="7"/>
    <n v="32.5"/>
    <n v="13.632"/>
    <x v="0"/>
    <x v="0"/>
    <x v="0"/>
  </r>
  <r>
    <s v="CA-2012-129546"/>
    <d v="2012-09-28T00:00:00"/>
    <d v="2012-10-05T00:00:00"/>
    <s v="RoyPhan@gmail.com"/>
    <x v="0"/>
    <x v="11"/>
    <x v="1213"/>
    <n v="47.19"/>
    <n v="3"/>
    <n v="13.6851"/>
    <x v="2"/>
    <n v="9"/>
    <x v="8"/>
    <n v="28"/>
    <n v="7"/>
    <n v="29"/>
    <n v="15.73"/>
    <x v="0"/>
    <x v="0"/>
    <x v="0"/>
  </r>
  <r>
    <s v="CA-2012-129546"/>
    <d v="2012-09-28T00:00:00"/>
    <d v="2012-10-05T00:00:00"/>
    <s v="RoyPhan@gmail.com"/>
    <x v="0"/>
    <x v="6"/>
    <x v="138"/>
    <n v="36.783999999999999"/>
    <n v="2"/>
    <n v="-8.2764000000000006"/>
    <x v="2"/>
    <n v="9"/>
    <x v="8"/>
    <n v="28"/>
    <n v="7"/>
    <n v="-22.5"/>
    <n v="18.391999999999999"/>
    <x v="0"/>
    <x v="1"/>
    <x v="0"/>
  </r>
  <r>
    <s v="CA-2011-138240"/>
    <d v="2011-10-09T00:00:00"/>
    <d v="2011-10-14T00:00:00"/>
    <s v="ShirleyJackson@gmail.com"/>
    <x v="3"/>
    <x v="2"/>
    <x v="361"/>
    <n v="144.6"/>
    <n v="3"/>
    <n v="41.933999999999997"/>
    <x v="1"/>
    <n v="10"/>
    <x v="7"/>
    <n v="9"/>
    <n v="5"/>
    <n v="29"/>
    <n v="48.2"/>
    <x v="0"/>
    <x v="0"/>
    <x v="0"/>
  </r>
  <r>
    <s v="CA-2011-138240"/>
    <d v="2011-10-09T00:00:00"/>
    <d v="2011-10-14T00:00:00"/>
    <s v="ShirleyJackson@gmail.com"/>
    <x v="3"/>
    <x v="6"/>
    <x v="1261"/>
    <n v="15.992000000000001"/>
    <n v="1"/>
    <n v="-2.9984999999999999"/>
    <x v="1"/>
    <n v="10"/>
    <x v="7"/>
    <n v="9"/>
    <n v="5"/>
    <n v="-18.75"/>
    <n v="15.992000000000001"/>
    <x v="0"/>
    <x v="1"/>
    <x v="0"/>
  </r>
  <r>
    <s v="CA-2011-100867"/>
    <d v="2011-10-19T00:00:00"/>
    <d v="2011-10-24T00:00:00"/>
    <s v="EugeneHildebrand@gmail.com"/>
    <x v="116"/>
    <x v="6"/>
    <x v="400"/>
    <n v="321.55200000000002"/>
    <n v="6"/>
    <n v="20.097000000000001"/>
    <x v="1"/>
    <n v="10"/>
    <x v="7"/>
    <n v="19"/>
    <n v="5"/>
    <n v="6.25"/>
    <n v="53.592000000000013"/>
    <x v="0"/>
    <x v="0"/>
    <x v="1"/>
  </r>
  <r>
    <s v="CA-2013-126858"/>
    <d v="2013-11-20T00:00:00"/>
    <d v="2013-11-24T00:00:00"/>
    <s v="JanetMolinari@gmail.com"/>
    <x v="1"/>
    <x v="1"/>
    <x v="141"/>
    <n v="31.96"/>
    <n v="2"/>
    <n v="1.5980000000000001"/>
    <x v="0"/>
    <n v="11"/>
    <x v="6"/>
    <n v="20"/>
    <n v="4"/>
    <n v="5"/>
    <n v="15.98"/>
    <x v="0"/>
    <x v="0"/>
    <x v="0"/>
  </r>
  <r>
    <s v="CA-2011-122679"/>
    <d v="2011-07-22T00:00:00"/>
    <d v="2011-07-28T00:00:00"/>
    <s v="AlejandroBallentine@gmail.com"/>
    <x v="0"/>
    <x v="2"/>
    <x v="758"/>
    <n v="19.68"/>
    <n v="6"/>
    <n v="6.4943999999999997"/>
    <x v="1"/>
    <n v="7"/>
    <x v="5"/>
    <n v="22"/>
    <n v="6"/>
    <n v="33"/>
    <n v="3.28"/>
    <x v="0"/>
    <x v="0"/>
    <x v="0"/>
  </r>
  <r>
    <s v="CA-2014-111738"/>
    <d v="2014-01-04T00:00:00"/>
    <d v="2014-01-08T00:00:00"/>
    <s v="ChristopherMartinez@gmail.com"/>
    <x v="3"/>
    <x v="2"/>
    <x v="1225"/>
    <n v="9.1199999999999992"/>
    <n v="3"/>
    <n v="3.1008"/>
    <x v="3"/>
    <n v="1"/>
    <x v="4"/>
    <n v="4"/>
    <n v="4"/>
    <n v="34"/>
    <n v="3.04"/>
    <x v="0"/>
    <x v="0"/>
    <x v="0"/>
  </r>
  <r>
    <s v="US-2013-123610"/>
    <d v="2013-05-13T00:00:00"/>
    <d v="2013-05-17T00:00:00"/>
    <s v="VivianMathis@gmail.com"/>
    <x v="37"/>
    <x v="7"/>
    <x v="1340"/>
    <n v="120"/>
    <n v="6"/>
    <n v="46.8"/>
    <x v="0"/>
    <n v="5"/>
    <x v="2"/>
    <n v="13"/>
    <n v="4"/>
    <n v="39"/>
    <n v="20"/>
    <x v="0"/>
    <x v="0"/>
    <x v="0"/>
  </r>
  <r>
    <s v="US-2013-123610"/>
    <d v="2013-05-13T00:00:00"/>
    <d v="2013-05-17T00:00:00"/>
    <s v="VivianMathis@gmail.com"/>
    <x v="37"/>
    <x v="4"/>
    <x v="50"/>
    <n v="8.67"/>
    <n v="1"/>
    <n v="2.3409"/>
    <x v="0"/>
    <n v="5"/>
    <x v="2"/>
    <n v="13"/>
    <n v="4"/>
    <n v="27"/>
    <n v="8.67"/>
    <x v="0"/>
    <x v="0"/>
    <x v="0"/>
  </r>
  <r>
    <s v="US-2012-158589"/>
    <d v="2012-11-20T00:00:00"/>
    <d v="2012-11-24T00:00:00"/>
    <s v="KellyWilliams@gmail.com"/>
    <x v="3"/>
    <x v="1"/>
    <x v="1341"/>
    <n v="32.04"/>
    <n v="3"/>
    <n v="8.01"/>
    <x v="2"/>
    <n v="11"/>
    <x v="6"/>
    <n v="20"/>
    <n v="4"/>
    <n v="25"/>
    <n v="10.68"/>
    <x v="1"/>
    <x v="0"/>
    <x v="0"/>
  </r>
  <r>
    <s v="US-2014-104451"/>
    <d v="2014-05-09T00:00:00"/>
    <d v="2014-05-13T00:00:00"/>
    <s v="MichelleMoray@gmail.com"/>
    <x v="3"/>
    <x v="4"/>
    <x v="502"/>
    <n v="81.08"/>
    <n v="4"/>
    <n v="22.702400000000001"/>
    <x v="3"/>
    <n v="5"/>
    <x v="2"/>
    <n v="9"/>
    <n v="4"/>
    <n v="28"/>
    <n v="20.27"/>
    <x v="0"/>
    <x v="0"/>
    <x v="0"/>
  </r>
  <r>
    <s v="CA-2013-101189"/>
    <d v="2013-02-04T00:00:00"/>
    <d v="2013-02-09T00:00:00"/>
    <s v="JenniferBraxton@gmail.com"/>
    <x v="0"/>
    <x v="5"/>
    <x v="449"/>
    <n v="93.02"/>
    <n v="2"/>
    <n v="3.7208000000000001"/>
    <x v="0"/>
    <n v="2"/>
    <x v="11"/>
    <n v="4"/>
    <n v="5"/>
    <n v="4"/>
    <n v="46.51"/>
    <x v="0"/>
    <x v="0"/>
    <x v="0"/>
  </r>
  <r>
    <s v="CA-2014-156958"/>
    <d v="2014-12-06T00:00:00"/>
    <d v="2014-12-07T00:00:00"/>
    <s v="PatrickBzostek@gmail.com"/>
    <x v="1"/>
    <x v="3"/>
    <x v="838"/>
    <n v="83.92"/>
    <n v="5"/>
    <n v="29.372"/>
    <x v="3"/>
    <n v="12"/>
    <x v="1"/>
    <n v="6"/>
    <n v="1"/>
    <n v="35"/>
    <n v="16.783999999999999"/>
    <x v="0"/>
    <x v="0"/>
    <x v="0"/>
  </r>
  <r>
    <s v="CA-2014-156958"/>
    <d v="2014-12-06T00:00:00"/>
    <d v="2014-12-07T00:00:00"/>
    <s v="PatrickBzostek@gmail.com"/>
    <x v="1"/>
    <x v="1"/>
    <x v="1342"/>
    <n v="199.9"/>
    <n v="5"/>
    <n v="39.979999999999997"/>
    <x v="3"/>
    <n v="12"/>
    <x v="1"/>
    <n v="6"/>
    <n v="1"/>
    <n v="20"/>
    <n v="39.979999999999997"/>
    <x v="0"/>
    <x v="0"/>
    <x v="0"/>
  </r>
  <r>
    <s v="CA-2014-156958"/>
    <d v="2014-12-06T00:00:00"/>
    <d v="2014-12-07T00:00:00"/>
    <s v="PatrickBzostek@gmail.com"/>
    <x v="1"/>
    <x v="6"/>
    <x v="1111"/>
    <n v="31.175999999999998"/>
    <n v="3"/>
    <n v="-7.0145999999999997"/>
    <x v="3"/>
    <n v="12"/>
    <x v="1"/>
    <n v="6"/>
    <n v="1"/>
    <n v="-22.5"/>
    <n v="10.391999999999999"/>
    <x v="0"/>
    <x v="1"/>
    <x v="0"/>
  </r>
  <r>
    <s v="CA-2014-156958"/>
    <d v="2014-12-06T00:00:00"/>
    <d v="2014-12-07T00:00:00"/>
    <s v="PatrickBzostek@gmail.com"/>
    <x v="1"/>
    <x v="3"/>
    <x v="654"/>
    <n v="172.75200000000001"/>
    <n v="6"/>
    <n v="60.463200000000001"/>
    <x v="3"/>
    <n v="12"/>
    <x v="1"/>
    <n v="6"/>
    <n v="1"/>
    <n v="35"/>
    <n v="28.792000000000002"/>
    <x v="0"/>
    <x v="0"/>
    <x v="0"/>
  </r>
  <r>
    <s v="CA-2014-156958"/>
    <d v="2014-12-06T00:00:00"/>
    <d v="2014-12-07T00:00:00"/>
    <s v="PatrickBzostek@gmail.com"/>
    <x v="1"/>
    <x v="3"/>
    <x v="221"/>
    <n v="9.2959999999999994"/>
    <n v="2"/>
    <n v="3.0211999999999999"/>
    <x v="3"/>
    <n v="12"/>
    <x v="1"/>
    <n v="6"/>
    <n v="1"/>
    <n v="32.5"/>
    <n v="4.6479999999999997"/>
    <x v="0"/>
    <x v="0"/>
    <x v="0"/>
  </r>
  <r>
    <s v="CA-2014-111759"/>
    <d v="2014-07-09T00:00:00"/>
    <d v="2014-07-13T00:00:00"/>
    <s v="MathewReese@gmail.com"/>
    <x v="1"/>
    <x v="8"/>
    <x v="50"/>
    <n v="52.76"/>
    <n v="2"/>
    <n v="24.269600000000001"/>
    <x v="3"/>
    <n v="7"/>
    <x v="5"/>
    <n v="9"/>
    <n v="4"/>
    <n v="46"/>
    <n v="26.38"/>
    <x v="1"/>
    <x v="0"/>
    <x v="0"/>
  </r>
  <r>
    <s v="CA-2013-148747"/>
    <d v="2013-09-26T00:00:00"/>
    <d v="2013-09-28T00:00:00"/>
    <s v="AaronSmayling@gmail.com"/>
    <x v="3"/>
    <x v="14"/>
    <x v="1343"/>
    <n v="477.666"/>
    <n v="2"/>
    <n v="84.293999999999997"/>
    <x v="0"/>
    <n v="9"/>
    <x v="8"/>
    <n v="26"/>
    <n v="2"/>
    <n v="17.649999999999999"/>
    <n v="238.833"/>
    <x v="0"/>
    <x v="0"/>
    <x v="1"/>
  </r>
  <r>
    <s v="CA-2012-135727"/>
    <d v="2012-05-11T00:00:00"/>
    <d v="2012-05-16T00:00:00"/>
    <s v="PaulStevenson@gmail.com"/>
    <x v="7"/>
    <x v="9"/>
    <x v="784"/>
    <n v="191.96799999999999"/>
    <n v="7"/>
    <n v="16.7972"/>
    <x v="2"/>
    <n v="5"/>
    <x v="2"/>
    <n v="11"/>
    <n v="5"/>
    <n v="8.75"/>
    <n v="27.423999999999999"/>
    <x v="0"/>
    <x v="0"/>
    <x v="0"/>
  </r>
  <r>
    <s v="CA-2012-160864"/>
    <d v="2012-05-03T00:00:00"/>
    <d v="2012-05-06T00:00:00"/>
    <s v="NicoleFjeld@gmail.com"/>
    <x v="10"/>
    <x v="3"/>
    <x v="1344"/>
    <n v="13.848000000000001"/>
    <n v="3"/>
    <n v="5.1929999999999996"/>
    <x v="2"/>
    <n v="5"/>
    <x v="2"/>
    <n v="3"/>
    <n v="3"/>
    <n v="37.5"/>
    <n v="4.6160000000000014"/>
    <x v="0"/>
    <x v="0"/>
    <x v="0"/>
  </r>
  <r>
    <s v="CA-2013-125724"/>
    <d v="2013-09-23T00:00:00"/>
    <d v="2013-09-28T00:00:00"/>
    <s v="SuzanneMcNair@gmail.com"/>
    <x v="78"/>
    <x v="1"/>
    <x v="187"/>
    <n v="68.432000000000002"/>
    <n v="7"/>
    <n v="8.5540000000000003"/>
    <x v="0"/>
    <n v="9"/>
    <x v="8"/>
    <n v="23"/>
    <n v="5"/>
    <n v="12.5"/>
    <n v="9.7759999999999998"/>
    <x v="0"/>
    <x v="0"/>
    <x v="0"/>
  </r>
  <r>
    <s v="CA-2012-161242"/>
    <d v="2012-06-01T00:00:00"/>
    <d v="2012-06-08T00:00:00"/>
    <s v="CatherineGlotzbach@gmail.com"/>
    <x v="0"/>
    <x v="8"/>
    <x v="690"/>
    <n v="11.76"/>
    <n v="2"/>
    <n v="5.7624000000000004"/>
    <x v="2"/>
    <n v="6"/>
    <x v="0"/>
    <n v="1"/>
    <n v="7"/>
    <n v="49"/>
    <n v="5.88"/>
    <x v="1"/>
    <x v="0"/>
    <x v="0"/>
  </r>
  <r>
    <s v="CA-2012-148495"/>
    <d v="2012-08-13T00:00:00"/>
    <d v="2012-08-13T00:00:00"/>
    <s v="SandraFlanagan@gmail.com"/>
    <x v="64"/>
    <x v="1"/>
    <x v="437"/>
    <n v="31.56"/>
    <n v="3"/>
    <n v="10.4148"/>
    <x v="2"/>
    <n v="8"/>
    <x v="3"/>
    <n v="13"/>
    <n v="0"/>
    <n v="33"/>
    <n v="10.52"/>
    <x v="1"/>
    <x v="0"/>
    <x v="0"/>
  </r>
  <r>
    <s v="CA-2013-108630"/>
    <d v="2013-11-19T00:00:00"/>
    <d v="2013-11-19T00:00:00"/>
    <s v="BobbyElias@gmail.com"/>
    <x v="29"/>
    <x v="3"/>
    <x v="549"/>
    <n v="61.12"/>
    <n v="5"/>
    <n v="22.155999999999999"/>
    <x v="0"/>
    <n v="11"/>
    <x v="6"/>
    <n v="19"/>
    <n v="0"/>
    <n v="36.25"/>
    <n v="12.224"/>
    <x v="1"/>
    <x v="0"/>
    <x v="0"/>
  </r>
  <r>
    <s v="CA-2014-104619"/>
    <d v="2014-01-25T00:00:00"/>
    <d v="2014-01-30T00:00:00"/>
    <s v="KeithDawkins@gmail.com"/>
    <x v="10"/>
    <x v="4"/>
    <x v="520"/>
    <n v="25.86"/>
    <n v="3"/>
    <n v="6.7236000000000002"/>
    <x v="3"/>
    <n v="1"/>
    <x v="4"/>
    <n v="25"/>
    <n v="5"/>
    <n v="26"/>
    <n v="8.6199999999999992"/>
    <x v="0"/>
    <x v="0"/>
    <x v="0"/>
  </r>
  <r>
    <s v="CA-2014-104619"/>
    <d v="2014-01-25T00:00:00"/>
    <d v="2014-01-30T00:00:00"/>
    <s v="KeithDawkins@gmail.com"/>
    <x v="10"/>
    <x v="3"/>
    <x v="1313"/>
    <n v="276.78399999999999"/>
    <n v="2"/>
    <n v="89.954800000000006"/>
    <x v="3"/>
    <n v="1"/>
    <x v="4"/>
    <n v="25"/>
    <n v="5"/>
    <n v="32.5"/>
    <n v="138.392"/>
    <x v="0"/>
    <x v="0"/>
    <x v="1"/>
  </r>
  <r>
    <s v="CA-2014-104619"/>
    <d v="2014-01-25T00:00:00"/>
    <d v="2014-01-30T00:00:00"/>
    <s v="KeithDawkins@gmail.com"/>
    <x v="10"/>
    <x v="6"/>
    <x v="878"/>
    <n v="110.352"/>
    <n v="3"/>
    <n v="8.2764000000000006"/>
    <x v="3"/>
    <n v="1"/>
    <x v="4"/>
    <n v="25"/>
    <n v="5"/>
    <n v="7.5"/>
    <n v="36.783999999999999"/>
    <x v="0"/>
    <x v="0"/>
    <x v="0"/>
  </r>
  <r>
    <s v="CA-2012-149517"/>
    <d v="2012-09-19T00:00:00"/>
    <d v="2012-09-23T00:00:00"/>
    <s v="FrankCarlisle@gmail.com"/>
    <x v="91"/>
    <x v="1"/>
    <x v="1345"/>
    <n v="60.84"/>
    <n v="3"/>
    <n v="19.468800000000002"/>
    <x v="2"/>
    <n v="9"/>
    <x v="8"/>
    <n v="19"/>
    <n v="4"/>
    <n v="32"/>
    <n v="20.28"/>
    <x v="0"/>
    <x v="0"/>
    <x v="0"/>
  </r>
  <r>
    <s v="CA-2012-116841"/>
    <d v="2012-04-14T00:00:00"/>
    <d v="2012-04-18T00:00:00"/>
    <s v="TheonePippenger@gmail.com"/>
    <x v="77"/>
    <x v="4"/>
    <x v="545"/>
    <n v="35.207999999999998"/>
    <n v="1"/>
    <n v="2.6406000000000001"/>
    <x v="2"/>
    <n v="4"/>
    <x v="10"/>
    <n v="14"/>
    <n v="4"/>
    <n v="7.5"/>
    <n v="35.207999999999998"/>
    <x v="1"/>
    <x v="0"/>
    <x v="0"/>
  </r>
  <r>
    <s v="CA-2013-130638"/>
    <d v="2013-05-17T00:00:00"/>
    <d v="2013-05-20T00:00:00"/>
    <s v="SanjitChand@gmail.com"/>
    <x v="0"/>
    <x v="1"/>
    <x v="1346"/>
    <n v="282.83999999999997"/>
    <n v="4"/>
    <n v="19.7988"/>
    <x v="0"/>
    <n v="5"/>
    <x v="2"/>
    <n v="17"/>
    <n v="3"/>
    <n v="7"/>
    <n v="70.709999999999994"/>
    <x v="0"/>
    <x v="0"/>
    <x v="1"/>
  </r>
  <r>
    <s v="CA-2013-130638"/>
    <d v="2013-05-17T00:00:00"/>
    <d v="2013-05-20T00:00:00"/>
    <s v="SanjitChand@gmail.com"/>
    <x v="0"/>
    <x v="0"/>
    <x v="1338"/>
    <n v="27.72"/>
    <n v="9"/>
    <n v="13.3056"/>
    <x v="0"/>
    <n v="5"/>
    <x v="2"/>
    <n v="17"/>
    <n v="3"/>
    <n v="48"/>
    <n v="3.08"/>
    <x v="0"/>
    <x v="0"/>
    <x v="0"/>
  </r>
  <r>
    <s v="CA-2013-110086"/>
    <d v="2013-09-19T00:00:00"/>
    <d v="2013-09-23T00:00:00"/>
    <s v="BillDonatelli@gmail.com"/>
    <x v="109"/>
    <x v="6"/>
    <x v="679"/>
    <n v="239.98400000000001"/>
    <n v="2"/>
    <n v="23.9984"/>
    <x v="0"/>
    <n v="9"/>
    <x v="8"/>
    <n v="19"/>
    <n v="4"/>
    <n v="10"/>
    <n v="119.992"/>
    <x v="0"/>
    <x v="0"/>
    <x v="1"/>
  </r>
  <r>
    <s v="CA-2011-128524"/>
    <d v="2011-11-11T00:00:00"/>
    <d v="2011-11-13T00:00:00"/>
    <s v="MaryZewe@gmail.com"/>
    <x v="1"/>
    <x v="4"/>
    <x v="4"/>
    <n v="22.98"/>
    <n v="1"/>
    <n v="6.8940000000000001"/>
    <x v="1"/>
    <n v="11"/>
    <x v="6"/>
    <n v="11"/>
    <n v="2"/>
    <n v="30"/>
    <n v="22.98"/>
    <x v="0"/>
    <x v="0"/>
    <x v="0"/>
  </r>
  <r>
    <s v="CA-2011-128524"/>
    <d v="2011-11-11T00:00:00"/>
    <d v="2011-11-13T00:00:00"/>
    <s v="MaryZewe@gmail.com"/>
    <x v="1"/>
    <x v="7"/>
    <x v="1237"/>
    <n v="102.13"/>
    <n v="7"/>
    <n v="15.3195"/>
    <x v="1"/>
    <n v="11"/>
    <x v="6"/>
    <n v="11"/>
    <n v="2"/>
    <n v="15"/>
    <n v="14.59"/>
    <x v="0"/>
    <x v="0"/>
    <x v="0"/>
  </r>
  <r>
    <s v="CA-2013-140256"/>
    <d v="2013-08-23T00:00:00"/>
    <d v="2013-08-30T00:00:00"/>
    <s v="PaulineWebber@gmail.com"/>
    <x v="0"/>
    <x v="2"/>
    <x v="274"/>
    <n v="5.76"/>
    <n v="2"/>
    <n v="1.6704000000000001"/>
    <x v="0"/>
    <n v="8"/>
    <x v="3"/>
    <n v="23"/>
    <n v="7"/>
    <n v="29"/>
    <n v="2.88"/>
    <x v="0"/>
    <x v="0"/>
    <x v="0"/>
  </r>
  <r>
    <s v="CA-2011-124702"/>
    <d v="2011-11-18T00:00:00"/>
    <d v="2011-11-25T00:00:00"/>
    <s v="MayaHerman@gmail.com"/>
    <x v="1"/>
    <x v="1"/>
    <x v="1347"/>
    <n v="137.54"/>
    <n v="2"/>
    <n v="55.015999999999998"/>
    <x v="1"/>
    <n v="11"/>
    <x v="6"/>
    <n v="18"/>
    <n v="7"/>
    <n v="40"/>
    <n v="68.77"/>
    <x v="0"/>
    <x v="0"/>
    <x v="0"/>
  </r>
  <r>
    <s v="US-2014-125808"/>
    <d v="2014-11-13T00:00:00"/>
    <d v="2014-11-16T00:00:00"/>
    <s v="EmilyPhan@gmail.com"/>
    <x v="0"/>
    <x v="8"/>
    <x v="1253"/>
    <n v="11.56"/>
    <n v="2"/>
    <n v="5.6643999999999997"/>
    <x v="3"/>
    <n v="11"/>
    <x v="6"/>
    <n v="13"/>
    <n v="3"/>
    <n v="49"/>
    <n v="5.78"/>
    <x v="0"/>
    <x v="0"/>
    <x v="0"/>
  </r>
  <r>
    <s v="CA-2011-104563"/>
    <d v="2011-03-07T00:00:00"/>
    <d v="2011-03-12T00:00:00"/>
    <s v="CraigMolinari@gmail.com"/>
    <x v="1"/>
    <x v="2"/>
    <x v="883"/>
    <n v="20.65"/>
    <n v="5"/>
    <n v="9.4990000000000006"/>
    <x v="1"/>
    <n v="3"/>
    <x v="9"/>
    <n v="7"/>
    <n v="5"/>
    <n v="46"/>
    <n v="4.13"/>
    <x v="0"/>
    <x v="0"/>
    <x v="0"/>
  </r>
  <r>
    <s v="CA-2011-104563"/>
    <d v="2011-03-07T00:00:00"/>
    <d v="2011-03-12T00:00:00"/>
    <s v="CraigMolinari@gmail.com"/>
    <x v="1"/>
    <x v="5"/>
    <x v="1252"/>
    <n v="204.9"/>
    <n v="5"/>
    <n v="0"/>
    <x v="1"/>
    <n v="3"/>
    <x v="9"/>
    <n v="7"/>
    <n v="5"/>
    <n v="0"/>
    <n v="40.98"/>
    <x v="0"/>
    <x v="0"/>
    <x v="0"/>
  </r>
  <r>
    <s v="CA-2011-104563"/>
    <d v="2011-03-07T00:00:00"/>
    <d v="2011-03-12T00:00:00"/>
    <s v="CraigMolinari@gmail.com"/>
    <x v="1"/>
    <x v="9"/>
    <x v="1348"/>
    <n v="436.70400000000001"/>
    <n v="6"/>
    <n v="21.8352"/>
    <x v="1"/>
    <n v="3"/>
    <x v="9"/>
    <n v="7"/>
    <n v="5"/>
    <n v="5"/>
    <n v="72.784000000000006"/>
    <x v="0"/>
    <x v="0"/>
    <x v="1"/>
  </r>
  <r>
    <s v="CA-2011-104563"/>
    <d v="2011-03-07T00:00:00"/>
    <d v="2011-03-12T00:00:00"/>
    <s v="CraigMolinari@gmail.com"/>
    <x v="1"/>
    <x v="9"/>
    <x v="783"/>
    <n v="481.56799999999998"/>
    <n v="2"/>
    <n v="54.176400000000001"/>
    <x v="1"/>
    <n v="3"/>
    <x v="9"/>
    <n v="7"/>
    <n v="5"/>
    <n v="11.25"/>
    <n v="240.78399999999999"/>
    <x v="0"/>
    <x v="0"/>
    <x v="1"/>
  </r>
  <r>
    <s v="US-2014-107979"/>
    <d v="2014-06-09T00:00:00"/>
    <d v="2014-06-14T00:00:00"/>
    <s v="FrankOlsen@gmail.com"/>
    <x v="62"/>
    <x v="7"/>
    <x v="1126"/>
    <n v="89.543999999999997"/>
    <n v="7"/>
    <n v="12.3123"/>
    <x v="3"/>
    <n v="6"/>
    <x v="0"/>
    <n v="9"/>
    <n v="5"/>
    <n v="13.75"/>
    <n v="12.792"/>
    <x v="0"/>
    <x v="0"/>
    <x v="0"/>
  </r>
  <r>
    <s v="US-2014-107979"/>
    <d v="2014-06-09T00:00:00"/>
    <d v="2014-06-14T00:00:00"/>
    <s v="FrankOlsen@gmail.com"/>
    <x v="62"/>
    <x v="5"/>
    <x v="1096"/>
    <n v="35.167999999999999"/>
    <n v="2"/>
    <n v="-8.3523999999999994"/>
    <x v="3"/>
    <n v="6"/>
    <x v="0"/>
    <n v="9"/>
    <n v="5"/>
    <n v="-23.75"/>
    <n v="17.584"/>
    <x v="0"/>
    <x v="1"/>
    <x v="0"/>
  </r>
  <r>
    <s v="US-2014-107979"/>
    <d v="2014-06-09T00:00:00"/>
    <d v="2014-06-14T00:00:00"/>
    <s v="FrankOlsen@gmail.com"/>
    <x v="62"/>
    <x v="3"/>
    <x v="335"/>
    <n v="72.587999999999994"/>
    <n v="2"/>
    <n v="-48.392000000000003"/>
    <x v="3"/>
    <n v="6"/>
    <x v="0"/>
    <n v="9"/>
    <n v="5"/>
    <n v="-66.67"/>
    <n v="36.293999999999997"/>
    <x v="0"/>
    <x v="1"/>
    <x v="0"/>
  </r>
  <r>
    <s v="CA-2013-107104"/>
    <d v="2013-11-27T00:00:00"/>
    <d v="2013-12-01T00:00:00"/>
    <s v="MaribethSchnelling@gmail.com"/>
    <x v="0"/>
    <x v="2"/>
    <x v="747"/>
    <n v="37.17"/>
    <n v="9"/>
    <n v="10.4076"/>
    <x v="0"/>
    <n v="11"/>
    <x v="6"/>
    <n v="27"/>
    <n v="4"/>
    <n v="28"/>
    <n v="4.13"/>
    <x v="0"/>
    <x v="0"/>
    <x v="0"/>
  </r>
  <r>
    <s v="CA-2013-107104"/>
    <d v="2013-11-27T00:00:00"/>
    <d v="2013-12-01T00:00:00"/>
    <s v="MaribethSchnelling@gmail.com"/>
    <x v="0"/>
    <x v="4"/>
    <x v="953"/>
    <n v="64.959999999999994"/>
    <n v="2"/>
    <n v="19.488"/>
    <x v="0"/>
    <n v="11"/>
    <x v="6"/>
    <n v="27"/>
    <n v="4"/>
    <n v="30"/>
    <n v="32.479999999999997"/>
    <x v="0"/>
    <x v="0"/>
    <x v="0"/>
  </r>
  <r>
    <s v="CA-2014-161893"/>
    <d v="2014-01-24T00:00:00"/>
    <d v="2014-01-28T00:00:00"/>
    <s v="HaroldPawlan@gmail.com"/>
    <x v="24"/>
    <x v="7"/>
    <x v="1201"/>
    <n v="95.983999999999995"/>
    <n v="2"/>
    <n v="11.997999999999999"/>
    <x v="3"/>
    <n v="1"/>
    <x v="4"/>
    <n v="24"/>
    <n v="4"/>
    <n v="12.5"/>
    <n v="47.991999999999997"/>
    <x v="0"/>
    <x v="0"/>
    <x v="0"/>
  </r>
  <r>
    <s v="CA-2014-161893"/>
    <d v="2014-01-24T00:00:00"/>
    <d v="2014-01-28T00:00:00"/>
    <s v="HaroldPawlan@gmail.com"/>
    <x v="24"/>
    <x v="3"/>
    <x v="498"/>
    <n v="4.9379999999999997"/>
    <n v="2"/>
    <n v="-3.6212"/>
    <x v="3"/>
    <n v="1"/>
    <x v="4"/>
    <n v="24"/>
    <n v="4"/>
    <n v="-73.33"/>
    <n v="2.4689999999999999"/>
    <x v="0"/>
    <x v="1"/>
    <x v="0"/>
  </r>
  <r>
    <s v="CA-2011-100860"/>
    <d v="2011-03-26T00:00:00"/>
    <d v="2011-03-30T00:00:00"/>
    <s v="CindyStewart@gmail.com"/>
    <x v="64"/>
    <x v="0"/>
    <x v="1349"/>
    <n v="18.75"/>
    <n v="5"/>
    <n v="9"/>
    <x v="1"/>
    <n v="3"/>
    <x v="9"/>
    <n v="26"/>
    <n v="4"/>
    <n v="48"/>
    <n v="3.75"/>
    <x v="0"/>
    <x v="0"/>
    <x v="0"/>
  </r>
  <r>
    <s v="CA-2013-160717"/>
    <d v="2013-06-07T00:00:00"/>
    <d v="2013-06-12T00:00:00"/>
    <s v="MariaEtezadi@gmail.com"/>
    <x v="136"/>
    <x v="7"/>
    <x v="1350"/>
    <n v="26.96"/>
    <n v="2"/>
    <n v="3.7744"/>
    <x v="0"/>
    <n v="6"/>
    <x v="0"/>
    <n v="7"/>
    <n v="5"/>
    <n v="14"/>
    <n v="13.48"/>
    <x v="0"/>
    <x v="0"/>
    <x v="0"/>
  </r>
  <r>
    <s v="CA-2013-160717"/>
    <d v="2013-06-07T00:00:00"/>
    <d v="2013-06-12T00:00:00"/>
    <s v="MariaEtezadi@gmail.com"/>
    <x v="136"/>
    <x v="6"/>
    <x v="691"/>
    <n v="477.6"/>
    <n v="3"/>
    <n v="161.19"/>
    <x v="0"/>
    <n v="6"/>
    <x v="0"/>
    <n v="7"/>
    <n v="5"/>
    <n v="33.75"/>
    <n v="159.19999999999999"/>
    <x v="0"/>
    <x v="0"/>
    <x v="1"/>
  </r>
  <r>
    <s v="CA-2014-132619"/>
    <d v="2014-09-01T00:00:00"/>
    <d v="2014-09-06T00:00:00"/>
    <s v="MaxwellSchwartz@gmail.com"/>
    <x v="3"/>
    <x v="5"/>
    <x v="627"/>
    <n v="193.95"/>
    <n v="3"/>
    <n v="9.6974999999999998"/>
    <x v="3"/>
    <n v="9"/>
    <x v="8"/>
    <n v="1"/>
    <n v="5"/>
    <n v="5"/>
    <n v="64.649999999999991"/>
    <x v="0"/>
    <x v="0"/>
    <x v="0"/>
  </r>
  <r>
    <s v="US-2012-120957"/>
    <d v="2012-12-07T00:00:00"/>
    <d v="2012-12-07T00:00:00"/>
    <s v="KristenHastings@gmail.com"/>
    <x v="47"/>
    <x v="8"/>
    <x v="442"/>
    <n v="12.96"/>
    <n v="2"/>
    <n v="6.2207999999999997"/>
    <x v="2"/>
    <n v="12"/>
    <x v="1"/>
    <n v="7"/>
    <n v="0"/>
    <n v="48"/>
    <n v="6.48"/>
    <x v="0"/>
    <x v="0"/>
    <x v="0"/>
  </r>
  <r>
    <s v="CA-2014-157448"/>
    <d v="2014-11-17T00:00:00"/>
    <d v="2014-11-21T00:00:00"/>
    <s v="LenaCreighton@gmail.com"/>
    <x v="0"/>
    <x v="1"/>
    <x v="1342"/>
    <n v="119.94"/>
    <n v="3"/>
    <n v="23.988"/>
    <x v="3"/>
    <n v="11"/>
    <x v="6"/>
    <n v="17"/>
    <n v="4"/>
    <n v="20"/>
    <n v="39.979999999999997"/>
    <x v="0"/>
    <x v="0"/>
    <x v="0"/>
  </r>
  <r>
    <s v="CA-2014-157448"/>
    <d v="2014-11-17T00:00:00"/>
    <d v="2014-11-21T00:00:00"/>
    <s v="LenaCreighton@gmail.com"/>
    <x v="0"/>
    <x v="1"/>
    <x v="1108"/>
    <n v="12.42"/>
    <n v="3"/>
    <n v="4.4711999999999996"/>
    <x v="3"/>
    <n v="11"/>
    <x v="6"/>
    <n v="17"/>
    <n v="4"/>
    <n v="36"/>
    <n v="4.1399999999999997"/>
    <x v="0"/>
    <x v="0"/>
    <x v="0"/>
  </r>
  <r>
    <s v="CA-2013-126270"/>
    <d v="2013-04-24T00:00:00"/>
    <d v="2013-04-28T00:00:00"/>
    <s v="ArtFerguson@gmail.com"/>
    <x v="165"/>
    <x v="3"/>
    <x v="161"/>
    <n v="18.088000000000001"/>
    <n v="7"/>
    <n v="6.5568999999999997"/>
    <x v="0"/>
    <n v="4"/>
    <x v="10"/>
    <n v="24"/>
    <n v="4"/>
    <n v="36.25"/>
    <n v="2.5840000000000001"/>
    <x v="0"/>
    <x v="0"/>
    <x v="0"/>
  </r>
  <r>
    <s v="CA-2013-126270"/>
    <d v="2013-04-24T00:00:00"/>
    <d v="2013-04-28T00:00:00"/>
    <s v="ArtFerguson@gmail.com"/>
    <x v="165"/>
    <x v="12"/>
    <x v="1351"/>
    <n v="71.97"/>
    <n v="3"/>
    <n v="35.984999999999999"/>
    <x v="0"/>
    <n v="4"/>
    <x v="10"/>
    <n v="24"/>
    <n v="4"/>
    <n v="50"/>
    <n v="23.99"/>
    <x v="0"/>
    <x v="0"/>
    <x v="0"/>
  </r>
  <r>
    <s v="US-2014-140312"/>
    <d v="2014-11-14T00:00:00"/>
    <d v="2014-11-20T00:00:00"/>
    <s v="KenLonsdale@gmail.com"/>
    <x v="166"/>
    <x v="6"/>
    <x v="1352"/>
    <n v="22"/>
    <n v="5"/>
    <n v="1.375"/>
    <x v="3"/>
    <n v="11"/>
    <x v="6"/>
    <n v="14"/>
    <n v="6"/>
    <n v="6.25"/>
    <n v="4.4000000000000004"/>
    <x v="0"/>
    <x v="0"/>
    <x v="0"/>
  </r>
  <r>
    <s v="CA-2013-137393"/>
    <d v="2013-05-07T00:00:00"/>
    <d v="2013-05-11T00:00:00"/>
    <s v="GeneMcClure@gmail.com"/>
    <x v="102"/>
    <x v="1"/>
    <x v="431"/>
    <n v="41.6"/>
    <n v="4"/>
    <n v="14.144"/>
    <x v="0"/>
    <n v="5"/>
    <x v="2"/>
    <n v="7"/>
    <n v="4"/>
    <n v="34"/>
    <n v="10.4"/>
    <x v="0"/>
    <x v="0"/>
    <x v="0"/>
  </r>
  <r>
    <s v="CA-2012-130113"/>
    <d v="2012-12-27T00:00:00"/>
    <d v="2012-12-31T00:00:00"/>
    <s v="AaronHawkins@gmail.com"/>
    <x v="3"/>
    <x v="5"/>
    <x v="246"/>
    <n v="323.10000000000002"/>
    <n v="2"/>
    <n v="61.389000000000003"/>
    <x v="2"/>
    <n v="12"/>
    <x v="1"/>
    <n v="27"/>
    <n v="4"/>
    <n v="19"/>
    <n v="161.55000000000001"/>
    <x v="0"/>
    <x v="0"/>
    <x v="1"/>
  </r>
  <r>
    <s v="CA-2014-122770"/>
    <d v="2014-12-14T00:00:00"/>
    <d v="2014-12-19T00:00:00"/>
    <s v="EmilyPhan@gmail.com"/>
    <x v="3"/>
    <x v="0"/>
    <x v="1131"/>
    <n v="8.64"/>
    <n v="3"/>
    <n v="4.2336"/>
    <x v="3"/>
    <n v="12"/>
    <x v="1"/>
    <n v="14"/>
    <n v="5"/>
    <n v="49"/>
    <n v="2.88"/>
    <x v="0"/>
    <x v="0"/>
    <x v="0"/>
  </r>
  <r>
    <s v="CA-2014-122770"/>
    <d v="2014-12-14T00:00:00"/>
    <d v="2014-12-19T00:00:00"/>
    <s v="EmilyPhan@gmail.com"/>
    <x v="3"/>
    <x v="8"/>
    <x v="302"/>
    <n v="38.880000000000003"/>
    <n v="6"/>
    <n v="18.662400000000002"/>
    <x v="3"/>
    <n v="12"/>
    <x v="1"/>
    <n v="14"/>
    <n v="5"/>
    <n v="48"/>
    <n v="6.48"/>
    <x v="0"/>
    <x v="0"/>
    <x v="0"/>
  </r>
  <r>
    <s v="CA-2014-122770"/>
    <d v="2014-12-14T00:00:00"/>
    <d v="2014-12-19T00:00:00"/>
    <s v="EmilyPhan@gmail.com"/>
    <x v="3"/>
    <x v="1"/>
    <x v="1353"/>
    <n v="201.04"/>
    <n v="8"/>
    <n v="54.280799999999999"/>
    <x v="3"/>
    <n v="12"/>
    <x v="1"/>
    <n v="14"/>
    <n v="5"/>
    <n v="27"/>
    <n v="25.13"/>
    <x v="0"/>
    <x v="0"/>
    <x v="0"/>
  </r>
  <r>
    <s v="CA-2014-122770"/>
    <d v="2014-12-14T00:00:00"/>
    <d v="2014-12-19T00:00:00"/>
    <s v="EmilyPhan@gmail.com"/>
    <x v="3"/>
    <x v="8"/>
    <x v="1039"/>
    <n v="12.96"/>
    <n v="2"/>
    <n v="6.3503999999999996"/>
    <x v="3"/>
    <n v="12"/>
    <x v="1"/>
    <n v="14"/>
    <n v="5"/>
    <n v="49"/>
    <n v="6.48"/>
    <x v="0"/>
    <x v="0"/>
    <x v="0"/>
  </r>
  <r>
    <s v="CA-2014-118668"/>
    <d v="2014-01-03T00:00:00"/>
    <d v="2014-01-05T00:00:00"/>
    <s v="FredWasserman@gmail.com"/>
    <x v="0"/>
    <x v="7"/>
    <x v="562"/>
    <n v="16.59"/>
    <n v="1"/>
    <n v="5.8064999999999998"/>
    <x v="3"/>
    <n v="1"/>
    <x v="4"/>
    <n v="3"/>
    <n v="2"/>
    <n v="35"/>
    <n v="16.59"/>
    <x v="1"/>
    <x v="0"/>
    <x v="0"/>
  </r>
  <r>
    <s v="CA-2014-116498"/>
    <d v="2014-05-31T00:00:00"/>
    <d v="2014-06-04T00:00:00"/>
    <s v="KellyAndreada@gmail.com"/>
    <x v="16"/>
    <x v="2"/>
    <x v="324"/>
    <n v="35.1"/>
    <n v="6"/>
    <n v="10.179"/>
    <x v="3"/>
    <n v="5"/>
    <x v="2"/>
    <n v="31"/>
    <n v="4"/>
    <n v="29"/>
    <n v="5.8500000000000014"/>
    <x v="0"/>
    <x v="0"/>
    <x v="0"/>
  </r>
  <r>
    <s v="CA-2014-130148"/>
    <d v="2014-09-25T00:00:00"/>
    <d v="2014-09-29T00:00:00"/>
    <s v="NeilKnudson@gmail.com"/>
    <x v="3"/>
    <x v="8"/>
    <x v="993"/>
    <n v="31.08"/>
    <n v="6"/>
    <n v="15.229200000000001"/>
    <x v="3"/>
    <n v="9"/>
    <x v="8"/>
    <n v="25"/>
    <n v="4"/>
    <n v="49"/>
    <n v="5.18"/>
    <x v="0"/>
    <x v="0"/>
    <x v="0"/>
  </r>
  <r>
    <s v="CA-2014-130148"/>
    <d v="2014-09-25T00:00:00"/>
    <d v="2014-09-29T00:00:00"/>
    <s v="NeilKnudson@gmail.com"/>
    <x v="3"/>
    <x v="11"/>
    <x v="156"/>
    <n v="7.3"/>
    <n v="2"/>
    <n v="2.19"/>
    <x v="3"/>
    <n v="9"/>
    <x v="8"/>
    <n v="25"/>
    <n v="4"/>
    <n v="30"/>
    <n v="3.65"/>
    <x v="0"/>
    <x v="0"/>
    <x v="0"/>
  </r>
  <r>
    <s v="CA-2014-154116"/>
    <d v="2014-12-16T00:00:00"/>
    <d v="2014-12-20T00:00:00"/>
    <s v="KhloeMiller@gmail.com"/>
    <x v="18"/>
    <x v="8"/>
    <x v="64"/>
    <n v="22.83"/>
    <n v="3"/>
    <n v="10.7301"/>
    <x v="3"/>
    <n v="12"/>
    <x v="1"/>
    <n v="16"/>
    <n v="4"/>
    <n v="47"/>
    <n v="7.6099999999999994"/>
    <x v="0"/>
    <x v="0"/>
    <x v="0"/>
  </r>
  <r>
    <s v="CA-2014-154116"/>
    <d v="2014-12-16T00:00:00"/>
    <d v="2014-12-20T00:00:00"/>
    <s v="KhloeMiller@gmail.com"/>
    <x v="18"/>
    <x v="4"/>
    <x v="1244"/>
    <n v="54.32"/>
    <n v="4"/>
    <n v="16.295999999999999"/>
    <x v="3"/>
    <n v="12"/>
    <x v="1"/>
    <n v="16"/>
    <n v="4"/>
    <n v="30"/>
    <n v="13.58"/>
    <x v="0"/>
    <x v="0"/>
    <x v="0"/>
  </r>
  <r>
    <s v="CA-2014-154116"/>
    <d v="2014-12-16T00:00:00"/>
    <d v="2014-12-20T00:00:00"/>
    <s v="KhloeMiller@gmail.com"/>
    <x v="18"/>
    <x v="6"/>
    <x v="568"/>
    <n v="196.77600000000001"/>
    <n v="3"/>
    <n v="14.7582"/>
    <x v="3"/>
    <n v="12"/>
    <x v="1"/>
    <n v="16"/>
    <n v="4"/>
    <n v="7.5"/>
    <n v="65.591999999999999"/>
    <x v="0"/>
    <x v="0"/>
    <x v="0"/>
  </r>
  <r>
    <s v="CA-2013-105291"/>
    <d v="2013-10-31T00:00:00"/>
    <d v="2013-11-05T00:00:00"/>
    <s v="SusanPistek@gmail.com"/>
    <x v="167"/>
    <x v="10"/>
    <x v="1150"/>
    <n v="3.62"/>
    <n v="2"/>
    <n v="1.1946000000000001"/>
    <x v="0"/>
    <n v="10"/>
    <x v="7"/>
    <n v="31"/>
    <n v="5"/>
    <n v="33"/>
    <n v="1.81"/>
    <x v="0"/>
    <x v="0"/>
    <x v="0"/>
  </r>
  <r>
    <s v="CA-2014-125990"/>
    <d v="2014-10-20T00:00:00"/>
    <d v="2014-10-24T00:00:00"/>
    <s v="JoySmith@gmail.com"/>
    <x v="3"/>
    <x v="3"/>
    <x v="1045"/>
    <n v="39.624000000000002"/>
    <n v="3"/>
    <n v="13.868399999999999"/>
    <x v="3"/>
    <n v="10"/>
    <x v="7"/>
    <n v="20"/>
    <n v="4"/>
    <n v="35"/>
    <n v="13.208"/>
    <x v="1"/>
    <x v="0"/>
    <x v="0"/>
  </r>
  <r>
    <s v="CA-2013-161746"/>
    <d v="2013-10-22T00:00:00"/>
    <d v="2013-10-28T00:00:00"/>
    <s v="CarlosSoltero@gmail.com"/>
    <x v="0"/>
    <x v="9"/>
    <x v="1354"/>
    <n v="242.136"/>
    <n v="3"/>
    <n v="12.1068"/>
    <x v="0"/>
    <n v="10"/>
    <x v="7"/>
    <n v="22"/>
    <n v="6"/>
    <n v="5"/>
    <n v="80.712000000000003"/>
    <x v="0"/>
    <x v="0"/>
    <x v="1"/>
  </r>
  <r>
    <s v="CA-2013-161746"/>
    <d v="2013-10-22T00:00:00"/>
    <d v="2013-10-28T00:00:00"/>
    <s v="CarlosSoltero@gmail.com"/>
    <x v="0"/>
    <x v="2"/>
    <x v="883"/>
    <n v="12.39"/>
    <n v="3"/>
    <n v="5.6993999999999998"/>
    <x v="0"/>
    <n v="10"/>
    <x v="7"/>
    <n v="22"/>
    <n v="6"/>
    <n v="46"/>
    <n v="4.13"/>
    <x v="0"/>
    <x v="0"/>
    <x v="0"/>
  </r>
  <r>
    <s v="CA-2013-161746"/>
    <d v="2013-10-22T00:00:00"/>
    <d v="2013-10-28T00:00:00"/>
    <s v="CarlosSoltero@gmail.com"/>
    <x v="0"/>
    <x v="1"/>
    <x v="949"/>
    <n v="19.96"/>
    <n v="2"/>
    <n v="5.5888"/>
    <x v="0"/>
    <n v="10"/>
    <x v="7"/>
    <n v="22"/>
    <n v="6"/>
    <n v="28"/>
    <n v="9.98"/>
    <x v="0"/>
    <x v="0"/>
    <x v="0"/>
  </r>
  <r>
    <s v="CA-2013-161746"/>
    <d v="2013-10-22T00:00:00"/>
    <d v="2013-10-28T00:00:00"/>
    <s v="CarlosSoltero@gmail.com"/>
    <x v="0"/>
    <x v="5"/>
    <x v="116"/>
    <n v="340.92"/>
    <n v="3"/>
    <n v="3.4091999999999998"/>
    <x v="0"/>
    <n v="10"/>
    <x v="7"/>
    <n v="22"/>
    <n v="6"/>
    <n v="1"/>
    <n v="113.64"/>
    <x v="0"/>
    <x v="0"/>
    <x v="1"/>
  </r>
  <r>
    <s v="CA-2013-116379"/>
    <d v="2013-11-08T00:00:00"/>
    <d v="2013-11-13T00:00:00"/>
    <s v="LisaDeCherney@gmail.com"/>
    <x v="3"/>
    <x v="3"/>
    <x v="654"/>
    <n v="57.584000000000003"/>
    <n v="2"/>
    <n v="20.154399999999999"/>
    <x v="0"/>
    <n v="11"/>
    <x v="6"/>
    <n v="8"/>
    <n v="5"/>
    <n v="35"/>
    <n v="28.792000000000002"/>
    <x v="0"/>
    <x v="0"/>
    <x v="0"/>
  </r>
  <r>
    <s v="CA-2014-142293"/>
    <d v="2014-09-18T00:00:00"/>
    <d v="2014-09-21T00:00:00"/>
    <s v="ShahidCollister@gmail.com"/>
    <x v="118"/>
    <x v="7"/>
    <x v="354"/>
    <n v="89.97"/>
    <n v="3"/>
    <n v="37.787399999999998"/>
    <x v="3"/>
    <n v="9"/>
    <x v="8"/>
    <n v="18"/>
    <n v="3"/>
    <n v="42"/>
    <n v="29.99"/>
    <x v="0"/>
    <x v="0"/>
    <x v="0"/>
  </r>
  <r>
    <s v="CA-2011-111962"/>
    <d v="2011-09-29T00:00:00"/>
    <d v="2011-10-04T00:00:00"/>
    <s v="EvanBailliet@gmail.com"/>
    <x v="1"/>
    <x v="3"/>
    <x v="572"/>
    <n v="10.048"/>
    <n v="2"/>
    <n v="3.14"/>
    <x v="1"/>
    <n v="9"/>
    <x v="8"/>
    <n v="29"/>
    <n v="5"/>
    <n v="31.25"/>
    <n v="5.024"/>
    <x v="0"/>
    <x v="0"/>
    <x v="0"/>
  </r>
  <r>
    <s v="CA-2014-124261"/>
    <d v="2014-11-15T00:00:00"/>
    <d v="2014-11-20T00:00:00"/>
    <s v="JoeElijah@gmail.com"/>
    <x v="0"/>
    <x v="2"/>
    <x v="957"/>
    <n v="34.24"/>
    <n v="8"/>
    <n v="9.9296000000000006"/>
    <x v="3"/>
    <n v="11"/>
    <x v="6"/>
    <n v="15"/>
    <n v="5"/>
    <n v="29"/>
    <n v="4.28"/>
    <x v="0"/>
    <x v="0"/>
    <x v="0"/>
  </r>
  <r>
    <s v="CA-2014-129294"/>
    <d v="2014-03-17T00:00:00"/>
    <d v="2014-03-22T00:00:00"/>
    <s v="KenDana@gmail.com"/>
    <x v="0"/>
    <x v="5"/>
    <x v="625"/>
    <n v="310.12"/>
    <n v="2"/>
    <n v="80.631200000000007"/>
    <x v="3"/>
    <n v="3"/>
    <x v="9"/>
    <n v="17"/>
    <n v="5"/>
    <n v="26"/>
    <n v="155.06"/>
    <x v="0"/>
    <x v="0"/>
    <x v="1"/>
  </r>
  <r>
    <s v="CA-2014-129294"/>
    <d v="2014-03-17T00:00:00"/>
    <d v="2014-03-22T00:00:00"/>
    <s v="KenDana@gmail.com"/>
    <x v="0"/>
    <x v="3"/>
    <x v="1104"/>
    <n v="70.463999999999999"/>
    <n v="6"/>
    <n v="22.9008"/>
    <x v="3"/>
    <n v="3"/>
    <x v="9"/>
    <n v="17"/>
    <n v="5"/>
    <n v="32.5"/>
    <n v="11.744"/>
    <x v="0"/>
    <x v="0"/>
    <x v="0"/>
  </r>
  <r>
    <s v="CA-2014-129294"/>
    <d v="2014-03-17T00:00:00"/>
    <d v="2014-03-22T00:00:00"/>
    <s v="KenDana@gmail.com"/>
    <x v="0"/>
    <x v="3"/>
    <x v="1121"/>
    <n v="19.68"/>
    <n v="5"/>
    <n v="6.8879999999999999"/>
    <x v="3"/>
    <n v="3"/>
    <x v="9"/>
    <n v="17"/>
    <n v="5"/>
    <n v="35"/>
    <n v="3.9359999999999999"/>
    <x v="0"/>
    <x v="0"/>
    <x v="0"/>
  </r>
  <r>
    <s v="CA-2014-129294"/>
    <d v="2014-03-17T00:00:00"/>
    <d v="2014-03-22T00:00:00"/>
    <s v="KenDana@gmail.com"/>
    <x v="0"/>
    <x v="4"/>
    <x v="1355"/>
    <n v="140.66999999999999"/>
    <n v="3"/>
    <n v="54.8613"/>
    <x v="3"/>
    <n v="3"/>
    <x v="9"/>
    <n v="17"/>
    <n v="5"/>
    <n v="39"/>
    <n v="46.889999999999993"/>
    <x v="0"/>
    <x v="0"/>
    <x v="0"/>
  </r>
  <r>
    <s v="CA-2014-131303"/>
    <d v="2014-11-29T00:00:00"/>
    <d v="2014-12-03T00:00:00"/>
    <s v="EmilyPhan@gmail.com"/>
    <x v="16"/>
    <x v="0"/>
    <x v="1110"/>
    <n v="62.65"/>
    <n v="5"/>
    <n v="29.445499999999999"/>
    <x v="3"/>
    <n v="11"/>
    <x v="6"/>
    <n v="29"/>
    <n v="4"/>
    <n v="47"/>
    <n v="12.53"/>
    <x v="0"/>
    <x v="0"/>
    <x v="0"/>
  </r>
  <r>
    <s v="CA-2014-137505"/>
    <d v="2014-11-25T00:00:00"/>
    <d v="2014-11-25T00:00:00"/>
    <s v="BethPaige@gmail.com"/>
    <x v="0"/>
    <x v="13"/>
    <x v="1356"/>
    <n v="364.08"/>
    <n v="2"/>
    <n v="9.1020000000000003"/>
    <x v="3"/>
    <n v="11"/>
    <x v="6"/>
    <n v="25"/>
    <n v="0"/>
    <n v="2.5"/>
    <n v="182.04"/>
    <x v="0"/>
    <x v="0"/>
    <x v="1"/>
  </r>
  <r>
    <s v="CA-2014-137505"/>
    <d v="2014-11-25T00:00:00"/>
    <d v="2014-11-25T00:00:00"/>
    <s v="BethPaige@gmail.com"/>
    <x v="0"/>
    <x v="13"/>
    <x v="903"/>
    <n v="71.087999999999994"/>
    <n v="2"/>
    <n v="-1.7771999999999999"/>
    <x v="3"/>
    <n v="11"/>
    <x v="6"/>
    <n v="25"/>
    <n v="0"/>
    <n v="-2.5"/>
    <n v="35.543999999999997"/>
    <x v="0"/>
    <x v="1"/>
    <x v="0"/>
  </r>
  <r>
    <s v="US-2013-158680"/>
    <d v="2013-07-02T00:00:00"/>
    <d v="2013-07-03T00:00:00"/>
    <s v="NickZandusky@gmail.com"/>
    <x v="1"/>
    <x v="3"/>
    <x v="511"/>
    <n v="2.496"/>
    <n v="1"/>
    <n v="0.90480000000000005"/>
    <x v="0"/>
    <n v="7"/>
    <x v="5"/>
    <n v="2"/>
    <n v="1"/>
    <n v="36.25"/>
    <n v="2.496"/>
    <x v="0"/>
    <x v="0"/>
    <x v="0"/>
  </r>
  <r>
    <s v="CA-2011-121762"/>
    <d v="2011-02-15T00:00:00"/>
    <d v="2011-02-19T00:00:00"/>
    <s v="MarinaLichtenstein@gmail.com"/>
    <x v="1"/>
    <x v="7"/>
    <x v="945"/>
    <n v="239.97"/>
    <n v="3"/>
    <n v="86.389200000000002"/>
    <x v="1"/>
    <n v="2"/>
    <x v="11"/>
    <n v="15"/>
    <n v="4"/>
    <n v="36"/>
    <n v="79.989999999999995"/>
    <x v="0"/>
    <x v="0"/>
    <x v="1"/>
  </r>
  <r>
    <s v="CA-2011-121762"/>
    <d v="2011-02-15T00:00:00"/>
    <d v="2011-02-19T00:00:00"/>
    <s v="MarinaLichtenstein@gmail.com"/>
    <x v="1"/>
    <x v="4"/>
    <x v="1357"/>
    <n v="81.96"/>
    <n v="2"/>
    <n v="22.948799999999999"/>
    <x v="1"/>
    <n v="2"/>
    <x v="11"/>
    <n v="15"/>
    <n v="4"/>
    <n v="28"/>
    <n v="40.98"/>
    <x v="0"/>
    <x v="0"/>
    <x v="0"/>
  </r>
  <r>
    <s v="CA-2011-121762"/>
    <d v="2011-02-15T00:00:00"/>
    <d v="2011-02-19T00:00:00"/>
    <s v="MarinaLichtenstein@gmail.com"/>
    <x v="1"/>
    <x v="11"/>
    <x v="1052"/>
    <n v="238.62"/>
    <n v="2"/>
    <n v="4.7724000000000002"/>
    <x v="1"/>
    <n v="2"/>
    <x v="11"/>
    <n v="15"/>
    <n v="4"/>
    <n v="2"/>
    <n v="119.31"/>
    <x v="0"/>
    <x v="0"/>
    <x v="1"/>
  </r>
  <r>
    <s v="CA-2011-123855"/>
    <d v="2011-06-18T00:00:00"/>
    <d v="2011-06-23T00:00:00"/>
    <s v="MickCrebagga@gmail.com"/>
    <x v="0"/>
    <x v="6"/>
    <x v="1358"/>
    <n v="139.80000000000001"/>
    <n v="5"/>
    <n v="12.2325"/>
    <x v="1"/>
    <n v="6"/>
    <x v="0"/>
    <n v="18"/>
    <n v="5"/>
    <n v="8.75"/>
    <n v="27.96"/>
    <x v="0"/>
    <x v="0"/>
    <x v="0"/>
  </r>
  <r>
    <s v="CA-2014-142328"/>
    <d v="2014-12-08T00:00:00"/>
    <d v="2014-12-15T00:00:00"/>
    <s v="TracyCollins@gmail.com"/>
    <x v="3"/>
    <x v="8"/>
    <x v="539"/>
    <n v="50.04"/>
    <n v="6"/>
    <n v="25.02"/>
    <x v="3"/>
    <n v="12"/>
    <x v="1"/>
    <n v="8"/>
    <n v="7"/>
    <n v="50"/>
    <n v="8.34"/>
    <x v="0"/>
    <x v="0"/>
    <x v="0"/>
  </r>
  <r>
    <s v="CA-2014-137918"/>
    <d v="2014-09-30T00:00:00"/>
    <d v="2014-10-07T00:00:00"/>
    <s v="JoeKamberova@gmail.com"/>
    <x v="168"/>
    <x v="11"/>
    <x v="1359"/>
    <n v="97.3"/>
    <n v="7"/>
    <n v="28.216999999999999"/>
    <x v="3"/>
    <n v="9"/>
    <x v="8"/>
    <n v="30"/>
    <n v="7"/>
    <n v="29"/>
    <n v="13.9"/>
    <x v="0"/>
    <x v="0"/>
    <x v="0"/>
  </r>
  <r>
    <s v="US-2011-139640"/>
    <d v="2011-11-07T00:00:00"/>
    <d v="2011-11-11T00:00:00"/>
    <s v="TroyBlackwell@gmail.com"/>
    <x v="5"/>
    <x v="8"/>
    <x v="22"/>
    <n v="25.92"/>
    <n v="5"/>
    <n v="9.0719999999999992"/>
    <x v="1"/>
    <n v="11"/>
    <x v="6"/>
    <n v="7"/>
    <n v="4"/>
    <n v="35"/>
    <n v="5.1840000000000002"/>
    <x v="0"/>
    <x v="0"/>
    <x v="0"/>
  </r>
  <r>
    <s v="US-2011-139640"/>
    <d v="2011-11-07T00:00:00"/>
    <d v="2011-11-11T00:00:00"/>
    <s v="TroyBlackwell@gmail.com"/>
    <x v="5"/>
    <x v="2"/>
    <x v="1246"/>
    <n v="120.768"/>
    <n v="4"/>
    <n v="9.0576000000000008"/>
    <x v="1"/>
    <n v="11"/>
    <x v="6"/>
    <n v="7"/>
    <n v="4"/>
    <n v="7.5"/>
    <n v="30.192"/>
    <x v="0"/>
    <x v="0"/>
    <x v="0"/>
  </r>
  <r>
    <s v="US-2011-164406"/>
    <d v="2011-08-15T00:00:00"/>
    <d v="2011-08-19T00:00:00"/>
    <s v="BrianDahlen@gmail.com"/>
    <x v="3"/>
    <x v="4"/>
    <x v="174"/>
    <n v="152.91"/>
    <n v="3"/>
    <n v="42.814799999999998"/>
    <x v="1"/>
    <n v="8"/>
    <x v="3"/>
    <n v="15"/>
    <n v="4"/>
    <n v="28"/>
    <n v="50.97"/>
    <x v="0"/>
    <x v="0"/>
    <x v="0"/>
  </r>
  <r>
    <s v="US-2011-164406"/>
    <d v="2011-08-15T00:00:00"/>
    <d v="2011-08-19T00:00:00"/>
    <s v="BrianDahlen@gmail.com"/>
    <x v="3"/>
    <x v="8"/>
    <x v="1015"/>
    <n v="92.94"/>
    <n v="3"/>
    <n v="41.823"/>
    <x v="1"/>
    <n v="8"/>
    <x v="3"/>
    <n v="15"/>
    <n v="4"/>
    <n v="45"/>
    <n v="30.98"/>
    <x v="0"/>
    <x v="0"/>
    <x v="0"/>
  </r>
  <r>
    <s v="US-2011-164406"/>
    <d v="2011-08-15T00:00:00"/>
    <d v="2011-08-19T00:00:00"/>
    <s v="BrianDahlen@gmail.com"/>
    <x v="3"/>
    <x v="3"/>
    <x v="649"/>
    <n v="17.856000000000002"/>
    <n v="4"/>
    <n v="6.2496"/>
    <x v="1"/>
    <n v="8"/>
    <x v="3"/>
    <n v="15"/>
    <n v="4"/>
    <n v="35"/>
    <n v="4.4640000000000004"/>
    <x v="0"/>
    <x v="0"/>
    <x v="0"/>
  </r>
  <r>
    <s v="US-2011-164406"/>
    <d v="2011-08-15T00:00:00"/>
    <d v="2011-08-19T00:00:00"/>
    <s v="BrianDahlen@gmail.com"/>
    <x v="3"/>
    <x v="3"/>
    <x v="800"/>
    <n v="46.44"/>
    <n v="3"/>
    <n v="15.093"/>
    <x v="1"/>
    <n v="8"/>
    <x v="3"/>
    <n v="15"/>
    <n v="4"/>
    <n v="32.5"/>
    <n v="15.48"/>
    <x v="0"/>
    <x v="0"/>
    <x v="0"/>
  </r>
  <r>
    <s v="US-2011-164406"/>
    <d v="2011-08-15T00:00:00"/>
    <d v="2011-08-19T00:00:00"/>
    <s v="BrianDahlen@gmail.com"/>
    <x v="3"/>
    <x v="9"/>
    <x v="474"/>
    <n v="195.136"/>
    <n v="4"/>
    <n v="-12.196"/>
    <x v="1"/>
    <n v="8"/>
    <x v="3"/>
    <n v="15"/>
    <n v="4"/>
    <n v="-6.25"/>
    <n v="48.783999999999999"/>
    <x v="0"/>
    <x v="1"/>
    <x v="0"/>
  </r>
  <r>
    <s v="US-2013-125402"/>
    <d v="2013-09-26T00:00:00"/>
    <d v="2013-10-02T00:00:00"/>
    <s v="DanLawera@gmail.com"/>
    <x v="21"/>
    <x v="8"/>
    <x v="1360"/>
    <n v="10.9"/>
    <n v="5"/>
    <n v="5.1230000000000002"/>
    <x v="0"/>
    <n v="9"/>
    <x v="8"/>
    <n v="26"/>
    <n v="6"/>
    <n v="47"/>
    <n v="2.1800000000000002"/>
    <x v="0"/>
    <x v="0"/>
    <x v="0"/>
  </r>
  <r>
    <s v="US-2013-125402"/>
    <d v="2013-09-26T00:00:00"/>
    <d v="2013-10-02T00:00:00"/>
    <s v="DanLawera@gmail.com"/>
    <x v="21"/>
    <x v="0"/>
    <x v="123"/>
    <n v="29.6"/>
    <n v="2"/>
    <n v="14.8"/>
    <x v="0"/>
    <n v="9"/>
    <x v="8"/>
    <n v="26"/>
    <n v="6"/>
    <n v="50"/>
    <n v="14.8"/>
    <x v="0"/>
    <x v="0"/>
    <x v="0"/>
  </r>
  <r>
    <s v="US-2013-125402"/>
    <d v="2013-09-26T00:00:00"/>
    <d v="2013-10-02T00:00:00"/>
    <s v="DanLawera@gmail.com"/>
    <x v="21"/>
    <x v="0"/>
    <x v="428"/>
    <n v="4.9800000000000004"/>
    <n v="1"/>
    <n v="2.2907999999999999"/>
    <x v="0"/>
    <n v="9"/>
    <x v="8"/>
    <n v="26"/>
    <n v="6"/>
    <n v="46"/>
    <n v="4.9800000000000004"/>
    <x v="0"/>
    <x v="0"/>
    <x v="0"/>
  </r>
  <r>
    <s v="US-2013-125402"/>
    <d v="2013-09-26T00:00:00"/>
    <d v="2013-10-02T00:00:00"/>
    <s v="DanLawera@gmail.com"/>
    <x v="21"/>
    <x v="16"/>
    <x v="1361"/>
    <n v="479.976"/>
    <n v="3"/>
    <n v="161.99189999999999"/>
    <x v="0"/>
    <n v="9"/>
    <x v="8"/>
    <n v="26"/>
    <n v="6"/>
    <n v="33.75"/>
    <n v="159.99199999999999"/>
    <x v="0"/>
    <x v="0"/>
    <x v="1"/>
  </r>
  <r>
    <s v="US-2013-125402"/>
    <d v="2013-09-26T00:00:00"/>
    <d v="2013-10-02T00:00:00"/>
    <s v="DanLawera@gmail.com"/>
    <x v="21"/>
    <x v="6"/>
    <x v="932"/>
    <n v="44.735999999999997"/>
    <n v="8"/>
    <n v="4.4736000000000002"/>
    <x v="0"/>
    <n v="9"/>
    <x v="8"/>
    <n v="26"/>
    <n v="6"/>
    <n v="10"/>
    <n v="5.5919999999999996"/>
    <x v="0"/>
    <x v="0"/>
    <x v="0"/>
  </r>
  <r>
    <s v="US-2013-125402"/>
    <d v="2013-09-26T00:00:00"/>
    <d v="2013-10-02T00:00:00"/>
    <s v="DanLawera@gmail.com"/>
    <x v="21"/>
    <x v="2"/>
    <x v="274"/>
    <n v="5.76"/>
    <n v="2"/>
    <n v="1.6704000000000001"/>
    <x v="0"/>
    <n v="9"/>
    <x v="8"/>
    <n v="26"/>
    <n v="6"/>
    <n v="29"/>
    <n v="2.88"/>
    <x v="0"/>
    <x v="0"/>
    <x v="0"/>
  </r>
  <r>
    <s v="US-2013-125402"/>
    <d v="2013-09-26T00:00:00"/>
    <d v="2013-10-02T00:00:00"/>
    <s v="DanLawera@gmail.com"/>
    <x v="21"/>
    <x v="9"/>
    <x v="1280"/>
    <n v="483.13600000000002"/>
    <n v="4"/>
    <n v="60.392000000000003"/>
    <x v="0"/>
    <n v="9"/>
    <x v="8"/>
    <n v="26"/>
    <n v="6"/>
    <n v="12.5"/>
    <n v="120.78400000000001"/>
    <x v="0"/>
    <x v="0"/>
    <x v="1"/>
  </r>
  <r>
    <s v="CA-2014-169327"/>
    <d v="2014-09-03T00:00:00"/>
    <d v="2014-09-05T00:00:00"/>
    <s v="MarcHarrigan@gmail.com"/>
    <x v="0"/>
    <x v="4"/>
    <x v="520"/>
    <n v="43.1"/>
    <n v="5"/>
    <n v="11.206"/>
    <x v="3"/>
    <n v="9"/>
    <x v="8"/>
    <n v="3"/>
    <n v="2"/>
    <n v="26"/>
    <n v="8.620000000000001"/>
    <x v="0"/>
    <x v="0"/>
    <x v="0"/>
  </r>
  <r>
    <s v="CA-2014-169327"/>
    <d v="2014-09-03T00:00:00"/>
    <d v="2014-09-05T00:00:00"/>
    <s v="MarcHarrigan@gmail.com"/>
    <x v="0"/>
    <x v="3"/>
    <x v="401"/>
    <n v="147.91999999999999"/>
    <n v="5"/>
    <n v="46.225000000000001"/>
    <x v="3"/>
    <n v="9"/>
    <x v="8"/>
    <n v="3"/>
    <n v="2"/>
    <n v="31.25"/>
    <n v="29.584"/>
    <x v="0"/>
    <x v="0"/>
    <x v="0"/>
  </r>
  <r>
    <s v="CA-2011-142979"/>
    <d v="2011-04-12T00:00:00"/>
    <d v="2011-04-18T00:00:00"/>
    <s v="EdwardHooks@gmail.com"/>
    <x v="168"/>
    <x v="2"/>
    <x v="1362"/>
    <n v="39.68"/>
    <n v="2"/>
    <n v="16.268799999999999"/>
    <x v="1"/>
    <n v="4"/>
    <x v="10"/>
    <n v="12"/>
    <n v="6"/>
    <n v="41"/>
    <n v="19.84"/>
    <x v="0"/>
    <x v="0"/>
    <x v="0"/>
  </r>
  <r>
    <s v="CA-2014-138870"/>
    <d v="2014-06-20T00:00:00"/>
    <d v="2014-06-24T00:00:00"/>
    <s v="GeorgeAshbrook@gmail.com"/>
    <x v="3"/>
    <x v="1"/>
    <x v="788"/>
    <n v="50.32"/>
    <n v="4"/>
    <n v="21.134399999999999"/>
    <x v="3"/>
    <n v="6"/>
    <x v="0"/>
    <n v="20"/>
    <n v="4"/>
    <n v="42"/>
    <n v="12.58"/>
    <x v="0"/>
    <x v="0"/>
    <x v="0"/>
  </r>
  <r>
    <s v="CA-2014-138870"/>
    <d v="2014-06-20T00:00:00"/>
    <d v="2014-06-24T00:00:00"/>
    <s v="GeorgeAshbrook@gmail.com"/>
    <x v="3"/>
    <x v="8"/>
    <x v="1363"/>
    <n v="24.56"/>
    <n v="2"/>
    <n v="11.543200000000001"/>
    <x v="3"/>
    <n v="6"/>
    <x v="0"/>
    <n v="20"/>
    <n v="4"/>
    <n v="47"/>
    <n v="12.28"/>
    <x v="0"/>
    <x v="0"/>
    <x v="0"/>
  </r>
  <r>
    <s v="CA-2011-112291"/>
    <d v="2011-04-03T00:00:00"/>
    <d v="2011-04-08T00:00:00"/>
    <s v="KatrinaEdelman@gmail.com"/>
    <x v="0"/>
    <x v="12"/>
    <x v="50"/>
    <n v="11.16"/>
    <n v="2"/>
    <n v="5.58"/>
    <x v="1"/>
    <n v="4"/>
    <x v="10"/>
    <n v="3"/>
    <n v="5"/>
    <n v="50"/>
    <n v="5.58"/>
    <x v="0"/>
    <x v="0"/>
    <x v="0"/>
  </r>
  <r>
    <s v="CA-2011-112291"/>
    <d v="2011-04-03T00:00:00"/>
    <d v="2011-04-08T00:00:00"/>
    <s v="KatrinaEdelman@gmail.com"/>
    <x v="0"/>
    <x v="7"/>
    <x v="452"/>
    <n v="62.31"/>
    <n v="3"/>
    <n v="22.4316"/>
    <x v="1"/>
    <n v="4"/>
    <x v="10"/>
    <n v="3"/>
    <n v="5"/>
    <n v="36"/>
    <n v="20.77"/>
    <x v="0"/>
    <x v="0"/>
    <x v="0"/>
  </r>
  <r>
    <s v="CA-2011-112291"/>
    <d v="2011-04-03T00:00:00"/>
    <d v="2011-04-08T00:00:00"/>
    <s v="KatrinaEdelman@gmail.com"/>
    <x v="0"/>
    <x v="7"/>
    <x v="945"/>
    <n v="159.97999999999999"/>
    <n v="2"/>
    <n v="57.592799999999997"/>
    <x v="1"/>
    <n v="4"/>
    <x v="10"/>
    <n v="3"/>
    <n v="5"/>
    <n v="36"/>
    <n v="79.989999999999995"/>
    <x v="0"/>
    <x v="0"/>
    <x v="0"/>
  </r>
  <r>
    <s v="CA-2014-117646"/>
    <d v="2014-08-22T00:00:00"/>
    <d v="2014-08-26T00:00:00"/>
    <s v="SungChung@gmail.com"/>
    <x v="28"/>
    <x v="5"/>
    <x v="288"/>
    <n v="237.096"/>
    <n v="3"/>
    <n v="20.745899999999999"/>
    <x v="3"/>
    <n v="8"/>
    <x v="3"/>
    <n v="22"/>
    <n v="4"/>
    <n v="8.75"/>
    <n v="79.031999999999996"/>
    <x v="0"/>
    <x v="0"/>
    <x v="1"/>
  </r>
  <r>
    <s v="CA-2014-117646"/>
    <d v="2014-08-22T00:00:00"/>
    <d v="2014-08-26T00:00:00"/>
    <s v="SungChung@gmail.com"/>
    <x v="28"/>
    <x v="1"/>
    <x v="1364"/>
    <n v="22.751999999999999"/>
    <n v="3"/>
    <n v="7.11"/>
    <x v="3"/>
    <n v="8"/>
    <x v="3"/>
    <n v="22"/>
    <n v="4"/>
    <n v="31.25"/>
    <n v="7.5839999999999996"/>
    <x v="0"/>
    <x v="0"/>
    <x v="0"/>
  </r>
  <r>
    <s v="CA-2014-117646"/>
    <d v="2014-08-22T00:00:00"/>
    <d v="2014-08-26T00:00:00"/>
    <s v="SungChung@gmail.com"/>
    <x v="28"/>
    <x v="8"/>
    <x v="44"/>
    <n v="6.6719999999999997"/>
    <n v="1"/>
    <n v="2.085"/>
    <x v="3"/>
    <n v="8"/>
    <x v="3"/>
    <n v="22"/>
    <n v="4"/>
    <n v="31.25"/>
    <n v="6.6719999999999997"/>
    <x v="0"/>
    <x v="0"/>
    <x v="0"/>
  </r>
  <r>
    <s v="US-2012-129007"/>
    <d v="2012-09-13T00:00:00"/>
    <d v="2012-09-15T00:00:00"/>
    <s v="KenDana@gmail.com"/>
    <x v="104"/>
    <x v="1"/>
    <x v="468"/>
    <n v="131.88"/>
    <n v="7"/>
    <n v="55.389600000000002"/>
    <x v="2"/>
    <n v="9"/>
    <x v="8"/>
    <n v="13"/>
    <n v="2"/>
    <n v="42"/>
    <n v="18.84"/>
    <x v="0"/>
    <x v="0"/>
    <x v="0"/>
  </r>
  <r>
    <s v="US-2012-129007"/>
    <d v="2012-09-13T00:00:00"/>
    <d v="2012-09-15T00:00:00"/>
    <s v="KenDana@gmail.com"/>
    <x v="104"/>
    <x v="3"/>
    <x v="500"/>
    <n v="25.032"/>
    <n v="3"/>
    <n v="7.8224999999999998"/>
    <x v="2"/>
    <n v="9"/>
    <x v="8"/>
    <n v="13"/>
    <n v="2"/>
    <n v="31.25"/>
    <n v="8.3439999999999994"/>
    <x v="0"/>
    <x v="0"/>
    <x v="0"/>
  </r>
  <r>
    <s v="US-2012-129007"/>
    <d v="2012-09-13T00:00:00"/>
    <d v="2012-09-15T00:00:00"/>
    <s v="KenDana@gmail.com"/>
    <x v="104"/>
    <x v="1"/>
    <x v="1365"/>
    <n v="207.35"/>
    <n v="5"/>
    <n v="24.882000000000001"/>
    <x v="2"/>
    <n v="9"/>
    <x v="8"/>
    <n v="13"/>
    <n v="2"/>
    <n v="12"/>
    <n v="41.47"/>
    <x v="0"/>
    <x v="0"/>
    <x v="0"/>
  </r>
  <r>
    <s v="US-2012-129007"/>
    <d v="2012-09-13T00:00:00"/>
    <d v="2012-09-15T00:00:00"/>
    <s v="KenDana@gmail.com"/>
    <x v="104"/>
    <x v="1"/>
    <x v="773"/>
    <n v="44.67"/>
    <n v="3"/>
    <n v="12.0609"/>
    <x v="2"/>
    <n v="9"/>
    <x v="8"/>
    <n v="13"/>
    <n v="2"/>
    <n v="27"/>
    <n v="14.89"/>
    <x v="0"/>
    <x v="0"/>
    <x v="0"/>
  </r>
  <r>
    <s v="US-2012-129007"/>
    <d v="2012-09-13T00:00:00"/>
    <d v="2012-09-15T00:00:00"/>
    <s v="KenDana@gmail.com"/>
    <x v="104"/>
    <x v="8"/>
    <x v="1046"/>
    <n v="209.7"/>
    <n v="2"/>
    <n v="100.65600000000001"/>
    <x v="2"/>
    <n v="9"/>
    <x v="8"/>
    <n v="13"/>
    <n v="2"/>
    <n v="48"/>
    <n v="104.85"/>
    <x v="0"/>
    <x v="0"/>
    <x v="0"/>
  </r>
  <r>
    <s v="CA-2012-132388"/>
    <d v="2012-10-10T00:00:00"/>
    <d v="2012-10-12T00:00:00"/>
    <s v="KatherineNockton@gmail.com"/>
    <x v="136"/>
    <x v="9"/>
    <x v="543"/>
    <n v="362.13600000000002"/>
    <n v="3"/>
    <n v="-54.320399999999999"/>
    <x v="2"/>
    <n v="10"/>
    <x v="7"/>
    <n v="10"/>
    <n v="2"/>
    <n v="-15"/>
    <n v="120.712"/>
    <x v="0"/>
    <x v="1"/>
    <x v="1"/>
  </r>
  <r>
    <s v="CA-2012-132388"/>
    <d v="2012-10-10T00:00:00"/>
    <d v="2012-10-12T00:00:00"/>
    <s v="KatherineNockton@gmail.com"/>
    <x v="136"/>
    <x v="0"/>
    <x v="1066"/>
    <n v="31.05"/>
    <n v="3"/>
    <n v="14.904"/>
    <x v="2"/>
    <n v="10"/>
    <x v="7"/>
    <n v="10"/>
    <n v="2"/>
    <n v="48"/>
    <n v="10.35"/>
    <x v="0"/>
    <x v="0"/>
    <x v="0"/>
  </r>
  <r>
    <s v="CA-2013-129630"/>
    <d v="2013-09-05T00:00:00"/>
    <d v="2013-09-05T00:00:00"/>
    <s v="IoniaMcGrath@gmail.com"/>
    <x v="3"/>
    <x v="1"/>
    <x v="984"/>
    <n v="24.27"/>
    <n v="3"/>
    <n v="8.7371999999999996"/>
    <x v="0"/>
    <n v="9"/>
    <x v="8"/>
    <n v="5"/>
    <n v="0"/>
    <n v="36"/>
    <n v="8.09"/>
    <x v="0"/>
    <x v="0"/>
    <x v="0"/>
  </r>
  <r>
    <s v="CA-2012-104948"/>
    <d v="2012-11-13T00:00:00"/>
    <d v="2012-11-17T00:00:00"/>
    <s v="KeithHerrera@gmail.com"/>
    <x v="79"/>
    <x v="3"/>
    <x v="1366"/>
    <n v="9.8719999999999999"/>
    <n v="2"/>
    <n v="3.4552"/>
    <x v="2"/>
    <n v="11"/>
    <x v="6"/>
    <n v="13"/>
    <n v="4"/>
    <n v="35"/>
    <n v="4.9359999999999999"/>
    <x v="0"/>
    <x v="0"/>
    <x v="0"/>
  </r>
  <r>
    <s v="CA-2012-104948"/>
    <d v="2012-11-13T00:00:00"/>
    <d v="2012-11-17T00:00:00"/>
    <s v="KeithHerrera@gmail.com"/>
    <x v="79"/>
    <x v="8"/>
    <x v="1220"/>
    <n v="29.96"/>
    <n v="7"/>
    <n v="13.481999999999999"/>
    <x v="2"/>
    <n v="11"/>
    <x v="6"/>
    <n v="13"/>
    <n v="4"/>
    <n v="45"/>
    <n v="4.28"/>
    <x v="0"/>
    <x v="0"/>
    <x v="0"/>
  </r>
  <r>
    <s v="CA-2013-164889"/>
    <d v="2013-06-04T00:00:00"/>
    <d v="2013-06-07T00:00:00"/>
    <s v="ChristinePhan@gmail.com"/>
    <x v="0"/>
    <x v="13"/>
    <x v="903"/>
    <n v="71.087999999999994"/>
    <n v="2"/>
    <n v="-1.7771999999999999"/>
    <x v="0"/>
    <n v="6"/>
    <x v="0"/>
    <n v="4"/>
    <n v="3"/>
    <n v="-2.5"/>
    <n v="35.543999999999997"/>
    <x v="0"/>
    <x v="1"/>
    <x v="0"/>
  </r>
  <r>
    <s v="CA-2014-164028"/>
    <d v="2014-11-25T00:00:00"/>
    <d v="2014-12-01T00:00:00"/>
    <s v="JohnLee@gmail.com"/>
    <x v="3"/>
    <x v="7"/>
    <x v="1210"/>
    <n v="223.58"/>
    <n v="14"/>
    <n v="87.196200000000005"/>
    <x v="3"/>
    <n v="11"/>
    <x v="6"/>
    <n v="25"/>
    <n v="6"/>
    <n v="39"/>
    <n v="15.97"/>
    <x v="0"/>
    <x v="0"/>
    <x v="1"/>
  </r>
  <r>
    <s v="CA-2011-143371"/>
    <d v="2011-12-28T00:00:00"/>
    <d v="2012-01-03T00:00:00"/>
    <s v="MaribethDona@gmail.com"/>
    <x v="104"/>
    <x v="11"/>
    <x v="948"/>
    <n v="51.15"/>
    <n v="5"/>
    <n v="13.298999999999999"/>
    <x v="1"/>
    <n v="12"/>
    <x v="1"/>
    <n v="28"/>
    <n v="6"/>
    <n v="26"/>
    <n v="10.23"/>
    <x v="0"/>
    <x v="0"/>
    <x v="0"/>
  </r>
  <r>
    <s v="CA-2012-145415"/>
    <d v="2012-04-12T00:00:00"/>
    <d v="2012-04-17T00:00:00"/>
    <s v="RobertDilbeck@gmail.com"/>
    <x v="1"/>
    <x v="5"/>
    <x v="836"/>
    <n v="40.74"/>
    <n v="3"/>
    <n v="0.40739999999999998"/>
    <x v="2"/>
    <n v="4"/>
    <x v="10"/>
    <n v="12"/>
    <n v="5"/>
    <n v="1"/>
    <n v="13.58"/>
    <x v="0"/>
    <x v="0"/>
    <x v="0"/>
  </r>
  <r>
    <s v="CA-2012-141593"/>
    <d v="2012-12-14T00:00:00"/>
    <d v="2012-12-16T00:00:00"/>
    <s v="DarrenBudd@gmail.com"/>
    <x v="0"/>
    <x v="3"/>
    <x v="1367"/>
    <n v="55.264000000000003"/>
    <n v="2"/>
    <n v="20.724"/>
    <x v="2"/>
    <n v="12"/>
    <x v="1"/>
    <n v="14"/>
    <n v="2"/>
    <n v="37.5"/>
    <n v="27.632000000000001"/>
    <x v="0"/>
    <x v="0"/>
    <x v="0"/>
  </r>
  <r>
    <s v="CA-2012-141593"/>
    <d v="2012-12-14T00:00:00"/>
    <d v="2012-12-16T00:00:00"/>
    <s v="DarrenBudd@gmail.com"/>
    <x v="0"/>
    <x v="8"/>
    <x v="1072"/>
    <n v="6.48"/>
    <n v="1"/>
    <n v="3.1103999999999998"/>
    <x v="2"/>
    <n v="12"/>
    <x v="1"/>
    <n v="14"/>
    <n v="2"/>
    <n v="48"/>
    <n v="6.48"/>
    <x v="0"/>
    <x v="0"/>
    <x v="0"/>
  </r>
  <r>
    <s v="CA-2012-141593"/>
    <d v="2012-12-14T00:00:00"/>
    <d v="2012-12-16T00:00:00"/>
    <s v="DarrenBudd@gmail.com"/>
    <x v="0"/>
    <x v="3"/>
    <x v="1309"/>
    <n v="34.247999999999998"/>
    <n v="3"/>
    <n v="11.5587"/>
    <x v="2"/>
    <n v="12"/>
    <x v="1"/>
    <n v="14"/>
    <n v="2"/>
    <n v="33.75"/>
    <n v="11.416"/>
    <x v="0"/>
    <x v="0"/>
    <x v="0"/>
  </r>
  <r>
    <s v="CA-2012-141593"/>
    <d v="2012-12-14T00:00:00"/>
    <d v="2012-12-16T00:00:00"/>
    <s v="DarrenBudd@gmail.com"/>
    <x v="0"/>
    <x v="13"/>
    <x v="1368"/>
    <n v="273.56799999999998"/>
    <n v="2"/>
    <n v="10.258800000000001"/>
    <x v="2"/>
    <n v="12"/>
    <x v="1"/>
    <n v="14"/>
    <n v="2"/>
    <n v="3.75"/>
    <n v="136.78399999999999"/>
    <x v="0"/>
    <x v="0"/>
    <x v="1"/>
  </r>
  <r>
    <s v="CA-2014-137421"/>
    <d v="2014-10-07T00:00:00"/>
    <d v="2014-10-12T00:00:00"/>
    <s v="AshleyJarboe@gmail.com"/>
    <x v="132"/>
    <x v="2"/>
    <x v="1242"/>
    <n v="9.3439999999999994"/>
    <n v="2"/>
    <n v="1.8688"/>
    <x v="3"/>
    <n v="10"/>
    <x v="7"/>
    <n v="7"/>
    <n v="5"/>
    <n v="20"/>
    <n v="4.6719999999999997"/>
    <x v="0"/>
    <x v="0"/>
    <x v="0"/>
  </r>
  <r>
    <s v="US-2013-103674"/>
    <d v="2013-12-07T00:00:00"/>
    <d v="2013-12-11T00:00:00"/>
    <s v="AnnePryor@gmail.com"/>
    <x v="0"/>
    <x v="6"/>
    <x v="1369"/>
    <n v="271.95999999999998"/>
    <n v="5"/>
    <n v="27.196000000000002"/>
    <x v="0"/>
    <n v="12"/>
    <x v="1"/>
    <n v="7"/>
    <n v="4"/>
    <n v="10"/>
    <n v="54.392000000000003"/>
    <x v="0"/>
    <x v="0"/>
    <x v="1"/>
  </r>
  <r>
    <s v="US-2013-103674"/>
    <d v="2013-12-07T00:00:00"/>
    <d v="2013-12-11T00:00:00"/>
    <s v="AnnePryor@gmail.com"/>
    <x v="0"/>
    <x v="2"/>
    <x v="1322"/>
    <n v="18.690000000000001"/>
    <n v="7"/>
    <n v="5.2332000000000001"/>
    <x v="0"/>
    <n v="12"/>
    <x v="1"/>
    <n v="7"/>
    <n v="4"/>
    <n v="28"/>
    <n v="2.67"/>
    <x v="0"/>
    <x v="0"/>
    <x v="0"/>
  </r>
  <r>
    <s v="US-2013-103674"/>
    <d v="2013-12-07T00:00:00"/>
    <d v="2013-12-11T00:00:00"/>
    <s v="AnnePryor@gmail.com"/>
    <x v="0"/>
    <x v="8"/>
    <x v="183"/>
    <n v="13.36"/>
    <n v="2"/>
    <n v="6.4127999999999998"/>
    <x v="0"/>
    <n v="12"/>
    <x v="1"/>
    <n v="7"/>
    <n v="4"/>
    <n v="48"/>
    <n v="6.68"/>
    <x v="0"/>
    <x v="0"/>
    <x v="0"/>
  </r>
  <r>
    <s v="US-2013-103674"/>
    <d v="2013-12-07T00:00:00"/>
    <d v="2013-12-11T00:00:00"/>
    <s v="AnnePryor@gmail.com"/>
    <x v="0"/>
    <x v="6"/>
    <x v="149"/>
    <n v="249.584"/>
    <n v="2"/>
    <n v="31.198"/>
    <x v="0"/>
    <n v="12"/>
    <x v="1"/>
    <n v="7"/>
    <n v="4"/>
    <n v="12.5"/>
    <n v="124.792"/>
    <x v="0"/>
    <x v="0"/>
    <x v="1"/>
  </r>
  <r>
    <s v="US-2013-103674"/>
    <d v="2013-12-07T00:00:00"/>
    <d v="2013-12-11T00:00:00"/>
    <s v="AnnePryor@gmail.com"/>
    <x v="0"/>
    <x v="10"/>
    <x v="148"/>
    <n v="13.86"/>
    <n v="7"/>
    <n v="0"/>
    <x v="0"/>
    <n v="12"/>
    <x v="1"/>
    <n v="7"/>
    <n v="4"/>
    <n v="0"/>
    <n v="1.98"/>
    <x v="0"/>
    <x v="0"/>
    <x v="0"/>
  </r>
  <r>
    <s v="US-2013-103674"/>
    <d v="2013-12-07T00:00:00"/>
    <d v="2013-12-11T00:00:00"/>
    <s v="AnnePryor@gmail.com"/>
    <x v="0"/>
    <x v="3"/>
    <x v="261"/>
    <n v="13.375999999999999"/>
    <n v="4"/>
    <n v="4.6816000000000004"/>
    <x v="0"/>
    <n v="12"/>
    <x v="1"/>
    <n v="7"/>
    <n v="4"/>
    <n v="35"/>
    <n v="3.3439999999999999"/>
    <x v="0"/>
    <x v="0"/>
    <x v="0"/>
  </r>
  <r>
    <s v="US-2013-103674"/>
    <d v="2013-12-07T00:00:00"/>
    <d v="2013-12-11T00:00:00"/>
    <s v="AnnePryor@gmail.com"/>
    <x v="0"/>
    <x v="3"/>
    <x v="1199"/>
    <n v="437.47199999999998"/>
    <n v="14"/>
    <n v="153.11519999999999"/>
    <x v="0"/>
    <n v="12"/>
    <x v="1"/>
    <n v="7"/>
    <n v="4"/>
    <n v="35"/>
    <n v="31.248000000000001"/>
    <x v="0"/>
    <x v="0"/>
    <x v="1"/>
  </r>
  <r>
    <s v="CA-2013-125794"/>
    <d v="2013-09-30T00:00:00"/>
    <d v="2013-10-04T00:00:00"/>
    <s v="MarisLaWare@gmail.com"/>
    <x v="0"/>
    <x v="7"/>
    <x v="701"/>
    <n v="36.24"/>
    <n v="1"/>
    <n v="15.220800000000001"/>
    <x v="0"/>
    <n v="9"/>
    <x v="8"/>
    <n v="30"/>
    <n v="4"/>
    <n v="42"/>
    <n v="36.24"/>
    <x v="0"/>
    <x v="0"/>
    <x v="0"/>
  </r>
  <r>
    <s v="CA-2014-121258"/>
    <d v="2014-02-27T00:00:00"/>
    <d v="2014-03-04T00:00:00"/>
    <s v="DaveBrooks@gmail.com"/>
    <x v="30"/>
    <x v="1"/>
    <x v="1051"/>
    <n v="91.96"/>
    <n v="2"/>
    <n v="15.6332"/>
    <x v="3"/>
    <n v="2"/>
    <x v="11"/>
    <n v="27"/>
    <n v="5"/>
    <n v="17"/>
    <n v="45.98"/>
    <x v="0"/>
    <x v="0"/>
    <x v="0"/>
  </r>
  <r>
    <s v="CA-2014-121258"/>
    <d v="2014-02-27T00:00:00"/>
    <d v="2014-03-04T00:00:00"/>
    <s v="DaveBrooks@gmail.com"/>
    <x v="30"/>
    <x v="6"/>
    <x v="968"/>
    <n v="258.57600000000002"/>
    <n v="2"/>
    <n v="19.3932"/>
    <x v="3"/>
    <n v="2"/>
    <x v="11"/>
    <n v="27"/>
    <n v="5"/>
    <n v="7.5"/>
    <n v="129.28800000000001"/>
    <x v="0"/>
    <x v="0"/>
    <x v="1"/>
  </r>
  <r>
    <s v="CA-2014-121258"/>
    <d v="2014-02-27T00:00:00"/>
    <d v="2014-03-04T00:00:00"/>
    <s v="DaveBrooks@gmail.com"/>
    <x v="30"/>
    <x v="8"/>
    <x v="1243"/>
    <n v="29.6"/>
    <n v="4"/>
    <n v="13.32"/>
    <x v="3"/>
    <n v="2"/>
    <x v="11"/>
    <n v="27"/>
    <n v="5"/>
    <n v="45"/>
    <n v="7.4"/>
    <x v="0"/>
    <x v="0"/>
    <x v="0"/>
  </r>
  <r>
    <s v="CA-2014-119914"/>
    <d v="2014-05-05T00:00:00"/>
    <d v="2014-05-10T00:00:00"/>
    <s v="ChrisCortes@gmail.com"/>
    <x v="63"/>
    <x v="4"/>
    <x v="1370"/>
    <n v="243.16"/>
    <n v="2"/>
    <n v="72.947999999999993"/>
    <x v="3"/>
    <n v="5"/>
    <x v="2"/>
    <n v="5"/>
    <n v="5"/>
    <n v="30"/>
    <n v="121.58"/>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EBE6B-EEA2-41C4-A6D1-6FA69DF76B67}"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B33"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axis="axisRow"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8DE86-81A2-44BB-8DEE-BF698BBDBC3A}"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3:G4"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Avg Order Valu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0287BB-CBC0-4639-A6BC-59EDD51C77C0}"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7:H10" firstHeaderRow="1" firstDataRow="1" firstDataCol="1"/>
  <pivotFields count="21">
    <pivotField dataField="1"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dragToRow="0" dragToCol="0" dragToPage="0" showAll="0" defaultSubtotal="0"/>
  </pivotFields>
  <rowFields count="1">
    <field x="19"/>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EE0466-4827-4765-BC0C-1DC67FA13BEA}"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E4" firstHeaderRow="1" firstDataRow="1" firstDataCol="0"/>
  <pivotFields count="21">
    <pivotField showAll="0"/>
    <pivotField numFmtId="164" showAll="0"/>
    <pivotField numFmtId="164" showAll="0"/>
    <pivotField dataField="1"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Email 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B4005-60BD-4C06-A17C-A672CAF18D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9:N32"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dataField="1" showAll="0"/>
    <pivotField showAll="0">
      <items count="5">
        <item h="1" x="1"/>
        <item h="1" x="2"/>
        <item x="0"/>
        <item h="1" x="3"/>
        <item t="default"/>
      </items>
    </pivotField>
    <pivotField showAll="0"/>
    <pivotField axis="axisRow" showAll="0">
      <items count="13">
        <item x="4"/>
        <item x="11"/>
        <item x="9"/>
        <item x="10"/>
        <item x="2"/>
        <item x="0"/>
        <item x="5"/>
        <item x="3"/>
        <item x="8"/>
        <item x="7"/>
        <item x="6"/>
        <item x="1"/>
        <item t="default"/>
      </items>
    </pivotField>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Fields count="1">
    <field x="12"/>
  </rowFields>
  <rowItems count="13">
    <i>
      <x/>
    </i>
    <i>
      <x v="1"/>
    </i>
    <i>
      <x v="2"/>
    </i>
    <i>
      <x v="3"/>
    </i>
    <i>
      <x v="4"/>
    </i>
    <i>
      <x v="5"/>
    </i>
    <i>
      <x v="6"/>
    </i>
    <i>
      <x v="7"/>
    </i>
    <i>
      <x v="8"/>
    </i>
    <i>
      <x v="9"/>
    </i>
    <i>
      <x v="10"/>
    </i>
    <i>
      <x v="11"/>
    </i>
    <i t="grand">
      <x/>
    </i>
  </rowItems>
  <colItems count="1">
    <i/>
  </colItems>
  <dataFields count="1">
    <dataField name="Sum of profit" fld="9"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E4D7F5-FA1B-4B59-A047-BEB254F6248D}"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A8"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Average Order Days"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A4237B-9D74-4E2E-A7E4-D4CDE6360EE4}"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21">
    <pivotField dataField="1"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66D44-F862-476B-892D-2B24371BBD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8:M9"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ataField="1" dragToRow="0" dragToCol="0" dragToPage="0" showAll="0" defaultSubtotal="0"/>
  </pivotFields>
  <rowItems count="1">
    <i/>
  </rowItems>
  <colItems count="1">
    <i/>
  </colItems>
  <dataFields count="1">
    <dataField name="%Profit Margin" fld="20"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B56653-F7B0-4BF3-A6A7-3980261F5E34}"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7:D10" firstHeaderRow="1" firstDataRow="1" firstDataCol="1"/>
  <pivotFields count="21">
    <pivotField dataField="1"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axis="axisRow" showAll="0">
      <items count="3">
        <item x="0"/>
        <item x="1"/>
        <item t="default"/>
      </items>
    </pivotField>
    <pivotField showAll="0"/>
    <pivotField dragToRow="0" dragToCol="0" dragToPage="0" showAll="0" defaultSubtotal="0"/>
  </pivotFields>
  <rowFields count="1">
    <field x="18"/>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F95E2D-D263-422D-8755-AF93EF7052AF}" name="PivotTable4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5:H18"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dragToRow="0" dragToCol="0" dragToPage="0" showAll="0" defaultSubtotal="0"/>
  </pivotFields>
  <rowFields count="1">
    <field x="17"/>
  </rowFields>
  <rowItems count="3">
    <i>
      <x/>
    </i>
    <i>
      <x v="1"/>
    </i>
    <i t="grand">
      <x/>
    </i>
  </rowItems>
  <colItems count="1">
    <i/>
  </colItems>
  <dataFields count="1">
    <dataField name="Sum of sales" fld="7"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0"/>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 chart="1" format="1">
      <pivotArea type="data" outline="0" fieldPosition="0">
        <references count="2">
          <reference field="4294967294" count="1" selected="0">
            <x v="0"/>
          </reference>
          <reference field="17" count="1" selected="0">
            <x v="0"/>
          </reference>
        </references>
      </pivotArea>
    </chartFormat>
    <chartFormat chart="1"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4EE179-00EA-4885-9BE8-952C98296533}"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I4"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dataField="1"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1F1C2B-26E0-4562-93A0-7C49062311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21"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axis="axisRow"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dragToRow="0" dragToCol="0" dragToPage="0" showAll="0" defaultSubtota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Average shipping days" fld="14"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C8952E-3B76-4CE3-B498-867CCC8F449B}"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2:H35"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axis="axisRow" showAll="0">
      <items count="13">
        <item x="4"/>
        <item x="11"/>
        <item x="9"/>
        <item x="10"/>
        <item x="2"/>
        <item x="0"/>
        <item x="5"/>
        <item x="3"/>
        <item x="8"/>
        <item x="7"/>
        <item x="6"/>
        <item x="1"/>
        <item t="default"/>
      </items>
    </pivotField>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Fields count="1">
    <field x="12"/>
  </rowFields>
  <rowItems count="13">
    <i>
      <x/>
    </i>
    <i>
      <x v="1"/>
    </i>
    <i>
      <x v="2"/>
    </i>
    <i>
      <x v="3"/>
    </i>
    <i>
      <x v="4"/>
    </i>
    <i>
      <x v="5"/>
    </i>
    <i>
      <x v="6"/>
    </i>
    <i>
      <x v="7"/>
    </i>
    <i>
      <x v="8"/>
    </i>
    <i>
      <x v="9"/>
    </i>
    <i>
      <x v="10"/>
    </i>
    <i>
      <x v="11"/>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4A39D8-989C-4B66-B99F-A0DCAADE589B}"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7:K101" firstHeaderRow="1" firstDataRow="1" firstDataCol="1"/>
  <pivotFields count="21">
    <pivotField showAll="0"/>
    <pivotField numFmtId="164" showAll="0"/>
    <pivotField numFmtId="164" showAll="0"/>
    <pivotField showAll="0"/>
    <pivotField axis="axisRow"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Fields count="1">
    <field x="4"/>
  </rowFields>
  <rowItems count="94">
    <i>
      <x v="1"/>
    </i>
    <i>
      <x v="2"/>
    </i>
    <i>
      <x v="4"/>
    </i>
    <i>
      <x v="5"/>
    </i>
    <i>
      <x v="6"/>
    </i>
    <i>
      <x v="8"/>
    </i>
    <i>
      <x v="9"/>
    </i>
    <i>
      <x v="15"/>
    </i>
    <i>
      <x v="20"/>
    </i>
    <i>
      <x v="23"/>
    </i>
    <i>
      <x v="27"/>
    </i>
    <i>
      <x v="29"/>
    </i>
    <i>
      <x v="30"/>
    </i>
    <i>
      <x v="31"/>
    </i>
    <i>
      <x v="33"/>
    </i>
    <i>
      <x v="34"/>
    </i>
    <i>
      <x v="35"/>
    </i>
    <i>
      <x v="38"/>
    </i>
    <i>
      <x v="39"/>
    </i>
    <i>
      <x v="40"/>
    </i>
    <i>
      <x v="41"/>
    </i>
    <i>
      <x v="43"/>
    </i>
    <i>
      <x v="47"/>
    </i>
    <i>
      <x v="48"/>
    </i>
    <i>
      <x v="50"/>
    </i>
    <i>
      <x v="53"/>
    </i>
    <i>
      <x v="55"/>
    </i>
    <i>
      <x v="56"/>
    </i>
    <i>
      <x v="58"/>
    </i>
    <i>
      <x v="63"/>
    </i>
    <i>
      <x v="65"/>
    </i>
    <i>
      <x v="66"/>
    </i>
    <i>
      <x v="67"/>
    </i>
    <i>
      <x v="73"/>
    </i>
    <i>
      <x v="76"/>
    </i>
    <i>
      <x v="77"/>
    </i>
    <i>
      <x v="78"/>
    </i>
    <i>
      <x v="79"/>
    </i>
    <i>
      <x v="80"/>
    </i>
    <i>
      <x v="83"/>
    </i>
    <i>
      <x v="84"/>
    </i>
    <i>
      <x v="86"/>
    </i>
    <i>
      <x v="87"/>
    </i>
    <i>
      <x v="90"/>
    </i>
    <i>
      <x v="91"/>
    </i>
    <i>
      <x v="92"/>
    </i>
    <i>
      <x v="95"/>
    </i>
    <i>
      <x v="96"/>
    </i>
    <i>
      <x v="97"/>
    </i>
    <i>
      <x v="100"/>
    </i>
    <i>
      <x v="101"/>
    </i>
    <i>
      <x v="102"/>
    </i>
    <i>
      <x v="103"/>
    </i>
    <i>
      <x v="106"/>
    </i>
    <i>
      <x v="109"/>
    </i>
    <i>
      <x v="111"/>
    </i>
    <i>
      <x v="112"/>
    </i>
    <i>
      <x v="113"/>
    </i>
    <i>
      <x v="116"/>
    </i>
    <i>
      <x v="117"/>
    </i>
    <i>
      <x v="118"/>
    </i>
    <i>
      <x v="119"/>
    </i>
    <i>
      <x v="120"/>
    </i>
    <i>
      <x v="124"/>
    </i>
    <i>
      <x v="125"/>
    </i>
    <i>
      <x v="126"/>
    </i>
    <i>
      <x v="127"/>
    </i>
    <i>
      <x v="128"/>
    </i>
    <i>
      <x v="129"/>
    </i>
    <i>
      <x v="131"/>
    </i>
    <i>
      <x v="132"/>
    </i>
    <i>
      <x v="133"/>
    </i>
    <i>
      <x v="135"/>
    </i>
    <i>
      <x v="136"/>
    </i>
    <i>
      <x v="138"/>
    </i>
    <i>
      <x v="139"/>
    </i>
    <i>
      <x v="140"/>
    </i>
    <i>
      <x v="143"/>
    </i>
    <i>
      <x v="144"/>
    </i>
    <i>
      <x v="145"/>
    </i>
    <i>
      <x v="146"/>
    </i>
    <i>
      <x v="148"/>
    </i>
    <i>
      <x v="149"/>
    </i>
    <i>
      <x v="152"/>
    </i>
    <i>
      <x v="155"/>
    </i>
    <i>
      <x v="156"/>
    </i>
    <i>
      <x v="157"/>
    </i>
    <i>
      <x v="158"/>
    </i>
    <i>
      <x v="160"/>
    </i>
    <i>
      <x v="161"/>
    </i>
    <i>
      <x v="162"/>
    </i>
    <i>
      <x v="166"/>
    </i>
    <i>
      <x v="168"/>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F2B8B8-2A27-465A-9719-6D32D851EFC0}"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408A73-71C7-4104-89C4-51C0778C925E}"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5:E26" firstHeaderRow="1" firstDataRow="1" firstDataCol="1"/>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axis="axisRow" showAll="0" measureFilter="1" sortType="descending">
      <items count="1372">
        <item x="411"/>
        <item x="558"/>
        <item x="293"/>
        <item x="659"/>
        <item x="676"/>
        <item x="845"/>
        <item x="1186"/>
        <item x="197"/>
        <item x="934"/>
        <item x="337"/>
        <item x="1193"/>
        <item x="581"/>
        <item x="660"/>
        <item x="179"/>
        <item x="110"/>
        <item x="1001"/>
        <item x="336"/>
        <item x="362"/>
        <item x="710"/>
        <item x="984"/>
        <item x="608"/>
        <item x="968"/>
        <item x="899"/>
        <item x="918"/>
        <item x="819"/>
        <item x="1018"/>
        <item x="1370"/>
        <item x="893"/>
        <item x="997"/>
        <item x="500"/>
        <item x="111"/>
        <item x="1159"/>
        <item x="791"/>
        <item x="707"/>
        <item x="340"/>
        <item x="1006"/>
        <item x="507"/>
        <item x="1283"/>
        <item x="880"/>
        <item x="1258"/>
        <item x="233"/>
        <item x="576"/>
        <item x="374"/>
        <item x="169"/>
        <item x="14"/>
        <item x="752"/>
        <item x="714"/>
        <item x="1158"/>
        <item x="754"/>
        <item x="520"/>
        <item x="545"/>
        <item x="1339"/>
        <item x="943"/>
        <item x="194"/>
        <item x="301"/>
        <item x="284"/>
        <item x="683"/>
        <item x="1120"/>
        <item x="948"/>
        <item x="1281"/>
        <item x="977"/>
        <item x="463"/>
        <item x="906"/>
        <item x="1213"/>
        <item x="1359"/>
        <item x="750"/>
        <item x="1076"/>
        <item x="951"/>
        <item x="215"/>
        <item x="672"/>
        <item x="1050"/>
        <item x="492"/>
        <item x="1189"/>
        <item x="156"/>
        <item x="964"/>
        <item x="589"/>
        <item x="1214"/>
        <item x="52"/>
        <item x="385"/>
        <item x="690"/>
        <item x="1287"/>
        <item x="1228"/>
        <item x="757"/>
        <item x="61"/>
        <item x="974"/>
        <item x="606"/>
        <item x="635"/>
        <item x="769"/>
        <item x="526"/>
        <item x="935"/>
        <item x="734"/>
        <item x="600"/>
        <item x="136"/>
        <item x="243"/>
        <item x="519"/>
        <item x="841"/>
        <item x="990"/>
        <item x="720"/>
        <item x="148"/>
        <item x="655"/>
        <item x="1124"/>
        <item x="123"/>
        <item x="187"/>
        <item x="254"/>
        <item x="1105"/>
        <item x="106"/>
        <item x="1133"/>
        <item x="662"/>
        <item x="1360"/>
        <item x="69"/>
        <item x="483"/>
        <item x="664"/>
        <item x="384"/>
        <item x="564"/>
        <item x="88"/>
        <item x="1106"/>
        <item x="1172"/>
        <item x="479"/>
        <item x="699"/>
        <item x="993"/>
        <item x="1150"/>
        <item x="946"/>
        <item x="166"/>
        <item x="269"/>
        <item x="944"/>
        <item x="591"/>
        <item x="1305"/>
        <item x="1335"/>
        <item x="1227"/>
        <item x="1226"/>
        <item x="159"/>
        <item x="180"/>
        <item x="732"/>
        <item x="513"/>
        <item x="1343"/>
        <item x="680"/>
        <item x="867"/>
        <item x="446"/>
        <item x="1369"/>
        <item x="429"/>
        <item x="341"/>
        <item x="144"/>
        <item x="703"/>
        <item x="1041"/>
        <item x="1042"/>
        <item x="812"/>
        <item x="643"/>
        <item x="1097"/>
        <item x="177"/>
        <item x="1338"/>
        <item x="348"/>
        <item x="904"/>
        <item x="689"/>
        <item x="216"/>
        <item x="1156"/>
        <item x="267"/>
        <item x="674"/>
        <item x="1131"/>
        <item x="325"/>
        <item x="755"/>
        <item x="995"/>
        <item x="416"/>
        <item x="1180"/>
        <item x="1139"/>
        <item x="407"/>
        <item x="577"/>
        <item x="202"/>
        <item x="563"/>
        <item x="409"/>
        <item x="426"/>
        <item x="1066"/>
        <item x="795"/>
        <item x="1238"/>
        <item x="484"/>
        <item x="1271"/>
        <item x="81"/>
        <item x="985"/>
        <item x="681"/>
        <item x="304"/>
        <item x="597"/>
        <item x="428"/>
        <item x="587"/>
        <item x="1141"/>
        <item x="580"/>
        <item x="375"/>
        <item x="936"/>
        <item x="567"/>
        <item x="709"/>
        <item x="546"/>
        <item x="386"/>
        <item x="1344"/>
        <item x="522"/>
        <item x="356"/>
        <item x="363"/>
        <item x="237"/>
        <item x="261"/>
        <item x="28"/>
        <item x="550"/>
        <item x="471"/>
        <item x="740"/>
        <item x="649"/>
        <item x="1262"/>
        <item x="1323"/>
        <item x="920"/>
        <item x="439"/>
        <item x="1242"/>
        <item x="256"/>
        <item x="1277"/>
        <item x="844"/>
        <item x="85"/>
        <item x="1064"/>
        <item x="916"/>
        <item x="1194"/>
        <item x="652"/>
        <item x="265"/>
        <item x="818"/>
        <item x="1240"/>
        <item x="517"/>
        <item x="234"/>
        <item x="27"/>
        <item x="687"/>
        <item x="960"/>
        <item x="849"/>
        <item x="770"/>
        <item x="1095"/>
        <item x="978"/>
        <item x="1043"/>
        <item x="367"/>
        <item x="509"/>
        <item x="1132"/>
        <item x="308"/>
        <item x="808"/>
        <item x="42"/>
        <item x="1255"/>
        <item x="1357"/>
        <item x="264"/>
        <item x="937"/>
        <item x="4"/>
        <item x="378"/>
        <item x="209"/>
        <item x="178"/>
        <item x="953"/>
        <item x="1295"/>
        <item x="168"/>
        <item x="1237"/>
        <item x="574"/>
        <item x="298"/>
        <item x="612"/>
        <item x="235"/>
        <item x="556"/>
        <item x="531"/>
        <item x="876"/>
        <item x="105"/>
        <item x="242"/>
        <item x="873"/>
        <item x="673"/>
        <item x="908"/>
        <item x="397"/>
        <item x="1279"/>
        <item x="225"/>
        <item x="427"/>
        <item x="220"/>
        <item x="733"/>
        <item x="1355"/>
        <item x="1191"/>
        <item x="1031"/>
        <item x="1049"/>
        <item x="657"/>
        <item x="1322"/>
        <item x="1333"/>
        <item x="691"/>
        <item x="1233"/>
        <item x="1154"/>
        <item x="245"/>
        <item x="1113"/>
        <item x="1329"/>
        <item x="833"/>
        <item x="702"/>
        <item x="826"/>
        <item x="361"/>
        <item x="746"/>
        <item x="991"/>
        <item x="283"/>
        <item x="487"/>
        <item x="890"/>
        <item x="57"/>
        <item x="58"/>
        <item x="318"/>
        <item x="739"/>
        <item x="882"/>
        <item x="1311"/>
        <item x="104"/>
        <item x="763"/>
        <item x="370"/>
        <item x="1368"/>
        <item x="1098"/>
        <item x="1061"/>
        <item x="276"/>
        <item x="911"/>
        <item x="1260"/>
        <item x="803"/>
        <item x="1178"/>
        <item x="566"/>
        <item x="1361"/>
        <item x="605"/>
        <item x="320"/>
        <item x="186"/>
        <item x="961"/>
        <item x="559"/>
        <item x="736"/>
        <item x="1065"/>
        <item x="305"/>
        <item x="402"/>
        <item x="286"/>
        <item x="189"/>
        <item x="1057"/>
        <item x="613"/>
        <item x="322"/>
        <item x="980"/>
        <item x="1182"/>
        <item x="647"/>
        <item x="1236"/>
        <item x="862"/>
        <item x="705"/>
        <item x="831"/>
        <item x="573"/>
        <item x="8"/>
        <item x="1084"/>
        <item x="149"/>
        <item x="1137"/>
        <item x="121"/>
        <item x="698"/>
        <item x="126"/>
        <item x="547"/>
        <item x="482"/>
        <item x="78"/>
        <item x="406"/>
        <item x="1332"/>
        <item x="697"/>
        <item x="1020"/>
        <item x="146"/>
        <item x="983"/>
        <item x="1052"/>
        <item x="1077"/>
        <item x="611"/>
        <item x="481"/>
        <item x="595"/>
        <item x="661"/>
        <item x="1115"/>
        <item x="1272"/>
        <item x="1252"/>
        <item x="592"/>
        <item x="40"/>
        <item x="280"/>
        <item x="758"/>
        <item x="642"/>
        <item x="1111"/>
        <item x="167"/>
        <item x="1341"/>
        <item x="1040"/>
        <item x="1364"/>
        <item x="294"/>
        <item x="1259"/>
        <item x="1058"/>
        <item x="788"/>
        <item x="804"/>
        <item x="1206"/>
        <item x="333"/>
        <item x="1207"/>
        <item x="554"/>
        <item x="1197"/>
        <item x="644"/>
        <item x="1256"/>
        <item x="358"/>
        <item x="914"/>
        <item x="118"/>
        <item x="26"/>
        <item x="924"/>
        <item x="889"/>
        <item x="530"/>
        <item x="129"/>
        <item x="1223"/>
        <item x="323"/>
        <item x="219"/>
        <item x="343"/>
        <item x="578"/>
        <item x="1036"/>
        <item x="1013"/>
        <item x="324"/>
        <item x="217"/>
        <item x="620"/>
        <item x="771"/>
        <item x="1325"/>
        <item x="461"/>
        <item x="905"/>
        <item x="1308"/>
        <item x="128"/>
        <item x="494"/>
        <item x="886"/>
        <item x="625"/>
        <item x="3"/>
        <item x="419"/>
        <item x="321"/>
        <item x="447"/>
        <item x="1219"/>
        <item x="780"/>
        <item x="827"/>
        <item x="176"/>
        <item x="989"/>
        <item x="787"/>
        <item x="947"/>
        <item x="853"/>
        <item x="1224"/>
        <item x="1070"/>
        <item x="777"/>
        <item x="636"/>
        <item x="1200"/>
        <item x="496"/>
        <item x="765"/>
        <item x="1297"/>
        <item x="12"/>
        <item x="1102"/>
        <item x="31"/>
        <item x="75"/>
        <item x="249"/>
        <item x="1365"/>
        <item x="1353"/>
        <item x="1038"/>
        <item x="80"/>
        <item x="1217"/>
        <item x="686"/>
        <item x="1"/>
        <item x="949"/>
        <item x="798"/>
        <item x="762"/>
        <item x="651"/>
        <item x="793"/>
        <item x="1289"/>
        <item x="1108"/>
        <item x="360"/>
        <item x="296"/>
        <item x="1196"/>
        <item x="396"/>
        <item x="789"/>
        <item x="1342"/>
        <item x="761"/>
        <item x="622"/>
        <item x="222"/>
        <item x="579"/>
        <item x="459"/>
        <item x="206"/>
        <item x="112"/>
        <item x="1033"/>
        <item x="1268"/>
        <item x="1082"/>
        <item x="751"/>
        <item x="952"/>
        <item x="252"/>
        <item x="452"/>
        <item x="311"/>
        <item x="1203"/>
        <item x="1241"/>
        <item x="1208"/>
        <item x="1074"/>
        <item x="813"/>
        <item x="599"/>
        <item x="881"/>
        <item x="634"/>
        <item x="204"/>
        <item x="1166"/>
        <item x="431"/>
        <item x="1296"/>
        <item x="1019"/>
        <item x="1145"/>
        <item x="231"/>
        <item x="514"/>
        <item x="309"/>
        <item x="696"/>
        <item x="399"/>
        <item x="529"/>
        <item x="160"/>
        <item x="213"/>
        <item x="221"/>
        <item x="708"/>
        <item x="1026"/>
        <item x="502"/>
        <item x="279"/>
        <item x="227"/>
        <item x="196"/>
        <item x="5"/>
        <item x="457"/>
        <item x="1138"/>
        <item x="115"/>
        <item x="1127"/>
        <item x="291"/>
        <item x="6"/>
        <item x="246"/>
        <item x="165"/>
        <item x="473"/>
        <item x="224"/>
        <item x="633"/>
        <item x="181"/>
        <item x="1109"/>
        <item x="1005"/>
        <item x="516"/>
        <item x="37"/>
        <item x="930"/>
        <item x="468"/>
        <item x="23"/>
        <item x="480"/>
        <item x="1130"/>
        <item x="1090"/>
        <item x="902"/>
        <item x="306"/>
        <item x="489"/>
        <item x="503"/>
        <item x="800"/>
        <item x="462"/>
        <item x="1302"/>
        <item x="1157"/>
        <item x="1309"/>
        <item x="1147"/>
        <item x="469"/>
        <item x="253"/>
        <item x="815"/>
        <item x="838"/>
        <item x="585"/>
        <item x="147"/>
        <item x="501"/>
        <item x="371"/>
        <item x="465"/>
        <item x="724"/>
        <item x="572"/>
        <item x="408"/>
        <item x="131"/>
        <item x="454"/>
        <item x="1119"/>
        <item x="1067"/>
        <item x="401"/>
        <item x="335"/>
        <item x="654"/>
        <item x="151"/>
        <item x="723"/>
        <item x="36"/>
        <item x="158"/>
        <item x="1168"/>
        <item x="389"/>
        <item x="292"/>
        <item x="272"/>
        <item x="814"/>
        <item x="410"/>
        <item x="557"/>
        <item x="1280"/>
        <item x="887"/>
        <item x="784"/>
        <item x="443"/>
        <item x="48"/>
        <item x="561"/>
        <item x="74"/>
        <item x="532"/>
        <item x="623"/>
        <item x="824"/>
        <item x="1318"/>
        <item x="628"/>
        <item x="491"/>
        <item x="109"/>
        <item x="1099"/>
        <item x="436"/>
        <item x="543"/>
        <item x="783"/>
        <item x="534"/>
        <item x="63"/>
        <item x="412"/>
        <item x="896"/>
        <item x="1230"/>
        <item x="940"/>
        <item x="1163"/>
        <item x="575"/>
        <item x="621"/>
        <item x="30"/>
        <item x="258"/>
        <item x="54"/>
        <item x="1170"/>
        <item x="1221"/>
        <item x="630"/>
        <item x="857"/>
        <item x="89"/>
        <item x="1275"/>
        <item x="939"/>
        <item x="137"/>
        <item x="584"/>
        <item x="926"/>
        <item x="1054"/>
        <item x="1204"/>
        <item x="1286"/>
        <item x="959"/>
        <item x="445"/>
        <item x="485"/>
        <item x="640"/>
        <item x="835"/>
        <item x="506"/>
        <item x="200"/>
        <item x="548"/>
        <item x="840"/>
        <item x="792"/>
        <item x="860"/>
        <item x="1068"/>
        <item x="504"/>
        <item x="524"/>
        <item x="725"/>
        <item x="1330"/>
        <item x="403"/>
        <item x="1273"/>
        <item x="1112"/>
        <item x="1218"/>
        <item x="434"/>
        <item x="270"/>
        <item x="79"/>
        <item x="1231"/>
        <item x="903"/>
        <item x="282"/>
        <item x="1278"/>
        <item x="153"/>
        <item x="1254"/>
        <item x="713"/>
        <item x="601"/>
        <item x="1320"/>
        <item x="1356"/>
        <item x="975"/>
        <item x="310"/>
        <item x="1310"/>
        <item x="1053"/>
        <item x="1244"/>
        <item x="888"/>
        <item x="806"/>
        <item x="423"/>
        <item x="954"/>
        <item x="432"/>
        <item x="73"/>
        <item x="364"/>
        <item x="1347"/>
        <item x="250"/>
        <item x="127"/>
        <item x="508"/>
        <item x="1282"/>
        <item x="351"/>
        <item x="1298"/>
        <item x="730"/>
        <item x="515"/>
        <item x="1183"/>
        <item x="921"/>
        <item x="922"/>
        <item x="1162"/>
        <item x="1037"/>
        <item x="162"/>
        <item x="1313"/>
        <item x="441"/>
        <item x="76"/>
        <item x="214"/>
        <item x="616"/>
        <item x="891"/>
        <item x="1367"/>
        <item x="1199"/>
        <item x="331"/>
        <item x="440"/>
        <item x="929"/>
        <item x="988"/>
        <item x="1032"/>
        <item x="35"/>
        <item x="124"/>
        <item x="357"/>
        <item x="182"/>
        <item x="139"/>
        <item x="895"/>
        <item x="171"/>
        <item x="1336"/>
        <item x="11"/>
        <item x="719"/>
        <item x="536"/>
        <item x="1327"/>
        <item x="122"/>
        <item x="1089"/>
        <item x="653"/>
        <item x="856"/>
        <item x="670"/>
        <item x="1261"/>
        <item x="1101"/>
        <item x="823"/>
        <item x="1243"/>
        <item x="43"/>
        <item x="172"/>
        <item x="807"/>
        <item x="392"/>
        <item x="1151"/>
        <item x="878"/>
        <item x="631"/>
        <item x="1045"/>
        <item x="729"/>
        <item x="289"/>
        <item x="848"/>
        <item x="717"/>
        <item x="1028"/>
        <item x="562"/>
        <item x="742"/>
        <item x="108"/>
        <item x="1014"/>
        <item x="727"/>
        <item x="373"/>
        <item x="425"/>
        <item x="414"/>
        <item x="211"/>
        <item x="1000"/>
        <item x="909"/>
        <item x="1328"/>
        <item x="185"/>
        <item x="1267"/>
        <item x="1184"/>
        <item x="319"/>
        <item x="858"/>
        <item x="1164"/>
        <item x="658"/>
        <item x="692"/>
        <item x="300"/>
        <item x="470"/>
        <item x="542"/>
        <item x="971"/>
        <item x="143"/>
        <item x="1215"/>
        <item x="201"/>
        <item x="663"/>
        <item x="1135"/>
        <item x="281"/>
        <item x="66"/>
        <item x="236"/>
        <item x="273"/>
        <item x="695"/>
        <item x="332"/>
        <item x="527"/>
        <item x="1034"/>
        <item x="779"/>
        <item x="688"/>
        <item x="945"/>
        <item x="1250"/>
        <item x="774"/>
        <item x="25"/>
        <item x="912"/>
        <item x="996"/>
        <item x="894"/>
        <item x="205"/>
        <item x="354"/>
        <item x="1201"/>
        <item x="1290"/>
        <item x="667"/>
        <item x="83"/>
        <item x="486"/>
        <item x="255"/>
        <item x="195"/>
        <item x="1171"/>
        <item x="190"/>
        <item x="843"/>
        <item x="1179"/>
        <item x="1027"/>
        <item x="38"/>
        <item x="607"/>
        <item x="1299"/>
        <item x="1035"/>
        <item x="16"/>
        <item x="239"/>
        <item x="1304"/>
        <item x="731"/>
        <item x="355"/>
        <item x="1269"/>
        <item x="1225"/>
        <item x="759"/>
        <item x="157"/>
        <item x="874"/>
        <item x="855"/>
        <item x="1087"/>
        <item x="879"/>
        <item x="913"/>
        <item x="801"/>
        <item x="1301"/>
        <item x="604"/>
        <item x="1232"/>
        <item x="1129"/>
        <item x="782"/>
        <item x="475"/>
        <item x="1317"/>
        <item x="842"/>
        <item x="1239"/>
        <item x="1319"/>
        <item x="684"/>
        <item x="444"/>
        <item x="1126"/>
        <item x="541"/>
        <item x="638"/>
        <item x="1210"/>
        <item x="1340"/>
        <item x="701"/>
        <item x="569"/>
        <item x="544"/>
        <item x="232"/>
        <item x="1016"/>
        <item x="510"/>
        <item x="390"/>
        <item x="263"/>
        <item x="71"/>
        <item x="1153"/>
        <item x="92"/>
        <item x="65"/>
        <item x="1146"/>
        <item x="586"/>
        <item x="816"/>
        <item x="493"/>
        <item x="207"/>
        <item x="811"/>
        <item x="1022"/>
        <item x="138"/>
        <item x="1334"/>
        <item x="316"/>
        <item x="450"/>
        <item x="393"/>
        <item x="745"/>
        <item x="368"/>
        <item x="229"/>
        <item x="1003"/>
        <item x="17"/>
        <item x="382"/>
        <item x="490"/>
        <item x="931"/>
        <item x="747"/>
        <item x="372"/>
        <item x="47"/>
        <item x="1030"/>
        <item x="910"/>
        <item x="744"/>
        <item x="135"/>
        <item x="551"/>
        <item x="535"/>
        <item x="208"/>
        <item x="799"/>
        <item x="456"/>
        <item x="2"/>
        <item x="927"/>
        <item x="91"/>
        <item x="476"/>
        <item x="271"/>
        <item x="134"/>
        <item x="898"/>
        <item x="328"/>
        <item x="1155"/>
        <item x="70"/>
        <item x="154"/>
        <item x="259"/>
        <item x="433"/>
        <item x="1285"/>
        <item x="704"/>
        <item x="821"/>
        <item x="950"/>
        <item x="677"/>
        <item x="7"/>
        <item x="39"/>
        <item x="518"/>
        <item x="617"/>
        <item x="274"/>
        <item x="957"/>
        <item x="1270"/>
        <item x="1024"/>
        <item x="1235"/>
        <item x="533"/>
        <item x="478"/>
        <item x="883"/>
        <item x="266"/>
        <item x="1128"/>
        <item x="884"/>
        <item x="59"/>
        <item x="95"/>
        <item x="474"/>
        <item x="102"/>
        <item x="822"/>
        <item x="967"/>
        <item x="962"/>
        <item x="846"/>
        <item x="1081"/>
        <item x="1312"/>
        <item x="1060"/>
        <item x="1100"/>
        <item x="1116"/>
        <item x="488"/>
        <item x="619"/>
        <item x="1348"/>
        <item x="1354"/>
        <item x="794"/>
        <item x="82"/>
        <item x="87"/>
        <item x="369"/>
        <item x="1331"/>
        <item x="1010"/>
        <item x="1292"/>
        <item x="1091"/>
        <item x="1307"/>
        <item x="796"/>
        <item x="1266"/>
        <item x="1012"/>
        <item x="832"/>
        <item x="1008"/>
        <item x="1326"/>
        <item x="193"/>
        <item x="933"/>
        <item x="570"/>
        <item x="413"/>
        <item x="666"/>
        <item x="1144"/>
        <item x="344"/>
        <item x="1069"/>
        <item x="1265"/>
        <item x="1246"/>
        <item x="313"/>
        <item x="497"/>
        <item x="1107"/>
        <item x="383"/>
        <item x="1161"/>
        <item x="329"/>
        <item x="1192"/>
        <item x="1300"/>
        <item x="568"/>
        <item x="1118"/>
        <item x="965"/>
        <item x="553"/>
        <item x="21"/>
        <item x="377"/>
        <item x="834"/>
        <item x="1048"/>
        <item x="969"/>
        <item x="285"/>
        <item x="1093"/>
        <item x="299"/>
        <item x="820"/>
        <item x="1276"/>
        <item x="455"/>
        <item x="941"/>
        <item x="1249"/>
        <item x="150"/>
        <item x="992"/>
        <item x="60"/>
        <item x="917"/>
        <item x="334"/>
        <item x="726"/>
        <item x="919"/>
        <item x="477"/>
        <item x="737"/>
        <item x="629"/>
        <item x="1358"/>
        <item x="1149"/>
        <item x="1078"/>
        <item x="966"/>
        <item x="602"/>
        <item x="1234"/>
        <item x="614"/>
        <item x="700"/>
        <item x="1114"/>
        <item x="460"/>
        <item x="113"/>
        <item x="56"/>
        <item x="679"/>
        <item x="1248"/>
        <item x="850"/>
        <item x="1187"/>
        <item x="1073"/>
        <item x="381"/>
        <item x="422"/>
        <item x="596"/>
        <item x="359"/>
        <item x="776"/>
        <item x="114"/>
        <item x="871"/>
        <item x="173"/>
        <item x="748"/>
        <item x="18"/>
        <item x="817"/>
        <item x="326"/>
        <item x="987"/>
        <item x="1121"/>
        <item x="68"/>
        <item x="339"/>
        <item x="1362"/>
        <item x="251"/>
        <item x="694"/>
        <item x="379"/>
        <item x="768"/>
        <item x="743"/>
        <item x="555"/>
        <item x="1315"/>
        <item x="1143"/>
        <item x="797"/>
        <item x="1056"/>
        <item x="400"/>
        <item x="288"/>
        <item x="119"/>
        <item x="1190"/>
        <item x="1351"/>
        <item x="549"/>
        <item x="161"/>
        <item x="669"/>
        <item x="539"/>
        <item x="1169"/>
        <item x="155"/>
        <item x="1085"/>
        <item x="275"/>
        <item x="247"/>
        <item x="67"/>
        <item x="1288"/>
        <item x="1198"/>
        <item x="790"/>
        <item x="1284"/>
        <item x="1096"/>
        <item x="1257"/>
        <item x="836"/>
        <item x="1055"/>
        <item x="1350"/>
        <item x="262"/>
        <item x="1110"/>
        <item x="626"/>
        <item x="1229"/>
        <item x="711"/>
        <item x="583"/>
        <item x="116"/>
        <item x="645"/>
        <item x="449"/>
        <item x="1303"/>
        <item x="140"/>
        <item x="435"/>
        <item x="999"/>
        <item x="582"/>
        <item x="1021"/>
        <item x="466"/>
        <item x="829"/>
        <item x="330"/>
        <item x="753"/>
        <item x="1352"/>
        <item x="338"/>
        <item x="1071"/>
        <item x="424"/>
        <item x="648"/>
        <item x="55"/>
        <item x="347"/>
        <item x="297"/>
        <item x="34"/>
        <item x="1306"/>
        <item x="928"/>
        <item x="295"/>
        <item x="851"/>
        <item x="540"/>
        <item x="1263"/>
        <item x="418"/>
        <item x="420"/>
        <item x="712"/>
        <item x="1202"/>
        <item x="958"/>
        <item x="387"/>
        <item x="117"/>
        <item x="1075"/>
        <item x="866"/>
        <item x="0"/>
        <item x="100"/>
        <item x="646"/>
        <item x="767"/>
        <item x="775"/>
        <item x="312"/>
        <item x="1222"/>
        <item x="430"/>
        <item x="986"/>
        <item x="1345"/>
        <item x="760"/>
        <item x="1245"/>
        <item x="665"/>
        <item x="203"/>
        <item x="656"/>
        <item x="932"/>
        <item x="1349"/>
        <item x="828"/>
        <item x="632"/>
        <item x="1088"/>
        <item x="210"/>
        <item x="868"/>
        <item x="97"/>
        <item x="212"/>
        <item x="1165"/>
        <item x="125"/>
        <item x="19"/>
        <item x="685"/>
        <item x="44"/>
        <item x="852"/>
        <item x="1117"/>
        <item x="1291"/>
        <item x="93"/>
        <item x="627"/>
        <item x="925"/>
        <item x="973"/>
        <item x="380"/>
        <item x="349"/>
        <item x="552"/>
        <item x="94"/>
        <item x="1025"/>
        <item x="809"/>
        <item x="998"/>
        <item x="1103"/>
        <item x="268"/>
        <item x="50"/>
        <item x="142"/>
        <item x="778"/>
        <item x="1294"/>
        <item x="693"/>
        <item x="277"/>
        <item x="84"/>
        <item x="132"/>
        <item x="970"/>
        <item x="715"/>
        <item x="342"/>
        <item x="976"/>
        <item x="885"/>
        <item x="512"/>
        <item x="1177"/>
        <item x="1176"/>
        <item x="184"/>
        <item x="1211"/>
        <item x="1051"/>
        <item x="1346"/>
        <item x="141"/>
        <item x="706"/>
        <item x="598"/>
        <item x="1002"/>
        <item x="1209"/>
        <item x="46"/>
        <item x="721"/>
        <item x="847"/>
        <item x="641"/>
        <item x="869"/>
        <item x="1011"/>
        <item x="538"/>
        <item x="170"/>
        <item x="1092"/>
        <item x="1216"/>
        <item x="773"/>
        <item x="1293"/>
        <item x="994"/>
        <item x="317"/>
        <item x="772"/>
        <item x="872"/>
        <item x="1017"/>
        <item x="1007"/>
        <item x="188"/>
        <item x="1167"/>
        <item x="451"/>
        <item x="901"/>
        <item x="1044"/>
        <item x="29"/>
        <item x="415"/>
        <item x="24"/>
        <item x="174"/>
        <item x="86"/>
        <item x="96"/>
        <item x="20"/>
        <item x="671"/>
        <item x="907"/>
        <item x="877"/>
        <item x="437"/>
        <item x="453"/>
        <item x="248"/>
        <item x="404"/>
        <item x="1366"/>
        <item x="238"/>
        <item x="1004"/>
        <item x="650"/>
        <item x="1205"/>
        <item x="13"/>
        <item x="764"/>
        <item x="77"/>
        <item x="130"/>
        <item x="1047"/>
        <item x="837"/>
        <item x="388"/>
        <item x="537"/>
        <item x="805"/>
        <item x="781"/>
        <item x="353"/>
        <item x="315"/>
        <item x="870"/>
        <item x="1063"/>
        <item x="1321"/>
        <item x="741"/>
        <item x="240"/>
        <item x="675"/>
        <item x="133"/>
        <item x="107"/>
        <item x="565"/>
        <item x="398"/>
        <item x="1264"/>
        <item x="10"/>
        <item x="191"/>
        <item x="637"/>
        <item x="90"/>
        <item x="498"/>
        <item x="345"/>
        <item x="241"/>
        <item x="1152"/>
        <item x="682"/>
        <item x="9"/>
        <item x="346"/>
        <item x="942"/>
        <item x="51"/>
        <item x="192"/>
        <item x="257"/>
        <item x="314"/>
        <item x="963"/>
        <item x="175"/>
        <item x="590"/>
        <item x="98"/>
        <item x="981"/>
        <item x="464"/>
        <item x="624"/>
        <item x="458"/>
        <item x="525"/>
        <item x="64"/>
        <item x="1148"/>
        <item x="99"/>
        <item x="376"/>
        <item x="923"/>
        <item x="33"/>
        <item x="260"/>
        <item x="982"/>
        <item x="45"/>
        <item x="1181"/>
        <item x="594"/>
        <item x="1316"/>
        <item x="405"/>
        <item x="588"/>
        <item x="1079"/>
        <item x="571"/>
        <item x="861"/>
        <item x="972"/>
        <item x="164"/>
        <item x="786"/>
        <item x="560"/>
        <item x="1080"/>
        <item x="307"/>
        <item x="1253"/>
        <item x="900"/>
        <item x="1174"/>
        <item x="1220"/>
        <item x="603"/>
        <item x="735"/>
        <item x="1363"/>
        <item x="101"/>
        <item x="938"/>
        <item x="103"/>
        <item x="41"/>
        <item x="120"/>
        <item x="53"/>
        <item x="1140"/>
        <item x="1046"/>
        <item x="1185"/>
        <item x="892"/>
        <item x="421"/>
        <item x="350"/>
        <item x="49"/>
        <item x="467"/>
        <item x="226"/>
        <item x="290"/>
        <item x="1015"/>
        <item x="199"/>
        <item x="956"/>
        <item x="1083"/>
        <item x="1247"/>
        <item x="863"/>
        <item x="228"/>
        <item x="915"/>
        <item x="955"/>
        <item x="327"/>
        <item x="1274"/>
        <item x="830"/>
        <item x="1086"/>
        <item x="394"/>
        <item x="1125"/>
        <item x="802"/>
        <item x="15"/>
        <item x="716"/>
        <item x="1062"/>
        <item x="1136"/>
        <item x="1094"/>
        <item x="1251"/>
        <item x="32"/>
        <item x="618"/>
        <item x="472"/>
        <item x="609"/>
        <item x="897"/>
        <item x="521"/>
        <item x="785"/>
        <item x="366"/>
        <item x="417"/>
        <item x="766"/>
        <item x="1134"/>
        <item x="749"/>
        <item x="1324"/>
        <item x="722"/>
        <item x="365"/>
        <item x="678"/>
        <item x="438"/>
        <item x="303"/>
        <item x="198"/>
        <item x="1039"/>
        <item x="1188"/>
        <item x="183"/>
        <item x="639"/>
        <item x="244"/>
        <item x="810"/>
        <item x="499"/>
        <item x="1195"/>
        <item x="528"/>
        <item x="395"/>
        <item x="223"/>
        <item x="505"/>
        <item x="718"/>
        <item x="859"/>
        <item x="22"/>
        <item x="302"/>
        <item x="1173"/>
        <item x="1142"/>
        <item x="391"/>
        <item x="1023"/>
        <item x="738"/>
        <item x="839"/>
        <item x="615"/>
        <item x="218"/>
        <item x="1059"/>
        <item x="728"/>
        <item x="1212"/>
        <item x="1123"/>
        <item x="1337"/>
        <item x="825"/>
        <item x="864"/>
        <item x="1122"/>
        <item x="230"/>
        <item x="448"/>
        <item x="593"/>
        <item x="72"/>
        <item x="1009"/>
        <item x="442"/>
        <item x="1175"/>
        <item x="523"/>
        <item x="287"/>
        <item x="1029"/>
        <item x="152"/>
        <item x="278"/>
        <item x="163"/>
        <item x="145"/>
        <item x="865"/>
        <item x="610"/>
        <item x="1160"/>
        <item x="1072"/>
        <item x="668"/>
        <item x="854"/>
        <item x="756"/>
        <item x="62"/>
        <item x="1314"/>
        <item x="495"/>
        <item x="352"/>
        <item x="1104"/>
        <item x="979"/>
        <item x="875"/>
        <item x="5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 dragToRow="0" dragToCol="0" dragToPage="0" showAll="0" defaultSubtotal="0"/>
  </pivotFields>
  <rowFields count="1">
    <field x="6"/>
  </rowFields>
  <rowItems count="11">
    <i>
      <x v="738"/>
    </i>
    <i>
      <x v="489"/>
    </i>
    <i>
      <x v="557"/>
    </i>
    <i>
      <x v="642"/>
    </i>
    <i>
      <x v="252"/>
    </i>
    <i>
      <x v="812"/>
    </i>
    <i>
      <x v="574"/>
    </i>
    <i>
      <x v="1026"/>
    </i>
    <i>
      <x v="875"/>
    </i>
    <i>
      <x v="926"/>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09F2FA4-2DCA-4B62-AFB2-166E7BBC67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3:M14" firstHeaderRow="1" firstDataRow="1" firstDataCol="0"/>
  <pivotFields count="21">
    <pivotField dataField="1"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591DF6-B227-4A4C-BBB8-E525AE99DBAF}"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M4" firstHeaderRow="1" firstDataRow="1" firstDataCol="0"/>
  <pivotFields count="21">
    <pivotField showAll="0"/>
    <pivotField numFmtId="164" showAll="0"/>
    <pivotField numFmtId="164" showAll="0"/>
    <pivotField showAll="0"/>
    <pivotField showAll="0">
      <items count="170">
        <item x="93"/>
        <item x="104"/>
        <item x="54"/>
        <item x="108"/>
        <item x="20"/>
        <item x="71"/>
        <item x="6"/>
        <item x="164"/>
        <item x="102"/>
        <item x="67"/>
        <item x="96"/>
        <item x="105"/>
        <item x="118"/>
        <item x="80"/>
        <item x="17"/>
        <item x="78"/>
        <item x="121"/>
        <item x="157"/>
        <item x="143"/>
        <item x="155"/>
        <item x="11"/>
        <item x="132"/>
        <item x="142"/>
        <item x="126"/>
        <item x="119"/>
        <item x="134"/>
        <item x="94"/>
        <item x="19"/>
        <item x="150"/>
        <item x="29"/>
        <item x="30"/>
        <item x="117"/>
        <item x="124"/>
        <item x="160"/>
        <item x="13"/>
        <item x="25"/>
        <item x="137"/>
        <item x="166"/>
        <item x="43"/>
        <item x="154"/>
        <item x="53"/>
        <item x="98"/>
        <item x="56"/>
        <item x="147"/>
        <item x="152"/>
        <item x="58"/>
        <item x="46"/>
        <item x="90"/>
        <item x="57"/>
        <item x="4"/>
        <item x="62"/>
        <item x="32"/>
        <item x="162"/>
        <item x="106"/>
        <item x="133"/>
        <item x="73"/>
        <item x="22"/>
        <item x="156"/>
        <item x="27"/>
        <item x="18"/>
        <item x="68"/>
        <item x="138"/>
        <item x="95"/>
        <item x="66"/>
        <item x="42"/>
        <item x="140"/>
        <item x="116"/>
        <item x="41"/>
        <item x="99"/>
        <item x="26"/>
        <item x="23"/>
        <item x="129"/>
        <item x="123"/>
        <item x="88"/>
        <item x="168"/>
        <item x="125"/>
        <item x="21"/>
        <item x="159"/>
        <item x="146"/>
        <item x="0"/>
        <item x="28"/>
        <item x="131"/>
        <item x="86"/>
        <item x="34"/>
        <item x="75"/>
        <item x="107"/>
        <item x="33"/>
        <item x="37"/>
        <item x="76"/>
        <item x="158"/>
        <item x="153"/>
        <item x="130"/>
        <item x="161"/>
        <item x="101"/>
        <item x="50"/>
        <item x="70"/>
        <item x="52"/>
        <item x="49"/>
        <item x="51"/>
        <item x="82"/>
        <item x="40"/>
        <item x="148"/>
        <item x="31"/>
        <item x="59"/>
        <item x="128"/>
        <item x="81"/>
        <item x="7"/>
        <item x="60"/>
        <item x="61"/>
        <item x="139"/>
        <item x="64"/>
        <item x="5"/>
        <item x="89"/>
        <item x="97"/>
        <item x="83"/>
        <item x="141"/>
        <item x="12"/>
        <item x="72"/>
        <item x="120"/>
        <item x="103"/>
        <item x="144"/>
        <item x="55"/>
        <item x="149"/>
        <item x="151"/>
        <item x="47"/>
        <item x="8"/>
        <item x="91"/>
        <item x="35"/>
        <item x="45"/>
        <item x="87"/>
        <item x="79"/>
        <item x="165"/>
        <item x="16"/>
        <item x="3"/>
        <item x="122"/>
        <item x="10"/>
        <item x="167"/>
        <item x="110"/>
        <item x="44"/>
        <item x="136"/>
        <item x="15"/>
        <item x="114"/>
        <item x="145"/>
        <item x="9"/>
        <item x="1"/>
        <item x="38"/>
        <item x="135"/>
        <item x="74"/>
        <item x="77"/>
        <item x="84"/>
        <item x="85"/>
        <item x="112"/>
        <item x="65"/>
        <item x="115"/>
        <item x="92"/>
        <item x="69"/>
        <item x="48"/>
        <item x="24"/>
        <item x="163"/>
        <item x="100"/>
        <item x="36"/>
        <item x="39"/>
        <item x="111"/>
        <item x="2"/>
        <item x="63"/>
        <item x="14"/>
        <item x="109"/>
        <item x="113"/>
        <item x="127"/>
        <item t="default"/>
      </items>
    </pivotField>
    <pivotField showAll="0">
      <items count="18">
        <item x="7"/>
        <item x="4"/>
        <item x="2"/>
        <item x="3"/>
        <item x="14"/>
        <item x="9"/>
        <item x="16"/>
        <item x="12"/>
        <item x="10"/>
        <item x="1"/>
        <item x="0"/>
        <item x="15"/>
        <item x="8"/>
        <item x="6"/>
        <item x="5"/>
        <item x="11"/>
        <item x="13"/>
        <item t="default"/>
      </items>
    </pivotField>
    <pivotField showAll="0"/>
    <pivotField showAll="0"/>
    <pivotField showAll="0"/>
    <pivotField showAll="0"/>
    <pivotField showAll="0">
      <items count="5">
        <item h="1" x="1"/>
        <item h="1" x="2"/>
        <item x="0"/>
        <item h="1" x="3"/>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dragToRow="0" dragToCol="0" dragToPage="0" showAll="0" defaultSubtotal="0"/>
  </pivotFields>
  <rowItems count="1">
    <i/>
  </rowItems>
  <colItems count="1">
    <i/>
  </colItems>
  <dataFields count="1">
    <dataField name="Average shipping days"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0945B1E-BD89-4F7D-B1AE-9EB4FD650208}" sourceName="geography">
  <pivotTables>
    <pivotTable tabId="2" name="PivotTable48"/>
    <pivotTable tabId="2" name="PivotTable1"/>
    <pivotTable tabId="2" name="PivotTable2"/>
    <pivotTable tabId="2" name="PivotTable3"/>
    <pivotTable tabId="2" name="PivotTable36"/>
    <pivotTable tabId="2" name="PivotTable37"/>
    <pivotTable tabId="2" name="PivotTable38"/>
    <pivotTable tabId="2" name="PivotTable39"/>
    <pivotTable tabId="2" name="PivotTable4"/>
    <pivotTable tabId="2" name="PivotTable40"/>
    <pivotTable tabId="2" name="PivotTable42"/>
    <pivotTable tabId="2" name="PivotTable43"/>
    <pivotTable tabId="2" name="PivotTable44"/>
    <pivotTable tabId="2" name="PivotTable45"/>
    <pivotTable tabId="2" name="PivotTable46"/>
    <pivotTable tabId="2" name="PivotTable47"/>
    <pivotTable tabId="2" name="PivotTable49"/>
    <pivotTable tabId="2" name="PivotTable50"/>
  </pivotTables>
  <data>
    <tabular pivotCacheId="1708713880">
      <items count="169">
        <i x="104" s="1"/>
        <i x="54" s="1"/>
        <i x="20" s="1"/>
        <i x="71" s="1"/>
        <i x="6" s="1"/>
        <i x="102" s="1"/>
        <i x="67" s="1"/>
        <i x="78" s="1"/>
        <i x="11" s="1"/>
        <i x="126" s="1"/>
        <i x="19" s="1"/>
        <i x="29" s="1"/>
        <i x="30" s="1"/>
        <i x="117" s="1"/>
        <i x="160" s="1"/>
        <i x="13" s="1"/>
        <i x="25" s="1"/>
        <i x="43" s="1"/>
        <i x="154" s="1"/>
        <i x="53" s="1"/>
        <i x="98" s="1"/>
        <i x="147" s="1"/>
        <i x="90" s="1"/>
        <i x="57" s="1"/>
        <i x="62" s="1"/>
        <i x="106" s="1"/>
        <i x="73" s="1"/>
        <i x="22" s="1"/>
        <i x="27" s="1"/>
        <i x="66" s="1"/>
        <i x="140" s="1"/>
        <i x="116" s="1"/>
        <i x="41" s="1"/>
        <i x="88" s="1"/>
        <i x="21" s="1"/>
        <i x="159" s="1"/>
        <i x="146" s="1"/>
        <i x="0" s="1"/>
        <i x="28" s="1"/>
        <i x="34" s="1"/>
        <i x="75" s="1"/>
        <i x="33" s="1"/>
        <i x="37" s="1"/>
        <i x="153" s="1"/>
        <i x="130" s="1"/>
        <i x="161" s="1"/>
        <i x="70" s="1"/>
        <i x="52" s="1"/>
        <i x="49" s="1"/>
        <i x="40" s="1"/>
        <i x="148" s="1"/>
        <i x="31" s="1"/>
        <i x="59" s="1"/>
        <i x="7" s="1"/>
        <i x="139" s="1"/>
        <i x="5" s="1"/>
        <i x="89" s="1"/>
        <i x="97" s="1"/>
        <i x="12" s="1"/>
        <i x="72" s="1"/>
        <i x="120" s="1"/>
        <i x="103" s="1"/>
        <i x="144" s="1"/>
        <i x="47" s="1"/>
        <i x="8" s="1"/>
        <i x="91" s="1"/>
        <i x="35" s="1"/>
        <i x="45" s="1"/>
        <i x="87" s="1"/>
        <i x="165" s="1"/>
        <i x="16" s="1"/>
        <i x="3" s="1"/>
        <i x="10" s="1"/>
        <i x="167" s="1"/>
        <i x="44" s="1"/>
        <i x="136" s="1"/>
        <i x="15" s="1"/>
        <i x="9" s="1"/>
        <i x="1" s="1"/>
        <i x="38" s="1"/>
        <i x="135" s="1"/>
        <i x="77" s="1"/>
        <i x="84" s="1"/>
        <i x="65" s="1"/>
        <i x="69" s="1"/>
        <i x="48" s="1"/>
        <i x="24" s="1"/>
        <i x="163" s="1"/>
        <i x="36" s="1"/>
        <i x="39" s="1"/>
        <i x="111" s="1"/>
        <i x="109" s="1"/>
        <i x="127" s="1"/>
        <i x="93" s="1" nd="1"/>
        <i x="108" s="1" nd="1"/>
        <i x="164" s="1" nd="1"/>
        <i x="96" s="1" nd="1"/>
        <i x="105" s="1" nd="1"/>
        <i x="118" s="1" nd="1"/>
        <i x="80" s="1" nd="1"/>
        <i x="17" s="1" nd="1"/>
        <i x="121" s="1" nd="1"/>
        <i x="157" s="1" nd="1"/>
        <i x="143" s="1" nd="1"/>
        <i x="155" s="1" nd="1"/>
        <i x="132" s="1" nd="1"/>
        <i x="142" s="1" nd="1"/>
        <i x="119" s="1" nd="1"/>
        <i x="134" s="1" nd="1"/>
        <i x="94" s="1" nd="1"/>
        <i x="150" s="1" nd="1"/>
        <i x="124" s="1" nd="1"/>
        <i x="137" s="1" nd="1"/>
        <i x="166" s="1" nd="1"/>
        <i x="56" s="1" nd="1"/>
        <i x="152" s="1" nd="1"/>
        <i x="58" s="1" nd="1"/>
        <i x="46" s="1" nd="1"/>
        <i x="4" s="1" nd="1"/>
        <i x="32" s="1" nd="1"/>
        <i x="162" s="1" nd="1"/>
        <i x="133" s="1" nd="1"/>
        <i x="156" s="1" nd="1"/>
        <i x="18" s="1" nd="1"/>
        <i x="68" s="1" nd="1"/>
        <i x="138" s="1" nd="1"/>
        <i x="95" s="1" nd="1"/>
        <i x="42" s="1" nd="1"/>
        <i x="99" s="1" nd="1"/>
        <i x="26" s="1" nd="1"/>
        <i x="23" s="1" nd="1"/>
        <i x="129" s="1" nd="1"/>
        <i x="123" s="1" nd="1"/>
        <i x="168" s="1" nd="1"/>
        <i x="125" s="1" nd="1"/>
        <i x="131" s="1" nd="1"/>
        <i x="86" s="1" nd="1"/>
        <i x="107" s="1" nd="1"/>
        <i x="76" s="1" nd="1"/>
        <i x="158" s="1" nd="1"/>
        <i x="101" s="1" nd="1"/>
        <i x="50" s="1" nd="1"/>
        <i x="51" s="1" nd="1"/>
        <i x="82" s="1" nd="1"/>
        <i x="128" s="1" nd="1"/>
        <i x="81" s="1" nd="1"/>
        <i x="60" s="1" nd="1"/>
        <i x="61" s="1" nd="1"/>
        <i x="64" s="1" nd="1"/>
        <i x="83" s="1" nd="1"/>
        <i x="141" s="1" nd="1"/>
        <i x="55" s="1" nd="1"/>
        <i x="149" s="1" nd="1"/>
        <i x="151" s="1" nd="1"/>
        <i x="79" s="1" nd="1"/>
        <i x="122" s="1" nd="1"/>
        <i x="110" s="1" nd="1"/>
        <i x="114" s="1" nd="1"/>
        <i x="145" s="1" nd="1"/>
        <i x="74" s="1" nd="1"/>
        <i x="85" s="1" nd="1"/>
        <i x="112" s="1" nd="1"/>
        <i x="115" s="1" nd="1"/>
        <i x="92" s="1" nd="1"/>
        <i x="100" s="1" nd="1"/>
        <i x="2" s="1" nd="1"/>
        <i x="63" s="1" nd="1"/>
        <i x="14" s="1" nd="1"/>
        <i x="1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1F68A6-05B1-4A97-A33A-AF0DF5B9B338}" sourceName="category">
  <pivotTables>
    <pivotTable tabId="2" name="PivotTable48"/>
    <pivotTable tabId="2" name="PivotTable1"/>
    <pivotTable tabId="2" name="PivotTable2"/>
    <pivotTable tabId="2" name="PivotTable3"/>
    <pivotTable tabId="2" name="PivotTable36"/>
    <pivotTable tabId="2" name="PivotTable37"/>
    <pivotTable tabId="2" name="PivotTable38"/>
    <pivotTable tabId="2" name="PivotTable39"/>
    <pivotTable tabId="2" name="PivotTable4"/>
    <pivotTable tabId="2" name="PivotTable40"/>
    <pivotTable tabId="2" name="PivotTable42"/>
    <pivotTable tabId="2" name="PivotTable43"/>
    <pivotTable tabId="2" name="PivotTable44"/>
    <pivotTable tabId="2" name="PivotTable45"/>
    <pivotTable tabId="2" name="PivotTable46"/>
    <pivotTable tabId="2" name="PivotTable47"/>
    <pivotTable tabId="2" name="PivotTable49"/>
    <pivotTable tabId="2" name="PivotTable50"/>
  </pivotTables>
  <data>
    <tabular pivotCacheId="1708713880">
      <items count="17">
        <i x="7" s="1"/>
        <i x="4" s="1"/>
        <i x="2" s="1"/>
        <i x="3" s="1"/>
        <i x="14" s="1"/>
        <i x="9" s="1"/>
        <i x="16" s="1"/>
        <i x="12" s="1"/>
        <i x="10" s="1"/>
        <i x="1" s="1"/>
        <i x="0" s="1"/>
        <i x="15" s="1"/>
        <i x="8" s="1"/>
        <i x="6" s="1"/>
        <i x="5"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ED888F7-922F-4F1F-B358-07374A8DC1A3}" sourceName="order_year">
  <pivotTables>
    <pivotTable tabId="2" name="PivotTable48"/>
    <pivotTable tabId="2" name="PivotTable1"/>
    <pivotTable tabId="2" name="PivotTable2"/>
    <pivotTable tabId="2" name="PivotTable3"/>
    <pivotTable tabId="2" name="PivotTable36"/>
    <pivotTable tabId="2" name="PivotTable37"/>
    <pivotTable tabId="2" name="PivotTable38"/>
    <pivotTable tabId="2" name="PivotTable39"/>
    <pivotTable tabId="2" name="PivotTable4"/>
    <pivotTable tabId="2" name="PivotTable40"/>
    <pivotTable tabId="2" name="PivotTable42"/>
    <pivotTable tabId="2" name="PivotTable43"/>
    <pivotTable tabId="2" name="PivotTable44"/>
    <pivotTable tabId="2" name="PivotTable45"/>
    <pivotTable tabId="2" name="PivotTable46"/>
    <pivotTable tabId="2" name="PivotTable47"/>
    <pivotTable tabId="2" name="PivotTable49"/>
    <pivotTable tabId="2" name="PivotTable50"/>
  </pivotTables>
  <data>
    <tabular pivotCacheId="1708713880">
      <items count="4">
        <i x="1"/>
        <i x="2"/>
        <i x="0"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263B123-DC4F-4286-BAE2-05B65282B1C2}" sourceName="customer_type">
  <pivotTables>
    <pivotTable tabId="2" name="PivotTable48"/>
    <pivotTable tabId="2" name="PivotTable1"/>
    <pivotTable tabId="2" name="PivotTable2"/>
    <pivotTable tabId="2" name="PivotTable3"/>
    <pivotTable tabId="2" name="PivotTable36"/>
    <pivotTable tabId="2" name="PivotTable37"/>
    <pivotTable tabId="2" name="PivotTable38"/>
    <pivotTable tabId="2" name="PivotTable39"/>
    <pivotTable tabId="2" name="PivotTable4"/>
    <pivotTable tabId="2" name="PivotTable40"/>
    <pivotTable tabId="2" name="PivotTable42"/>
    <pivotTable tabId="2" name="PivotTable43"/>
    <pivotTable tabId="2" name="PivotTable44"/>
    <pivotTable tabId="2" name="PivotTable45"/>
    <pivotTable tabId="2" name="PivotTable46"/>
    <pivotTable tabId="2" name="PivotTable47"/>
    <pivotTable tabId="2" name="PivotTable49"/>
    <pivotTable tabId="2" name="PivotTable50"/>
  </pivotTables>
  <data>
    <tabular pivotCacheId="170871388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ss_flag" xr10:uid="{A4E0628D-E26D-4E28-AABB-0A9A5FAC7F29}" sourceName="loss_flag">
  <pivotTables>
    <pivotTable tabId="2" name="PivotTable48"/>
  </pivotTables>
  <data>
    <tabular pivotCacheId="170871388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value_order" xr10:uid="{C30B8B11-A5C9-4DE0-A60B-25A83589759A}" sourceName="high_value_order">
  <pivotTables>
    <pivotTable tabId="2" name="PivotTable48"/>
  </pivotTables>
  <data>
    <tabular pivotCacheId="17087138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DEF2507E-9F91-4050-B75C-8AB42D78D3A0}" cache="Slicer_geography" caption="geography" rowHeight="234950"/>
  <slicer name="category" xr10:uid="{1571EAA6-9D1B-4037-B5A5-B4DBE07091D6}" cache="Slicer_category" caption="category" rowHeight="234950"/>
  <slicer name="order_year" xr10:uid="{F238B314-6A47-4D5E-88C3-E860BAE8BF59}" cache="Slicer_order_year" caption="order_year" rowHeight="234950"/>
  <slicer name="customer_type" xr10:uid="{F48C97FB-6D72-4C76-9574-6CB72EEB1708}" cache="Slicer_customer_type" caption="customer_type" rowHeight="234950"/>
  <slicer name="loss_flag" xr10:uid="{41F20016-7723-4B7A-B7DD-358A185D8979}" cache="Slicer_loss_flag" caption="loss_flag" rowHeight="234950"/>
  <slicer name="high_value_order" xr10:uid="{680BFF20-A2EE-49B8-83C6-5206460F5691}" cache="Slicer_high_value_order" caption="high_value_or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3486C7F2-5EDF-4217-9630-B3BD2219CF2F}" cache="Slicer_geography" caption="geography" style="Amazon Analysis 2 2" rowHeight="234950"/>
  <slicer name="category 1" xr10:uid="{59F21C70-2096-404F-9724-472968BA4EC4}" cache="Slicer_category" caption="category" style="Amazon Analysis 2 2" rowHeight="234950"/>
  <slicer name="order_year 1" xr10:uid="{BEE56311-AAB1-498F-A4E4-EE37CF71A825}" cache="Slicer_order_year" caption="order_year" style="Amazon Analysis 2 2" rowHeight="234950"/>
  <slicer name="customer_type 1" xr10:uid="{41652F32-8082-4D34-8089-25EE8CE918BD}" cache="Slicer_customer_type" caption="customer_type" style="Amazon Analysis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AFD9C0-7F08-4859-9163-1785BC029453}" name="Table1" displayName="Table1" ref="A1:T2836" totalsRowShown="0">
  <autoFilter ref="A1:T2836" xr:uid="{62AFD9C0-7F08-4859-9163-1785BC029453}"/>
  <tableColumns count="20">
    <tableColumn id="1" xr3:uid="{EDB5C93A-9730-48C7-ADDD-9D8200D5DD23}" name="order_id"/>
    <tableColumn id="2" xr3:uid="{035D4C27-3EAE-4846-AA93-6BE4319779BA}" name="order_date" dataDxfId="1"/>
    <tableColumn id="3" xr3:uid="{A0431333-B292-4D6E-B17B-5198D2B7C698}" name="ship_date" dataDxfId="0"/>
    <tableColumn id="4" xr3:uid="{49FE966E-4C7F-4DD4-A241-F7A4334B66AE}" name="email_id"/>
    <tableColumn id="5" xr3:uid="{6FB158FA-629E-416A-BEFA-4C2DECBAC925}" name="geography"/>
    <tableColumn id="6" xr3:uid="{E9D7E9FE-2D3F-441C-9EB2-D7CAD5C58738}" name="category"/>
    <tableColumn id="7" xr3:uid="{A6CD34CE-9F7E-42EB-AA3D-33B2D9BC1D0F}" name="product_name"/>
    <tableColumn id="8" xr3:uid="{D7A07460-9701-460B-962E-06CED98FA1B8}" name="sales"/>
    <tableColumn id="9" xr3:uid="{B4898211-1D71-45E0-9BD1-FDDFD735E01E}" name="quantity"/>
    <tableColumn id="10" xr3:uid="{B45890DC-1A5D-4639-927D-C3544D436C1B}" name="profit"/>
    <tableColumn id="11" xr3:uid="{51C0545D-B532-4673-AD2E-31D28DC2738D}" name="order_year"/>
    <tableColumn id="12" xr3:uid="{58D034F3-D03C-4B10-9932-9DC31FA272C9}" name="order_month"/>
    <tableColumn id="13" xr3:uid="{77B760C7-A267-4916-B748-CC4B0F9BB5C3}" name="month_name"/>
    <tableColumn id="14" xr3:uid="{D3F4B6F2-9ECE-4CEF-A13E-2D57FECCA9A1}" name="order_day"/>
    <tableColumn id="15" xr3:uid="{D9336850-E5A1-4A0E-ACF1-5D18C1003076}" name="shipping_days"/>
    <tableColumn id="16" xr3:uid="{E3725477-5A39-4FCA-A807-1CD546F61BE7}" name="profit_margin"/>
    <tableColumn id="17" xr3:uid="{4C3D9754-9016-4965-9756-3CD9569B157A}" name="avg_price_per_unit"/>
    <tableColumn id="18" xr3:uid="{719824F8-C247-4867-98DD-ADB45BAE44A3}" name="customer_type"/>
    <tableColumn id="19" xr3:uid="{3460957B-3B01-4ACB-82D2-221653E7C3F4}" name="loss_flag"/>
    <tableColumn id="20" xr3:uid="{12DB0FCF-AA90-4835-AEB9-69EB5FB1781D}" name="high_value_ord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83FA-9EBB-45F6-AFD4-B4CDD138629C}">
  <dimension ref="A2:X101"/>
  <sheetViews>
    <sheetView zoomScale="98" workbookViewId="0">
      <selection activeCell="D2" sqref="D2"/>
    </sheetView>
  </sheetViews>
  <sheetFormatPr defaultRowHeight="14.4" x14ac:dyDescent="0.3"/>
  <cols>
    <col min="1" max="1" width="12.77734375" bestFit="1" customWidth="1"/>
    <col min="2" max="2" width="11.6640625" bestFit="1" customWidth="1"/>
    <col min="3" max="3" width="12.77734375" bestFit="1" customWidth="1"/>
    <col min="4" max="4" width="16.33203125" bestFit="1" customWidth="1"/>
    <col min="5" max="5" width="7.77734375" bestFit="1" customWidth="1"/>
    <col min="6" max="6" width="11.44140625" bestFit="1" customWidth="1"/>
    <col min="7" max="7" width="12.77734375" bestFit="1" customWidth="1"/>
    <col min="8" max="8" width="11.6640625" bestFit="1" customWidth="1"/>
    <col min="9" max="9" width="12.33203125" bestFit="1" customWidth="1"/>
    <col min="10" max="10" width="36.5546875" bestFit="1" customWidth="1"/>
    <col min="11" max="11" width="11.6640625" bestFit="1" customWidth="1"/>
    <col min="12" max="12" width="4.44140625" customWidth="1"/>
    <col min="13" max="13" width="20.44140625" bestFit="1" customWidth="1"/>
    <col min="14" max="15" width="12.33203125" bestFit="1" customWidth="1"/>
    <col min="16" max="16" width="12.77734375" bestFit="1" customWidth="1"/>
    <col min="17" max="17" width="20.44140625" bestFit="1" customWidth="1"/>
    <col min="18" max="18" width="5" bestFit="1" customWidth="1"/>
    <col min="19" max="19" width="6.6640625" bestFit="1" customWidth="1"/>
    <col min="20" max="20" width="6" bestFit="1" customWidth="1"/>
    <col min="21" max="21" width="6.6640625" bestFit="1" customWidth="1"/>
    <col min="22" max="22" width="5" bestFit="1" customWidth="1"/>
    <col min="23" max="26" width="6" bestFit="1" customWidth="1"/>
    <col min="27" max="27" width="6.6640625" bestFit="1" customWidth="1"/>
    <col min="28" max="28" width="5" bestFit="1" customWidth="1"/>
    <col min="29" max="30" width="6" bestFit="1" customWidth="1"/>
    <col min="31" max="31" width="5" bestFit="1" customWidth="1"/>
    <col min="32" max="32" width="6" bestFit="1" customWidth="1"/>
    <col min="33" max="34" width="5" bestFit="1" customWidth="1"/>
    <col min="35" max="35" width="6" bestFit="1" customWidth="1"/>
    <col min="36" max="37" width="5" bestFit="1" customWidth="1"/>
    <col min="38" max="39" width="6" bestFit="1" customWidth="1"/>
    <col min="40" max="40" width="5" bestFit="1" customWidth="1"/>
    <col min="41" max="41" width="6" bestFit="1" customWidth="1"/>
    <col min="42" max="42" width="5" bestFit="1" customWidth="1"/>
    <col min="43" max="43" width="6.6640625" bestFit="1" customWidth="1"/>
    <col min="44" max="44" width="6" bestFit="1" customWidth="1"/>
    <col min="45" max="45" width="5" bestFit="1" customWidth="1"/>
    <col min="46" max="46" width="6.6640625" bestFit="1" customWidth="1"/>
    <col min="47" max="47" width="5" bestFit="1" customWidth="1"/>
    <col min="48" max="49" width="6" bestFit="1" customWidth="1"/>
    <col min="50" max="51" width="5" bestFit="1" customWidth="1"/>
    <col min="52" max="52" width="6" bestFit="1" customWidth="1"/>
    <col min="53" max="55" width="5" bestFit="1" customWidth="1"/>
    <col min="56" max="56" width="6" bestFit="1" customWidth="1"/>
    <col min="57" max="57" width="5" bestFit="1" customWidth="1"/>
    <col min="58" max="58" width="6" bestFit="1" customWidth="1"/>
    <col min="59" max="59" width="5" bestFit="1" customWidth="1"/>
    <col min="60" max="60" width="6" bestFit="1" customWidth="1"/>
    <col min="61" max="63" width="5" bestFit="1" customWidth="1"/>
    <col min="64" max="64" width="7.6640625" bestFit="1" customWidth="1"/>
    <col min="65" max="66" width="5" bestFit="1" customWidth="1"/>
    <col min="67" max="67" width="6" bestFit="1" customWidth="1"/>
    <col min="68" max="68" width="5" bestFit="1" customWidth="1"/>
    <col min="69" max="69" width="4" bestFit="1" customWidth="1"/>
    <col min="70" max="70" width="6" bestFit="1" customWidth="1"/>
    <col min="71" max="71" width="5" bestFit="1" customWidth="1"/>
    <col min="72" max="72" width="6" bestFit="1" customWidth="1"/>
    <col min="73" max="73" width="5" bestFit="1" customWidth="1"/>
    <col min="74" max="74" width="6" bestFit="1" customWidth="1"/>
    <col min="75" max="76" width="5" bestFit="1" customWidth="1"/>
    <col min="77" max="77" width="6.6640625" bestFit="1" customWidth="1"/>
    <col min="78" max="79" width="6" bestFit="1" customWidth="1"/>
    <col min="80" max="80" width="6.6640625" bestFit="1" customWidth="1"/>
    <col min="81" max="81" width="6" bestFit="1" customWidth="1"/>
    <col min="82" max="82" width="6.6640625" bestFit="1" customWidth="1"/>
    <col min="83" max="84" width="6" bestFit="1" customWidth="1"/>
    <col min="85" max="86" width="5" bestFit="1" customWidth="1"/>
    <col min="87" max="87" width="6.6640625" bestFit="1" customWidth="1"/>
    <col min="88" max="89" width="6" bestFit="1" customWidth="1"/>
    <col min="90" max="90" width="6.6640625" bestFit="1" customWidth="1"/>
    <col min="91" max="93" width="5" bestFit="1" customWidth="1"/>
    <col min="94" max="94" width="3" bestFit="1" customWidth="1"/>
    <col min="95" max="95" width="6" bestFit="1" customWidth="1"/>
    <col min="96" max="96" width="5" bestFit="1" customWidth="1"/>
    <col min="97" max="97" width="6" bestFit="1" customWidth="1"/>
    <col min="98" max="98" width="5" bestFit="1" customWidth="1"/>
    <col min="99" max="100" width="6" bestFit="1" customWidth="1"/>
    <col min="101" max="101" width="5" bestFit="1" customWidth="1"/>
    <col min="102" max="102" width="6" bestFit="1" customWidth="1"/>
    <col min="103" max="103" width="5" bestFit="1" customWidth="1"/>
    <col min="104" max="104" width="6" bestFit="1" customWidth="1"/>
    <col min="105" max="106" width="5" bestFit="1" customWidth="1"/>
    <col min="107" max="107" width="7" bestFit="1" customWidth="1"/>
    <col min="108" max="110" width="5" bestFit="1" customWidth="1"/>
    <col min="111" max="111" width="6.6640625" bestFit="1" customWidth="1"/>
    <col min="112" max="112" width="4" bestFit="1" customWidth="1"/>
    <col min="113" max="113" width="6" bestFit="1" customWidth="1"/>
    <col min="114" max="115" width="5" bestFit="1" customWidth="1"/>
    <col min="116" max="117" width="6" bestFit="1" customWidth="1"/>
    <col min="118" max="118" width="5" bestFit="1" customWidth="1"/>
    <col min="119" max="119" width="6" bestFit="1" customWidth="1"/>
    <col min="120" max="122" width="5" bestFit="1" customWidth="1"/>
    <col min="123" max="123" width="6" bestFit="1" customWidth="1"/>
    <col min="124" max="124" width="5" bestFit="1" customWidth="1"/>
    <col min="125" max="125" width="6" bestFit="1" customWidth="1"/>
    <col min="126" max="127" width="5" bestFit="1" customWidth="1"/>
    <col min="128" max="128" width="6" bestFit="1" customWidth="1"/>
    <col min="129" max="129" width="5" bestFit="1" customWidth="1"/>
    <col min="130" max="130" width="6" bestFit="1" customWidth="1"/>
    <col min="131" max="131" width="6.6640625" bestFit="1" customWidth="1"/>
    <col min="132" max="132" width="5" bestFit="1" customWidth="1"/>
    <col min="133" max="133" width="4" bestFit="1" customWidth="1"/>
    <col min="134" max="136" width="6" bestFit="1" customWidth="1"/>
    <col min="137" max="140" width="5" bestFit="1" customWidth="1"/>
    <col min="141" max="141" width="6" bestFit="1" customWidth="1"/>
    <col min="142" max="142" width="5" bestFit="1" customWidth="1"/>
    <col min="143" max="143" width="6" bestFit="1" customWidth="1"/>
    <col min="144" max="145" width="5" bestFit="1" customWidth="1"/>
    <col min="146" max="146" width="6" bestFit="1" customWidth="1"/>
    <col min="147" max="147" width="4" bestFit="1" customWidth="1"/>
    <col min="148" max="149" width="6" bestFit="1" customWidth="1"/>
    <col min="150" max="153" width="5" bestFit="1" customWidth="1"/>
    <col min="154" max="156" width="6" bestFit="1" customWidth="1"/>
    <col min="157" max="157" width="5" bestFit="1" customWidth="1"/>
    <col min="158" max="158" width="4" bestFit="1" customWidth="1"/>
    <col min="159" max="159" width="6" bestFit="1" customWidth="1"/>
    <col min="160" max="161" width="5" bestFit="1" customWidth="1"/>
    <col min="162" max="162" width="4" bestFit="1" customWidth="1"/>
    <col min="163" max="168" width="5" bestFit="1" customWidth="1"/>
    <col min="169" max="171" width="6" bestFit="1" customWidth="1"/>
    <col min="172" max="173" width="5" bestFit="1" customWidth="1"/>
    <col min="174" max="174" width="4" bestFit="1" customWidth="1"/>
    <col min="175" max="175" width="5" bestFit="1" customWidth="1"/>
    <col min="176" max="176" width="6.6640625" bestFit="1" customWidth="1"/>
    <col min="177" max="179" width="5" bestFit="1" customWidth="1"/>
    <col min="180" max="180" width="4" bestFit="1" customWidth="1"/>
    <col min="181" max="182" width="6" bestFit="1" customWidth="1"/>
    <col min="183" max="183" width="5" bestFit="1" customWidth="1"/>
    <col min="184" max="184" width="6" bestFit="1" customWidth="1"/>
    <col min="185" max="185" width="3" bestFit="1" customWidth="1"/>
    <col min="186" max="186" width="6" bestFit="1" customWidth="1"/>
    <col min="187" max="187" width="5" bestFit="1" customWidth="1"/>
    <col min="188" max="188" width="6.6640625" bestFit="1" customWidth="1"/>
    <col min="189" max="190" width="5" bestFit="1" customWidth="1"/>
    <col min="191" max="191" width="6" bestFit="1" customWidth="1"/>
    <col min="192" max="194" width="5" bestFit="1" customWidth="1"/>
    <col min="195" max="195" width="6" bestFit="1" customWidth="1"/>
    <col min="196" max="196" width="4" bestFit="1" customWidth="1"/>
    <col min="197" max="198" width="6" bestFit="1" customWidth="1"/>
    <col min="199" max="199" width="6.6640625" bestFit="1" customWidth="1"/>
    <col min="200" max="201" width="5" bestFit="1" customWidth="1"/>
    <col min="202" max="202" width="6" bestFit="1" customWidth="1"/>
    <col min="203" max="205" width="5" bestFit="1" customWidth="1"/>
    <col min="206" max="207" width="6" bestFit="1" customWidth="1"/>
    <col min="208" max="208" width="5" bestFit="1" customWidth="1"/>
    <col min="209" max="210" width="6" bestFit="1" customWidth="1"/>
    <col min="211" max="211" width="4" bestFit="1" customWidth="1"/>
    <col min="212" max="212" width="5" bestFit="1" customWidth="1"/>
    <col min="213" max="214" width="6" bestFit="1" customWidth="1"/>
    <col min="215" max="216" width="5" bestFit="1" customWidth="1"/>
    <col min="217" max="217" width="6.6640625" bestFit="1" customWidth="1"/>
    <col min="218" max="218" width="5" bestFit="1" customWidth="1"/>
    <col min="219" max="219" width="6" bestFit="1" customWidth="1"/>
    <col min="220" max="221" width="5" bestFit="1" customWidth="1"/>
    <col min="222" max="222" width="6" bestFit="1" customWidth="1"/>
    <col min="223" max="223" width="6.6640625" bestFit="1" customWidth="1"/>
    <col min="224" max="226" width="5" bestFit="1" customWidth="1"/>
    <col min="227" max="227" width="6" bestFit="1" customWidth="1"/>
    <col min="228" max="228" width="5" bestFit="1" customWidth="1"/>
    <col min="229" max="232" width="6" bestFit="1" customWidth="1"/>
    <col min="233" max="233" width="4" bestFit="1" customWidth="1"/>
    <col min="234" max="234" width="6" bestFit="1" customWidth="1"/>
    <col min="235" max="235" width="5" bestFit="1" customWidth="1"/>
    <col min="236" max="236" width="6" bestFit="1" customWidth="1"/>
    <col min="237" max="237" width="5" bestFit="1" customWidth="1"/>
    <col min="238" max="238" width="6.6640625" bestFit="1" customWidth="1"/>
    <col min="239" max="240" width="6" bestFit="1" customWidth="1"/>
    <col min="241" max="241" width="6.6640625" bestFit="1" customWidth="1"/>
    <col min="242" max="243" width="5" bestFit="1" customWidth="1"/>
    <col min="244" max="244" width="6.6640625" bestFit="1" customWidth="1"/>
    <col min="245" max="246" width="6" bestFit="1" customWidth="1"/>
    <col min="247" max="250" width="5" bestFit="1" customWidth="1"/>
    <col min="251" max="251" width="6" bestFit="1" customWidth="1"/>
    <col min="252" max="254" width="5" bestFit="1" customWidth="1"/>
    <col min="255" max="255" width="6" bestFit="1" customWidth="1"/>
    <col min="256" max="256" width="7" bestFit="1" customWidth="1"/>
    <col min="257" max="258" width="6" bestFit="1" customWidth="1"/>
    <col min="259" max="259" width="7" bestFit="1" customWidth="1"/>
    <col min="260" max="260" width="6" bestFit="1" customWidth="1"/>
    <col min="261" max="261" width="7" bestFit="1" customWidth="1"/>
    <col min="262" max="262" width="6" bestFit="1" customWidth="1"/>
    <col min="263" max="263" width="7" bestFit="1" customWidth="1"/>
    <col min="264" max="264" width="6.6640625" bestFit="1" customWidth="1"/>
    <col min="265" max="266" width="6" bestFit="1" customWidth="1"/>
    <col min="267" max="267" width="7" bestFit="1" customWidth="1"/>
    <col min="268" max="271" width="6" bestFit="1" customWidth="1"/>
    <col min="272" max="272" width="7" bestFit="1" customWidth="1"/>
    <col min="273" max="273" width="6" bestFit="1" customWidth="1"/>
    <col min="274" max="274" width="7" bestFit="1" customWidth="1"/>
    <col min="275" max="276" width="6" bestFit="1" customWidth="1"/>
    <col min="277" max="277" width="7" bestFit="1" customWidth="1"/>
    <col min="278" max="278" width="5" bestFit="1" customWidth="1"/>
    <col min="279" max="279" width="6" bestFit="1" customWidth="1"/>
    <col min="280" max="280" width="7" bestFit="1" customWidth="1"/>
    <col min="281" max="283" width="6" bestFit="1" customWidth="1"/>
    <col min="284" max="284" width="7" bestFit="1" customWidth="1"/>
    <col min="285" max="285" width="6" bestFit="1" customWidth="1"/>
    <col min="286" max="286" width="7" bestFit="1" customWidth="1"/>
    <col min="287" max="287" width="6" bestFit="1" customWidth="1"/>
    <col min="288" max="288" width="7" bestFit="1" customWidth="1"/>
    <col min="289" max="289" width="6" bestFit="1" customWidth="1"/>
    <col min="290" max="293" width="7" bestFit="1" customWidth="1"/>
    <col min="294" max="295" width="6" bestFit="1" customWidth="1"/>
    <col min="296" max="297" width="7" bestFit="1" customWidth="1"/>
    <col min="298" max="300" width="6" bestFit="1" customWidth="1"/>
    <col min="301" max="305" width="7" bestFit="1" customWidth="1"/>
    <col min="306" max="306" width="6" bestFit="1" customWidth="1"/>
    <col min="307" max="307" width="7" bestFit="1" customWidth="1"/>
    <col min="308" max="308" width="5" bestFit="1" customWidth="1"/>
    <col min="309" max="309" width="7" bestFit="1" customWidth="1"/>
    <col min="310" max="312" width="6" bestFit="1" customWidth="1"/>
    <col min="313" max="313" width="7" bestFit="1" customWidth="1"/>
    <col min="314" max="314" width="6" bestFit="1" customWidth="1"/>
    <col min="315" max="315" width="7" bestFit="1" customWidth="1"/>
    <col min="316" max="316" width="6.6640625" bestFit="1" customWidth="1"/>
    <col min="317" max="319" width="7" bestFit="1" customWidth="1"/>
    <col min="320" max="325" width="6" bestFit="1" customWidth="1"/>
    <col min="326" max="326" width="7" bestFit="1" customWidth="1"/>
    <col min="327" max="327" width="6" bestFit="1" customWidth="1"/>
    <col min="328" max="328" width="7" bestFit="1" customWidth="1"/>
    <col min="329" max="329" width="6" bestFit="1" customWidth="1"/>
    <col min="330" max="330" width="5" bestFit="1" customWidth="1"/>
    <col min="331" max="332" width="7" bestFit="1" customWidth="1"/>
    <col min="333" max="333" width="6" bestFit="1" customWidth="1"/>
    <col min="334" max="334" width="7" bestFit="1" customWidth="1"/>
    <col min="335" max="335" width="6" bestFit="1" customWidth="1"/>
    <col min="336" max="337" width="7" bestFit="1" customWidth="1"/>
    <col min="338" max="339" width="6" bestFit="1" customWidth="1"/>
    <col min="340" max="340" width="5" bestFit="1" customWidth="1"/>
    <col min="341" max="342" width="6" bestFit="1" customWidth="1"/>
    <col min="343" max="343" width="7" bestFit="1" customWidth="1"/>
    <col min="344" max="345" width="6" bestFit="1" customWidth="1"/>
    <col min="346" max="348" width="7" bestFit="1" customWidth="1"/>
    <col min="349" max="349" width="6" bestFit="1" customWidth="1"/>
    <col min="350" max="351" width="7" bestFit="1" customWidth="1"/>
    <col min="352" max="352" width="6" bestFit="1" customWidth="1"/>
    <col min="353" max="353" width="7" bestFit="1" customWidth="1"/>
    <col min="354" max="356" width="6" bestFit="1" customWidth="1"/>
    <col min="357" max="358" width="7" bestFit="1" customWidth="1"/>
    <col min="359" max="360" width="6" bestFit="1" customWidth="1"/>
    <col min="361" max="361" width="7" bestFit="1" customWidth="1"/>
    <col min="362" max="362" width="6" bestFit="1" customWidth="1"/>
    <col min="363" max="363" width="6.6640625" bestFit="1" customWidth="1"/>
    <col min="364" max="364" width="5" bestFit="1" customWidth="1"/>
    <col min="365" max="365" width="7" bestFit="1" customWidth="1"/>
    <col min="366" max="366" width="6" bestFit="1" customWidth="1"/>
    <col min="367" max="367" width="7" bestFit="1" customWidth="1"/>
    <col min="368" max="369" width="6" bestFit="1" customWidth="1"/>
    <col min="370" max="370" width="7" bestFit="1" customWidth="1"/>
    <col min="371" max="373" width="6" bestFit="1" customWidth="1"/>
    <col min="374" max="374" width="7" bestFit="1" customWidth="1"/>
    <col min="375" max="375" width="6" bestFit="1" customWidth="1"/>
    <col min="376" max="379" width="7" bestFit="1" customWidth="1"/>
    <col min="380" max="380" width="5" bestFit="1" customWidth="1"/>
    <col min="381" max="383" width="6" bestFit="1" customWidth="1"/>
    <col min="384" max="385" width="7" bestFit="1" customWidth="1"/>
    <col min="386" max="386" width="6" bestFit="1" customWidth="1"/>
    <col min="387" max="387" width="7" bestFit="1" customWidth="1"/>
    <col min="388" max="388" width="5" bestFit="1" customWidth="1"/>
    <col min="389" max="391" width="6" bestFit="1" customWidth="1"/>
    <col min="392" max="392" width="5" bestFit="1" customWidth="1"/>
    <col min="393" max="394" width="6" bestFit="1" customWidth="1"/>
    <col min="395" max="395" width="5" bestFit="1" customWidth="1"/>
    <col min="396" max="397" width="6" bestFit="1" customWidth="1"/>
    <col min="398" max="398" width="7" bestFit="1" customWidth="1"/>
    <col min="399" max="399" width="6" bestFit="1" customWidth="1"/>
    <col min="400" max="400" width="7" bestFit="1" customWidth="1"/>
    <col min="401" max="401" width="6" bestFit="1" customWidth="1"/>
    <col min="402" max="402" width="3" bestFit="1" customWidth="1"/>
    <col min="403" max="407" width="7" bestFit="1" customWidth="1"/>
    <col min="408" max="410" width="6" bestFit="1" customWidth="1"/>
    <col min="411" max="411" width="6.6640625" bestFit="1" customWidth="1"/>
    <col min="412" max="412" width="7" bestFit="1" customWidth="1"/>
    <col min="413" max="413" width="6" bestFit="1" customWidth="1"/>
    <col min="414" max="414" width="7" bestFit="1" customWidth="1"/>
    <col min="415" max="417" width="6" bestFit="1" customWidth="1"/>
    <col min="418" max="418" width="7" bestFit="1" customWidth="1"/>
    <col min="419" max="420" width="6" bestFit="1" customWidth="1"/>
    <col min="421" max="421" width="7" bestFit="1" customWidth="1"/>
    <col min="422" max="422" width="5" bestFit="1" customWidth="1"/>
    <col min="423" max="423" width="7" bestFit="1" customWidth="1"/>
    <col min="424" max="425" width="6" bestFit="1" customWidth="1"/>
    <col min="426" max="426" width="5" bestFit="1" customWidth="1"/>
    <col min="427" max="427" width="6" bestFit="1" customWidth="1"/>
    <col min="428" max="428" width="7" bestFit="1" customWidth="1"/>
    <col min="429" max="430" width="6" bestFit="1" customWidth="1"/>
    <col min="431" max="434" width="7" bestFit="1" customWidth="1"/>
    <col min="435" max="436" width="6" bestFit="1" customWidth="1"/>
    <col min="437" max="438" width="7" bestFit="1" customWidth="1"/>
    <col min="439" max="440" width="6" bestFit="1" customWidth="1"/>
    <col min="441" max="441" width="5" bestFit="1" customWidth="1"/>
    <col min="442" max="442" width="7" bestFit="1" customWidth="1"/>
    <col min="443" max="448" width="6" bestFit="1" customWidth="1"/>
    <col min="449" max="451" width="7" bestFit="1" customWidth="1"/>
    <col min="452" max="452" width="5" bestFit="1" customWidth="1"/>
    <col min="453" max="456" width="6" bestFit="1" customWidth="1"/>
    <col min="457" max="457" width="7" bestFit="1" customWidth="1"/>
    <col min="458" max="459" width="6" bestFit="1" customWidth="1"/>
    <col min="460" max="460" width="7" bestFit="1" customWidth="1"/>
    <col min="461" max="463" width="6" bestFit="1" customWidth="1"/>
    <col min="464" max="464" width="7" bestFit="1" customWidth="1"/>
    <col min="465" max="467" width="6" bestFit="1" customWidth="1"/>
    <col min="468" max="469" width="7" bestFit="1" customWidth="1"/>
    <col min="470" max="471" width="6" bestFit="1" customWidth="1"/>
    <col min="472" max="472" width="7" bestFit="1" customWidth="1"/>
    <col min="473" max="473" width="6" bestFit="1" customWidth="1"/>
    <col min="474" max="474" width="7" bestFit="1" customWidth="1"/>
    <col min="475" max="475" width="5" bestFit="1" customWidth="1"/>
    <col min="476" max="476" width="7" bestFit="1" customWidth="1"/>
    <col min="477" max="478" width="6" bestFit="1" customWidth="1"/>
    <col min="479" max="479" width="7" bestFit="1" customWidth="1"/>
    <col min="480" max="480" width="6" bestFit="1" customWidth="1"/>
    <col min="481" max="481" width="6.6640625" bestFit="1" customWidth="1"/>
    <col min="482" max="483" width="6" bestFit="1" customWidth="1"/>
    <col min="484" max="485" width="7" bestFit="1" customWidth="1"/>
    <col min="486" max="486" width="6" bestFit="1" customWidth="1"/>
    <col min="487" max="488" width="7" bestFit="1" customWidth="1"/>
    <col min="489" max="490" width="6" bestFit="1" customWidth="1"/>
    <col min="491" max="491" width="7" bestFit="1" customWidth="1"/>
    <col min="492" max="492" width="6" bestFit="1" customWidth="1"/>
    <col min="493" max="493" width="5" bestFit="1" customWidth="1"/>
    <col min="494" max="496" width="6" bestFit="1" customWidth="1"/>
    <col min="497" max="497" width="7" bestFit="1" customWidth="1"/>
    <col min="498" max="498" width="5" bestFit="1" customWidth="1"/>
    <col min="499" max="500" width="6" bestFit="1" customWidth="1"/>
    <col min="501" max="501" width="7" bestFit="1" customWidth="1"/>
    <col min="502" max="502" width="6" bestFit="1" customWidth="1"/>
    <col min="503" max="506" width="7" bestFit="1" customWidth="1"/>
    <col min="507" max="507" width="5" bestFit="1" customWidth="1"/>
    <col min="508" max="509" width="6" bestFit="1" customWidth="1"/>
    <col min="510" max="510" width="5" bestFit="1" customWidth="1"/>
    <col min="511" max="513" width="6" bestFit="1" customWidth="1"/>
    <col min="514" max="514" width="5" bestFit="1" customWidth="1"/>
    <col min="515" max="515" width="7" bestFit="1" customWidth="1"/>
    <col min="516" max="516" width="6" bestFit="1" customWidth="1"/>
    <col min="517" max="517" width="7" bestFit="1" customWidth="1"/>
    <col min="518" max="518" width="6" bestFit="1" customWidth="1"/>
    <col min="519" max="519" width="5" bestFit="1" customWidth="1"/>
    <col min="520" max="520" width="7" bestFit="1" customWidth="1"/>
    <col min="521" max="521" width="6" bestFit="1" customWidth="1"/>
    <col min="522" max="522" width="5" bestFit="1" customWidth="1"/>
    <col min="523" max="524" width="7" bestFit="1" customWidth="1"/>
    <col min="525" max="525" width="6" bestFit="1" customWidth="1"/>
    <col min="526" max="526" width="7" bestFit="1" customWidth="1"/>
    <col min="527" max="529" width="6" bestFit="1" customWidth="1"/>
    <col min="530" max="530" width="7" bestFit="1" customWidth="1"/>
    <col min="531" max="531" width="5" bestFit="1" customWidth="1"/>
    <col min="532" max="532" width="6" bestFit="1" customWidth="1"/>
    <col min="533" max="533" width="7" bestFit="1" customWidth="1"/>
    <col min="534" max="535" width="6" bestFit="1" customWidth="1"/>
    <col min="536" max="536" width="7" bestFit="1" customWidth="1"/>
    <col min="537" max="539" width="6" bestFit="1" customWidth="1"/>
    <col min="540" max="540" width="5" bestFit="1" customWidth="1"/>
    <col min="541" max="541" width="7" bestFit="1" customWidth="1"/>
    <col min="542" max="542" width="6" bestFit="1" customWidth="1"/>
    <col min="543" max="545" width="7" bestFit="1" customWidth="1"/>
    <col min="546" max="546" width="6" bestFit="1" customWidth="1"/>
    <col min="547" max="547" width="7" bestFit="1" customWidth="1"/>
    <col min="548" max="548" width="6" bestFit="1" customWidth="1"/>
    <col min="549" max="549" width="7" bestFit="1" customWidth="1"/>
    <col min="550" max="553" width="6" bestFit="1" customWidth="1"/>
    <col min="554" max="555" width="7" bestFit="1" customWidth="1"/>
    <col min="556" max="558" width="6" bestFit="1" customWidth="1"/>
    <col min="559" max="559" width="5" bestFit="1" customWidth="1"/>
    <col min="560" max="561" width="6" bestFit="1" customWidth="1"/>
    <col min="562" max="562" width="7" bestFit="1" customWidth="1"/>
    <col min="563" max="563" width="6" bestFit="1" customWidth="1"/>
    <col min="564" max="564" width="7" bestFit="1" customWidth="1"/>
    <col min="565" max="565" width="6" bestFit="1" customWidth="1"/>
    <col min="566" max="566" width="7" bestFit="1" customWidth="1"/>
    <col min="567" max="567" width="6" bestFit="1" customWidth="1"/>
    <col min="568" max="568" width="7" bestFit="1" customWidth="1"/>
    <col min="569" max="572" width="6" bestFit="1" customWidth="1"/>
    <col min="573" max="573" width="7" bestFit="1" customWidth="1"/>
    <col min="574" max="575" width="6" bestFit="1" customWidth="1"/>
    <col min="576" max="576" width="5" bestFit="1" customWidth="1"/>
    <col min="577" max="580" width="6" bestFit="1" customWidth="1"/>
    <col min="581" max="581" width="7" bestFit="1" customWidth="1"/>
    <col min="582" max="582" width="5" bestFit="1" customWidth="1"/>
    <col min="583" max="583" width="6" bestFit="1" customWidth="1"/>
    <col min="584" max="584" width="6.6640625" bestFit="1" customWidth="1"/>
    <col min="585" max="585" width="7" bestFit="1" customWidth="1"/>
    <col min="586" max="587" width="6" bestFit="1" customWidth="1"/>
    <col min="588" max="588" width="7" bestFit="1" customWidth="1"/>
    <col min="589" max="589" width="6" bestFit="1" customWidth="1"/>
    <col min="590" max="591" width="7" bestFit="1" customWidth="1"/>
    <col min="592" max="592" width="6" bestFit="1" customWidth="1"/>
    <col min="593" max="593" width="7" bestFit="1" customWidth="1"/>
    <col min="594" max="597" width="6" bestFit="1" customWidth="1"/>
    <col min="598" max="598" width="5" bestFit="1" customWidth="1"/>
    <col min="599" max="599" width="6" bestFit="1" customWidth="1"/>
    <col min="600" max="600" width="7" bestFit="1" customWidth="1"/>
    <col min="601" max="601" width="6" bestFit="1" customWidth="1"/>
    <col min="602" max="602" width="7" bestFit="1" customWidth="1"/>
    <col min="603" max="605" width="6" bestFit="1" customWidth="1"/>
    <col min="606" max="606" width="7" bestFit="1" customWidth="1"/>
    <col min="607" max="607" width="6" bestFit="1" customWidth="1"/>
    <col min="608" max="609" width="7" bestFit="1" customWidth="1"/>
    <col min="610" max="611" width="6" bestFit="1" customWidth="1"/>
    <col min="612" max="612" width="7" bestFit="1" customWidth="1"/>
    <col min="613" max="616" width="6" bestFit="1" customWidth="1"/>
    <col min="617" max="617" width="7" bestFit="1" customWidth="1"/>
    <col min="618" max="619" width="6" bestFit="1" customWidth="1"/>
    <col min="620" max="620" width="7" bestFit="1" customWidth="1"/>
    <col min="621" max="621" width="5" bestFit="1" customWidth="1"/>
    <col min="622" max="623" width="6" bestFit="1" customWidth="1"/>
    <col min="624" max="624" width="7" bestFit="1" customWidth="1"/>
    <col min="625" max="625" width="5" bestFit="1" customWidth="1"/>
    <col min="626" max="626" width="7" bestFit="1" customWidth="1"/>
    <col min="627" max="628" width="6" bestFit="1" customWidth="1"/>
    <col min="629" max="629" width="5" bestFit="1" customWidth="1"/>
    <col min="630" max="630" width="7" bestFit="1" customWidth="1"/>
    <col min="631" max="631" width="6" bestFit="1" customWidth="1"/>
    <col min="632" max="633" width="7" bestFit="1" customWidth="1"/>
    <col min="634" max="634" width="6" bestFit="1" customWidth="1"/>
    <col min="635" max="635" width="5" bestFit="1" customWidth="1"/>
    <col min="636" max="637" width="6" bestFit="1" customWidth="1"/>
    <col min="638" max="638" width="7" bestFit="1" customWidth="1"/>
    <col min="639" max="642" width="6" bestFit="1" customWidth="1"/>
    <col min="643" max="644" width="7" bestFit="1" customWidth="1"/>
    <col min="645" max="645" width="6" bestFit="1" customWidth="1"/>
    <col min="646" max="646" width="5" bestFit="1" customWidth="1"/>
    <col min="647" max="647" width="6" bestFit="1" customWidth="1"/>
    <col min="648" max="648" width="7" bestFit="1" customWidth="1"/>
    <col min="649" max="651" width="6" bestFit="1" customWidth="1"/>
    <col min="652" max="652" width="7" bestFit="1" customWidth="1"/>
    <col min="653" max="658" width="6" bestFit="1" customWidth="1"/>
    <col min="659" max="659" width="7" bestFit="1" customWidth="1"/>
    <col min="660" max="660" width="5" bestFit="1" customWidth="1"/>
    <col min="661" max="661" width="6" bestFit="1" customWidth="1"/>
    <col min="662" max="662" width="7" bestFit="1" customWidth="1"/>
    <col min="663" max="663" width="5" bestFit="1" customWidth="1"/>
    <col min="664" max="669" width="6" bestFit="1" customWidth="1"/>
    <col min="670" max="670" width="7" bestFit="1" customWidth="1"/>
    <col min="671" max="673" width="6" bestFit="1" customWidth="1"/>
    <col min="674" max="674" width="7" bestFit="1" customWidth="1"/>
    <col min="675" max="675" width="6" bestFit="1" customWidth="1"/>
    <col min="676" max="677" width="7" bestFit="1" customWidth="1"/>
    <col min="678" max="678" width="5" bestFit="1" customWidth="1"/>
    <col min="679" max="679" width="6" bestFit="1" customWidth="1"/>
    <col min="680" max="680" width="7" bestFit="1" customWidth="1"/>
    <col min="681" max="682" width="6" bestFit="1" customWidth="1"/>
    <col min="683" max="683" width="7" bestFit="1" customWidth="1"/>
    <col min="684" max="684" width="6" bestFit="1" customWidth="1"/>
    <col min="685" max="685" width="7" bestFit="1" customWidth="1"/>
    <col min="686" max="687" width="6" bestFit="1" customWidth="1"/>
    <col min="688" max="688" width="7" bestFit="1" customWidth="1"/>
    <col min="689" max="693" width="6" bestFit="1" customWidth="1"/>
    <col min="694" max="694" width="7" bestFit="1" customWidth="1"/>
    <col min="695" max="695" width="6" bestFit="1" customWidth="1"/>
    <col min="696" max="698" width="7" bestFit="1" customWidth="1"/>
    <col min="699" max="699" width="5" bestFit="1" customWidth="1"/>
    <col min="700" max="705" width="6" bestFit="1" customWidth="1"/>
    <col min="706" max="710" width="7" bestFit="1" customWidth="1"/>
    <col min="711" max="711" width="5" bestFit="1" customWidth="1"/>
    <col min="712" max="713" width="6" bestFit="1" customWidth="1"/>
    <col min="714" max="715" width="5" bestFit="1" customWidth="1"/>
    <col min="716" max="716" width="7" bestFit="1" customWidth="1"/>
    <col min="717" max="721" width="6" bestFit="1" customWidth="1"/>
    <col min="722" max="722" width="7" bestFit="1" customWidth="1"/>
    <col min="723" max="724" width="6" bestFit="1" customWidth="1"/>
    <col min="725" max="725" width="5" bestFit="1" customWidth="1"/>
    <col min="726" max="727" width="6" bestFit="1" customWidth="1"/>
    <col min="728" max="728" width="7" bestFit="1" customWidth="1"/>
    <col min="729" max="729" width="5" bestFit="1" customWidth="1"/>
    <col min="730" max="736" width="6" bestFit="1" customWidth="1"/>
    <col min="737" max="741" width="7" bestFit="1" customWidth="1"/>
    <col min="742" max="743" width="6" bestFit="1" customWidth="1"/>
    <col min="744" max="744" width="5" bestFit="1" customWidth="1"/>
    <col min="745" max="745" width="7" bestFit="1" customWidth="1"/>
    <col min="746" max="750" width="6" bestFit="1" customWidth="1"/>
    <col min="751" max="753" width="7" bestFit="1" customWidth="1"/>
    <col min="754" max="754" width="6" bestFit="1" customWidth="1"/>
    <col min="755" max="755" width="6.6640625" bestFit="1" customWidth="1"/>
    <col min="756" max="756" width="6" bestFit="1" customWidth="1"/>
    <col min="757" max="757" width="5" bestFit="1" customWidth="1"/>
    <col min="758" max="758" width="7" bestFit="1" customWidth="1"/>
    <col min="759" max="760" width="6" bestFit="1" customWidth="1"/>
    <col min="761" max="763" width="7" bestFit="1" customWidth="1"/>
    <col min="764" max="764" width="6" bestFit="1" customWidth="1"/>
    <col min="765" max="766" width="7" bestFit="1" customWidth="1"/>
    <col min="767" max="770" width="6" bestFit="1" customWidth="1"/>
    <col min="771" max="771" width="5" bestFit="1" customWidth="1"/>
    <col min="772" max="772" width="6" bestFit="1" customWidth="1"/>
    <col min="773" max="773" width="7" bestFit="1" customWidth="1"/>
    <col min="774" max="774" width="6" bestFit="1" customWidth="1"/>
    <col min="775" max="775" width="7" bestFit="1" customWidth="1"/>
    <col min="776" max="776" width="6" bestFit="1" customWidth="1"/>
    <col min="777" max="777" width="5" bestFit="1" customWidth="1"/>
    <col min="778" max="778" width="6" bestFit="1" customWidth="1"/>
    <col min="779" max="779" width="5" bestFit="1" customWidth="1"/>
    <col min="780" max="782" width="6" bestFit="1" customWidth="1"/>
    <col min="783" max="784" width="7" bestFit="1" customWidth="1"/>
    <col min="785" max="785" width="5" bestFit="1" customWidth="1"/>
    <col min="786" max="790" width="6" bestFit="1" customWidth="1"/>
    <col min="791" max="791" width="3" bestFit="1" customWidth="1"/>
    <col min="792" max="792" width="6" bestFit="1" customWidth="1"/>
    <col min="793" max="793" width="5" bestFit="1" customWidth="1"/>
    <col min="794" max="794" width="6" bestFit="1" customWidth="1"/>
    <col min="795" max="795" width="7" bestFit="1" customWidth="1"/>
    <col min="796" max="796" width="5" bestFit="1" customWidth="1"/>
    <col min="797" max="797" width="7" bestFit="1" customWidth="1"/>
    <col min="798" max="799" width="6" bestFit="1" customWidth="1"/>
    <col min="800" max="800" width="7" bestFit="1" customWidth="1"/>
    <col min="801" max="801" width="6" bestFit="1" customWidth="1"/>
    <col min="802" max="802" width="5" bestFit="1" customWidth="1"/>
    <col min="803" max="803" width="6" bestFit="1" customWidth="1"/>
    <col min="804" max="806" width="7" bestFit="1" customWidth="1"/>
    <col min="807" max="810" width="6" bestFit="1" customWidth="1"/>
    <col min="811" max="811" width="7" bestFit="1" customWidth="1"/>
    <col min="812" max="812" width="3" bestFit="1" customWidth="1"/>
    <col min="813" max="813" width="7" bestFit="1" customWidth="1"/>
    <col min="814" max="814" width="6" bestFit="1" customWidth="1"/>
    <col min="815" max="815" width="7" bestFit="1" customWidth="1"/>
    <col min="816" max="817" width="6" bestFit="1" customWidth="1"/>
    <col min="818" max="818" width="5" bestFit="1" customWidth="1"/>
    <col min="819" max="820" width="6" bestFit="1" customWidth="1"/>
    <col min="821" max="821" width="5" bestFit="1" customWidth="1"/>
    <col min="822" max="824" width="7" bestFit="1" customWidth="1"/>
    <col min="825" max="825" width="6" bestFit="1" customWidth="1"/>
    <col min="826" max="826" width="7" bestFit="1" customWidth="1"/>
    <col min="827" max="828" width="6" bestFit="1" customWidth="1"/>
    <col min="829" max="829" width="7" bestFit="1" customWidth="1"/>
    <col min="830" max="831" width="6" bestFit="1" customWidth="1"/>
    <col min="832" max="832" width="5" bestFit="1" customWidth="1"/>
    <col min="833" max="833" width="7" bestFit="1" customWidth="1"/>
    <col min="834" max="838" width="6" bestFit="1" customWidth="1"/>
    <col min="839" max="839" width="7" bestFit="1" customWidth="1"/>
    <col min="840" max="840" width="6" bestFit="1" customWidth="1"/>
    <col min="841" max="841" width="7" bestFit="1" customWidth="1"/>
    <col min="842" max="842" width="6" bestFit="1" customWidth="1"/>
    <col min="843" max="844" width="7" bestFit="1" customWidth="1"/>
    <col min="845" max="846" width="6" bestFit="1" customWidth="1"/>
    <col min="847" max="847" width="3" bestFit="1" customWidth="1"/>
    <col min="848" max="848" width="7" bestFit="1" customWidth="1"/>
    <col min="849" max="849" width="6" bestFit="1" customWidth="1"/>
    <col min="850" max="850" width="7" bestFit="1" customWidth="1"/>
    <col min="851" max="852" width="6" bestFit="1" customWidth="1"/>
    <col min="853" max="853" width="7" bestFit="1" customWidth="1"/>
    <col min="854" max="854" width="6" bestFit="1" customWidth="1"/>
    <col min="855" max="855" width="7" bestFit="1" customWidth="1"/>
    <col min="856" max="856" width="6" bestFit="1" customWidth="1"/>
    <col min="857" max="857" width="5" bestFit="1" customWidth="1"/>
    <col min="858" max="858" width="6" bestFit="1" customWidth="1"/>
    <col min="859" max="860" width="7" bestFit="1" customWidth="1"/>
    <col min="861" max="863" width="6" bestFit="1" customWidth="1"/>
    <col min="864" max="864" width="7" bestFit="1" customWidth="1"/>
    <col min="865" max="867" width="6" bestFit="1" customWidth="1"/>
    <col min="868" max="868" width="7" bestFit="1" customWidth="1"/>
    <col min="869" max="869" width="6" bestFit="1" customWidth="1"/>
    <col min="870" max="870" width="5" bestFit="1" customWidth="1"/>
    <col min="871" max="871" width="7" bestFit="1" customWidth="1"/>
    <col min="872" max="872" width="6" bestFit="1" customWidth="1"/>
    <col min="873" max="873" width="7" bestFit="1" customWidth="1"/>
    <col min="874" max="877" width="6" bestFit="1" customWidth="1"/>
    <col min="878" max="878" width="5" bestFit="1" customWidth="1"/>
    <col min="879" max="879" width="7" bestFit="1" customWidth="1"/>
    <col min="880" max="880" width="6" bestFit="1" customWidth="1"/>
    <col min="881" max="881" width="5" bestFit="1" customWidth="1"/>
    <col min="882" max="884" width="6" bestFit="1" customWidth="1"/>
    <col min="885" max="885" width="7" bestFit="1" customWidth="1"/>
    <col min="886" max="887" width="6" bestFit="1" customWidth="1"/>
    <col min="888" max="888" width="5" bestFit="1" customWidth="1"/>
    <col min="889" max="889" width="7" bestFit="1" customWidth="1"/>
    <col min="890" max="890" width="6" bestFit="1" customWidth="1"/>
    <col min="891" max="891" width="5" bestFit="1" customWidth="1"/>
    <col min="892" max="892" width="7" bestFit="1" customWidth="1"/>
    <col min="893" max="893" width="6" bestFit="1" customWidth="1"/>
    <col min="894" max="894" width="5" bestFit="1" customWidth="1"/>
    <col min="895" max="896" width="6" bestFit="1" customWidth="1"/>
    <col min="897" max="897" width="7" bestFit="1" customWidth="1"/>
    <col min="898" max="900" width="6" bestFit="1" customWidth="1"/>
    <col min="901" max="901" width="5" bestFit="1" customWidth="1"/>
    <col min="902" max="902" width="6" bestFit="1" customWidth="1"/>
    <col min="903" max="903" width="7" bestFit="1" customWidth="1"/>
    <col min="904" max="904" width="5" bestFit="1" customWidth="1"/>
    <col min="905" max="905" width="6" bestFit="1" customWidth="1"/>
    <col min="906" max="906" width="5" bestFit="1" customWidth="1"/>
    <col min="907" max="910" width="6" bestFit="1" customWidth="1"/>
    <col min="911" max="911" width="5" bestFit="1" customWidth="1"/>
    <col min="912" max="913" width="6" bestFit="1" customWidth="1"/>
    <col min="914" max="914" width="7" bestFit="1" customWidth="1"/>
    <col min="915" max="915" width="6" bestFit="1" customWidth="1"/>
    <col min="916" max="917" width="7" bestFit="1" customWidth="1"/>
    <col min="918" max="918" width="3" bestFit="1" customWidth="1"/>
    <col min="919" max="919" width="6" bestFit="1" customWidth="1"/>
    <col min="920" max="920" width="6.6640625" bestFit="1" customWidth="1"/>
    <col min="921" max="923" width="6" bestFit="1" customWidth="1"/>
    <col min="924" max="924" width="7" bestFit="1" customWidth="1"/>
    <col min="925" max="928" width="6" bestFit="1" customWidth="1"/>
    <col min="929" max="929" width="5" bestFit="1" customWidth="1"/>
    <col min="930" max="932" width="6" bestFit="1" customWidth="1"/>
    <col min="933" max="933" width="7" bestFit="1" customWidth="1"/>
    <col min="934" max="936" width="6" bestFit="1" customWidth="1"/>
    <col min="937" max="938" width="7" bestFit="1" customWidth="1"/>
    <col min="939" max="940" width="6" bestFit="1" customWidth="1"/>
    <col min="941" max="941" width="5" bestFit="1" customWidth="1"/>
    <col min="942" max="942" width="6" bestFit="1" customWidth="1"/>
    <col min="943" max="943" width="7" bestFit="1" customWidth="1"/>
    <col min="944" max="944" width="5" bestFit="1" customWidth="1"/>
    <col min="945" max="947" width="6" bestFit="1" customWidth="1"/>
    <col min="948" max="948" width="7" bestFit="1" customWidth="1"/>
    <col min="949" max="949" width="5" bestFit="1" customWidth="1"/>
    <col min="950" max="951" width="6" bestFit="1" customWidth="1"/>
    <col min="952" max="952" width="5" bestFit="1" customWidth="1"/>
    <col min="953" max="953" width="6" bestFit="1" customWidth="1"/>
    <col min="954" max="959" width="7" bestFit="1" customWidth="1"/>
    <col min="960" max="960" width="5" bestFit="1" customWidth="1"/>
    <col min="961" max="962" width="6" bestFit="1" customWidth="1"/>
    <col min="963" max="964" width="7" bestFit="1" customWidth="1"/>
    <col min="965" max="971" width="6" bestFit="1" customWidth="1"/>
    <col min="972" max="972" width="7" bestFit="1" customWidth="1"/>
    <col min="973" max="973" width="5" bestFit="1" customWidth="1"/>
    <col min="974" max="974" width="7" bestFit="1" customWidth="1"/>
    <col min="975" max="975" width="6" bestFit="1" customWidth="1"/>
    <col min="976" max="978" width="7" bestFit="1" customWidth="1"/>
    <col min="979" max="979" width="6" bestFit="1" customWidth="1"/>
    <col min="980" max="980" width="3" bestFit="1" customWidth="1"/>
    <col min="981" max="984" width="6" bestFit="1" customWidth="1"/>
    <col min="985" max="986" width="7" bestFit="1" customWidth="1"/>
    <col min="987" max="987" width="5" bestFit="1" customWidth="1"/>
    <col min="988" max="988" width="6" bestFit="1" customWidth="1"/>
    <col min="989" max="989" width="7" bestFit="1" customWidth="1"/>
    <col min="990" max="990" width="6" bestFit="1" customWidth="1"/>
    <col min="991" max="993" width="7" bestFit="1" customWidth="1"/>
    <col min="994" max="995" width="6" bestFit="1" customWidth="1"/>
    <col min="996" max="996" width="7" bestFit="1" customWidth="1"/>
    <col min="997" max="998" width="6" bestFit="1" customWidth="1"/>
    <col min="999" max="999" width="7" bestFit="1" customWidth="1"/>
    <col min="1000" max="1000" width="6" bestFit="1" customWidth="1"/>
    <col min="1001" max="1001" width="7" bestFit="1" customWidth="1"/>
    <col min="1002" max="1003" width="6" bestFit="1" customWidth="1"/>
    <col min="1004" max="1004" width="7" bestFit="1" customWidth="1"/>
    <col min="1005" max="1006" width="6" bestFit="1" customWidth="1"/>
    <col min="1007" max="1007" width="5" bestFit="1" customWidth="1"/>
    <col min="1008" max="1008" width="7" bestFit="1" customWidth="1"/>
    <col min="1009" max="1009" width="6" bestFit="1" customWidth="1"/>
    <col min="1010" max="1011" width="7" bestFit="1" customWidth="1"/>
    <col min="1012" max="1015" width="6" bestFit="1" customWidth="1"/>
    <col min="1016" max="1016" width="7" bestFit="1" customWidth="1"/>
    <col min="1017" max="1017" width="6" bestFit="1" customWidth="1"/>
    <col min="1018" max="1021" width="7" bestFit="1" customWidth="1"/>
    <col min="1022" max="1022" width="5" bestFit="1" customWidth="1"/>
    <col min="1023" max="1023" width="6" bestFit="1" customWidth="1"/>
    <col min="1024" max="1025" width="7" bestFit="1" customWidth="1"/>
    <col min="1026" max="1026" width="6" bestFit="1" customWidth="1"/>
    <col min="1027" max="1027" width="7" bestFit="1" customWidth="1"/>
    <col min="1028" max="1028" width="6" bestFit="1" customWidth="1"/>
    <col min="1029" max="1029" width="5" bestFit="1" customWidth="1"/>
    <col min="1030" max="1033" width="6" bestFit="1" customWidth="1"/>
    <col min="1034" max="1035" width="7" bestFit="1" customWidth="1"/>
    <col min="1036" max="1036" width="6" bestFit="1" customWidth="1"/>
    <col min="1037" max="1038" width="5" bestFit="1" customWidth="1"/>
    <col min="1039" max="1041" width="6" bestFit="1" customWidth="1"/>
    <col min="1042" max="1042" width="5" bestFit="1" customWidth="1"/>
    <col min="1043" max="1044" width="6" bestFit="1" customWidth="1"/>
    <col min="1045" max="1048" width="7" bestFit="1" customWidth="1"/>
    <col min="1049" max="1049" width="6" bestFit="1" customWidth="1"/>
    <col min="1050" max="1050" width="5" bestFit="1" customWidth="1"/>
    <col min="1051" max="1051" width="6" bestFit="1" customWidth="1"/>
    <col min="1052" max="1052" width="6.6640625" bestFit="1" customWidth="1"/>
    <col min="1053" max="1053" width="5" bestFit="1" customWidth="1"/>
    <col min="1054" max="1059" width="6" bestFit="1" customWidth="1"/>
    <col min="1060" max="1060" width="5" bestFit="1" customWidth="1"/>
    <col min="1061" max="1061" width="7" bestFit="1" customWidth="1"/>
    <col min="1062" max="1066" width="6" bestFit="1" customWidth="1"/>
    <col min="1067" max="1068" width="7" bestFit="1" customWidth="1"/>
    <col min="1069" max="1070" width="6" bestFit="1" customWidth="1"/>
    <col min="1071" max="1071" width="7" bestFit="1" customWidth="1"/>
    <col min="1072" max="1073" width="6" bestFit="1" customWidth="1"/>
    <col min="1074" max="1074" width="7" bestFit="1" customWidth="1"/>
    <col min="1075" max="1077" width="6" bestFit="1" customWidth="1"/>
    <col min="1078" max="1078" width="7" bestFit="1" customWidth="1"/>
    <col min="1079" max="1079" width="6" bestFit="1" customWidth="1"/>
    <col min="1080" max="1080" width="5" bestFit="1" customWidth="1"/>
    <col min="1081" max="1081" width="6" bestFit="1" customWidth="1"/>
    <col min="1082" max="1083" width="7" bestFit="1" customWidth="1"/>
    <col min="1084" max="1084" width="6" bestFit="1" customWidth="1"/>
    <col min="1085" max="1085" width="7" bestFit="1" customWidth="1"/>
    <col min="1086" max="1088" width="6" bestFit="1" customWidth="1"/>
    <col min="1089" max="1090" width="7" bestFit="1" customWidth="1"/>
    <col min="1091" max="1091" width="6" bestFit="1" customWidth="1"/>
    <col min="1092" max="1092" width="5" bestFit="1" customWidth="1"/>
    <col min="1093" max="1093" width="6" bestFit="1" customWidth="1"/>
    <col min="1094" max="1094" width="5" bestFit="1" customWidth="1"/>
    <col min="1095" max="1096" width="6" bestFit="1" customWidth="1"/>
    <col min="1097" max="1097" width="7" bestFit="1" customWidth="1"/>
    <col min="1098" max="1098" width="6" bestFit="1" customWidth="1"/>
    <col min="1099" max="1099" width="7" bestFit="1" customWidth="1"/>
    <col min="1100" max="1102" width="6" bestFit="1" customWidth="1"/>
    <col min="1103" max="1103" width="5" bestFit="1" customWidth="1"/>
    <col min="1104" max="1104" width="6" bestFit="1" customWidth="1"/>
    <col min="1105" max="1105" width="7" bestFit="1" customWidth="1"/>
    <col min="1106" max="1106" width="5" bestFit="1" customWidth="1"/>
    <col min="1107" max="1108" width="6" bestFit="1" customWidth="1"/>
    <col min="1109" max="1109" width="7" bestFit="1" customWidth="1"/>
    <col min="1110" max="1112" width="6" bestFit="1" customWidth="1"/>
    <col min="1113" max="1113" width="7" bestFit="1" customWidth="1"/>
    <col min="1114" max="1114" width="6" bestFit="1" customWidth="1"/>
    <col min="1115" max="1115" width="7.6640625" bestFit="1" customWidth="1"/>
    <col min="1116" max="1116" width="5" bestFit="1" customWidth="1"/>
    <col min="1117" max="1119" width="6" bestFit="1" customWidth="1"/>
    <col min="1120" max="1120" width="7" bestFit="1" customWidth="1"/>
    <col min="1121" max="1121" width="6" bestFit="1" customWidth="1"/>
    <col min="1122" max="1122" width="7" bestFit="1" customWidth="1"/>
    <col min="1123" max="1124" width="6" bestFit="1" customWidth="1"/>
    <col min="1125" max="1125" width="5" bestFit="1" customWidth="1"/>
    <col min="1126" max="1126" width="6" bestFit="1" customWidth="1"/>
    <col min="1127" max="1127" width="6.6640625" bestFit="1" customWidth="1"/>
    <col min="1128" max="1128" width="6" bestFit="1" customWidth="1"/>
    <col min="1129" max="1130" width="7" bestFit="1" customWidth="1"/>
    <col min="1131" max="1132" width="6" bestFit="1" customWidth="1"/>
    <col min="1133" max="1133" width="7" bestFit="1" customWidth="1"/>
    <col min="1134" max="1134" width="6.6640625" bestFit="1" customWidth="1"/>
    <col min="1135" max="1135" width="5" bestFit="1" customWidth="1"/>
    <col min="1136" max="1136" width="7" bestFit="1" customWidth="1"/>
    <col min="1137" max="1138" width="6" bestFit="1" customWidth="1"/>
    <col min="1139" max="1139" width="7.6640625" bestFit="1" customWidth="1"/>
    <col min="1140" max="1140" width="6" bestFit="1" customWidth="1"/>
    <col min="1141" max="1141" width="7" bestFit="1" customWidth="1"/>
    <col min="1142" max="1142" width="6" bestFit="1" customWidth="1"/>
    <col min="1143" max="1143" width="7" bestFit="1" customWidth="1"/>
    <col min="1144" max="1149" width="6" bestFit="1" customWidth="1"/>
    <col min="1150" max="1150" width="7" bestFit="1" customWidth="1"/>
    <col min="1151" max="1151" width="6" bestFit="1" customWidth="1"/>
    <col min="1152" max="1152" width="5" bestFit="1" customWidth="1"/>
    <col min="1153" max="1153" width="7" bestFit="1" customWidth="1"/>
    <col min="1154" max="1155" width="6" bestFit="1" customWidth="1"/>
    <col min="1156" max="1157" width="7" bestFit="1" customWidth="1"/>
    <col min="1158" max="1159" width="6" bestFit="1" customWidth="1"/>
    <col min="1160" max="1160" width="7" bestFit="1" customWidth="1"/>
    <col min="1161" max="1161" width="6" bestFit="1" customWidth="1"/>
    <col min="1162" max="1162" width="7" bestFit="1" customWidth="1"/>
    <col min="1163" max="1163" width="3" bestFit="1" customWidth="1"/>
    <col min="1164" max="1165" width="7.6640625" bestFit="1" customWidth="1"/>
    <col min="1166" max="1166" width="6" bestFit="1" customWidth="1"/>
    <col min="1167" max="1168" width="7" bestFit="1" customWidth="1"/>
    <col min="1169" max="1169" width="5" bestFit="1" customWidth="1"/>
    <col min="1170" max="1170" width="6" bestFit="1" customWidth="1"/>
    <col min="1171" max="1171" width="5" bestFit="1" customWidth="1"/>
    <col min="1172" max="1173" width="6" bestFit="1" customWidth="1"/>
    <col min="1174" max="1175" width="7" bestFit="1" customWidth="1"/>
    <col min="1176" max="1176" width="6" bestFit="1" customWidth="1"/>
    <col min="1177" max="1177" width="7" bestFit="1" customWidth="1"/>
    <col min="1178" max="1178" width="3" bestFit="1" customWidth="1"/>
    <col min="1179" max="1179" width="7" bestFit="1" customWidth="1"/>
    <col min="1180" max="1183" width="6" bestFit="1" customWidth="1"/>
    <col min="1184" max="1184" width="7" bestFit="1" customWidth="1"/>
    <col min="1185" max="1187" width="6" bestFit="1" customWidth="1"/>
    <col min="1188" max="1188" width="7" bestFit="1" customWidth="1"/>
    <col min="1189" max="1189" width="6" bestFit="1" customWidth="1"/>
    <col min="1190" max="1192" width="7" bestFit="1" customWidth="1"/>
    <col min="1193" max="1193" width="6" bestFit="1" customWidth="1"/>
    <col min="1194" max="1194" width="5" bestFit="1" customWidth="1"/>
    <col min="1195" max="1196" width="6" bestFit="1" customWidth="1"/>
    <col min="1197" max="1198" width="7" bestFit="1" customWidth="1"/>
    <col min="1199" max="1199" width="6" bestFit="1" customWidth="1"/>
    <col min="1200" max="1200" width="5" bestFit="1" customWidth="1"/>
    <col min="1201" max="1202" width="6" bestFit="1" customWidth="1"/>
    <col min="1203" max="1203" width="5" bestFit="1" customWidth="1"/>
    <col min="1204" max="1206" width="6" bestFit="1" customWidth="1"/>
    <col min="1207" max="1207" width="7" bestFit="1" customWidth="1"/>
    <col min="1208" max="1208" width="5" bestFit="1" customWidth="1"/>
    <col min="1209" max="1209" width="7" bestFit="1" customWidth="1"/>
    <col min="1210" max="1210" width="6" bestFit="1" customWidth="1"/>
    <col min="1211" max="1211" width="7" bestFit="1" customWidth="1"/>
    <col min="1212" max="1214" width="6" bestFit="1" customWidth="1"/>
    <col min="1215" max="1215" width="5" bestFit="1" customWidth="1"/>
    <col min="1216" max="1219" width="6" bestFit="1" customWidth="1"/>
    <col min="1220" max="1223" width="7" bestFit="1" customWidth="1"/>
    <col min="1224" max="1227" width="6" bestFit="1" customWidth="1"/>
    <col min="1228" max="1228" width="7" bestFit="1" customWidth="1"/>
    <col min="1229" max="1229" width="6" bestFit="1" customWidth="1"/>
    <col min="1230" max="1230" width="5" bestFit="1" customWidth="1"/>
    <col min="1231" max="1231" width="7" bestFit="1" customWidth="1"/>
    <col min="1232" max="1232" width="6" bestFit="1" customWidth="1"/>
    <col min="1233" max="1234" width="7" bestFit="1" customWidth="1"/>
    <col min="1235" max="1235" width="6" bestFit="1" customWidth="1"/>
    <col min="1236" max="1236" width="5" bestFit="1" customWidth="1"/>
    <col min="1237" max="1241" width="6" bestFit="1" customWidth="1"/>
    <col min="1242" max="1245" width="7" bestFit="1" customWidth="1"/>
    <col min="1246" max="1247" width="6" bestFit="1" customWidth="1"/>
    <col min="1248" max="1248" width="7" bestFit="1" customWidth="1"/>
    <col min="1249" max="1249" width="6" bestFit="1" customWidth="1"/>
    <col min="1250" max="1250" width="5" bestFit="1" customWidth="1"/>
    <col min="1251" max="1251" width="6" bestFit="1" customWidth="1"/>
    <col min="1252" max="1255" width="7" bestFit="1" customWidth="1"/>
    <col min="1256" max="1256" width="6" bestFit="1" customWidth="1"/>
    <col min="1257" max="1257" width="7" bestFit="1" customWidth="1"/>
    <col min="1258" max="1259" width="6" bestFit="1" customWidth="1"/>
    <col min="1260" max="1260" width="5" bestFit="1" customWidth="1"/>
    <col min="1261" max="1264" width="6" bestFit="1" customWidth="1"/>
    <col min="1265" max="1268" width="7" bestFit="1" customWidth="1"/>
    <col min="1269" max="1269" width="5" bestFit="1" customWidth="1"/>
    <col min="1270" max="1273" width="7" bestFit="1" customWidth="1"/>
    <col min="1274" max="1274" width="6" bestFit="1" customWidth="1"/>
    <col min="1275" max="1275" width="7" bestFit="1" customWidth="1"/>
    <col min="1276" max="1278" width="6" bestFit="1" customWidth="1"/>
    <col min="1279" max="1279" width="5" bestFit="1" customWidth="1"/>
    <col min="1280" max="1280" width="6" bestFit="1" customWidth="1"/>
    <col min="1281" max="1282" width="7" bestFit="1" customWidth="1"/>
    <col min="1283" max="1283" width="6" bestFit="1" customWidth="1"/>
    <col min="1284" max="1284" width="7" bestFit="1" customWidth="1"/>
    <col min="1285" max="1292" width="6" bestFit="1" customWidth="1"/>
    <col min="1293" max="1293" width="7" bestFit="1" customWidth="1"/>
    <col min="1294" max="1297" width="6" bestFit="1" customWidth="1"/>
    <col min="1298" max="1298" width="5" bestFit="1" customWidth="1"/>
    <col min="1299" max="1301" width="6" bestFit="1" customWidth="1"/>
    <col min="1302" max="1302" width="5" bestFit="1" customWidth="1"/>
    <col min="1303" max="1304" width="7" bestFit="1" customWidth="1"/>
    <col min="1305" max="1308" width="6" bestFit="1" customWidth="1"/>
    <col min="1309" max="1311" width="7" bestFit="1" customWidth="1"/>
    <col min="1312" max="1314" width="6" bestFit="1" customWidth="1"/>
    <col min="1315" max="1315" width="7" bestFit="1" customWidth="1"/>
    <col min="1316" max="1316" width="5" bestFit="1" customWidth="1"/>
    <col min="1317" max="1317" width="7" bestFit="1" customWidth="1"/>
    <col min="1318" max="1321" width="6" bestFit="1" customWidth="1"/>
    <col min="1322" max="1323" width="7" bestFit="1" customWidth="1"/>
    <col min="1324" max="1325" width="5" bestFit="1" customWidth="1"/>
    <col min="1326" max="1327" width="6" bestFit="1" customWidth="1"/>
    <col min="1328" max="1328" width="7" bestFit="1" customWidth="1"/>
    <col min="1329" max="1329" width="5" bestFit="1" customWidth="1"/>
    <col min="1330" max="1330" width="6" bestFit="1" customWidth="1"/>
    <col min="1331" max="1331" width="7" bestFit="1" customWidth="1"/>
    <col min="1332" max="1332" width="6" bestFit="1" customWidth="1"/>
    <col min="1333" max="1333" width="5" bestFit="1" customWidth="1"/>
    <col min="1334" max="1335" width="6" bestFit="1" customWidth="1"/>
    <col min="1336" max="1336" width="4" bestFit="1" customWidth="1"/>
    <col min="1337" max="1337" width="8" bestFit="1" customWidth="1"/>
    <col min="1338" max="1338" width="6" bestFit="1" customWidth="1"/>
    <col min="1339" max="1342" width="7" bestFit="1" customWidth="1"/>
    <col min="1343" max="1343" width="8" bestFit="1" customWidth="1"/>
    <col min="1344" max="1345" width="7" bestFit="1" customWidth="1"/>
    <col min="1346" max="1346" width="8" bestFit="1" customWidth="1"/>
    <col min="1347" max="1348" width="7" bestFit="1" customWidth="1"/>
    <col min="1349" max="1349" width="8" bestFit="1" customWidth="1"/>
    <col min="1350" max="1350" width="7" bestFit="1" customWidth="1"/>
    <col min="1351" max="1351" width="8" bestFit="1" customWidth="1"/>
    <col min="1352" max="1352" width="7" bestFit="1" customWidth="1"/>
    <col min="1353" max="1353" width="8" bestFit="1" customWidth="1"/>
    <col min="1354" max="1355" width="7" bestFit="1" customWidth="1"/>
    <col min="1356" max="1356" width="8" bestFit="1" customWidth="1"/>
    <col min="1357" max="1357" width="7" bestFit="1" customWidth="1"/>
    <col min="1358" max="1358" width="8" bestFit="1" customWidth="1"/>
    <col min="1359" max="1361" width="7" bestFit="1" customWidth="1"/>
    <col min="1362" max="1363" width="8" bestFit="1" customWidth="1"/>
    <col min="1364" max="1364" width="7" bestFit="1" customWidth="1"/>
    <col min="1365" max="1365" width="8" bestFit="1" customWidth="1"/>
    <col min="1366" max="1368" width="7" bestFit="1" customWidth="1"/>
    <col min="1369" max="1369" width="8" bestFit="1" customWidth="1"/>
    <col min="1370" max="1372" width="7" bestFit="1" customWidth="1"/>
    <col min="1373" max="1375" width="8" bestFit="1" customWidth="1"/>
    <col min="1376" max="1378" width="7" bestFit="1" customWidth="1"/>
    <col min="1379" max="1379" width="8" bestFit="1" customWidth="1"/>
    <col min="1380" max="1380" width="6" bestFit="1" customWidth="1"/>
    <col min="1381" max="1382" width="7" bestFit="1" customWidth="1"/>
    <col min="1383" max="1385" width="8" bestFit="1" customWidth="1"/>
    <col min="1386" max="1386" width="7" bestFit="1" customWidth="1"/>
    <col min="1387" max="1387" width="4" bestFit="1" customWidth="1"/>
    <col min="1388" max="1388" width="7" bestFit="1" customWidth="1"/>
    <col min="1389" max="1389" width="8" bestFit="1" customWidth="1"/>
    <col min="1390" max="1390" width="6" bestFit="1" customWidth="1"/>
    <col min="1391" max="1392" width="7" bestFit="1" customWidth="1"/>
    <col min="1393" max="1393" width="8" bestFit="1" customWidth="1"/>
    <col min="1394" max="1394" width="7" bestFit="1" customWidth="1"/>
    <col min="1395" max="1396" width="8" bestFit="1" customWidth="1"/>
    <col min="1397" max="1397" width="7" bestFit="1" customWidth="1"/>
    <col min="1398" max="1398" width="8" bestFit="1" customWidth="1"/>
    <col min="1399" max="1400" width="7" bestFit="1" customWidth="1"/>
    <col min="1401" max="1401" width="8" bestFit="1" customWidth="1"/>
    <col min="1402" max="1402" width="6" bestFit="1" customWidth="1"/>
    <col min="1403" max="1403" width="8" bestFit="1" customWidth="1"/>
    <col min="1404" max="1404" width="7" bestFit="1" customWidth="1"/>
    <col min="1405" max="1405" width="6" bestFit="1" customWidth="1"/>
    <col min="1406" max="1407" width="7" bestFit="1" customWidth="1"/>
    <col min="1408" max="1408" width="4" bestFit="1" customWidth="1"/>
    <col min="1409" max="1409" width="7" bestFit="1" customWidth="1"/>
    <col min="1410" max="1412" width="8" bestFit="1" customWidth="1"/>
    <col min="1413" max="1413" width="4" bestFit="1" customWidth="1"/>
    <col min="1414" max="1415" width="7" bestFit="1" customWidth="1"/>
    <col min="1416" max="1416" width="8" bestFit="1" customWidth="1"/>
    <col min="1417" max="1417" width="6" bestFit="1" customWidth="1"/>
    <col min="1418" max="1418" width="8" bestFit="1" customWidth="1"/>
    <col min="1419" max="1419" width="6" bestFit="1" customWidth="1"/>
    <col min="1420" max="1420" width="8" bestFit="1" customWidth="1"/>
    <col min="1421" max="1423" width="7" bestFit="1" customWidth="1"/>
    <col min="1424" max="1424" width="4" bestFit="1" customWidth="1"/>
    <col min="1425" max="1425" width="7" bestFit="1" customWidth="1"/>
    <col min="1426" max="1431" width="8" bestFit="1" customWidth="1"/>
    <col min="1432" max="1432" width="6" bestFit="1" customWidth="1"/>
    <col min="1433" max="1433" width="7" bestFit="1" customWidth="1"/>
    <col min="1434" max="1438" width="8" bestFit="1" customWidth="1"/>
    <col min="1439" max="1440" width="7" bestFit="1" customWidth="1"/>
    <col min="1441" max="1442" width="8" bestFit="1" customWidth="1"/>
    <col min="1443" max="1446" width="7" bestFit="1" customWidth="1"/>
    <col min="1447" max="1448" width="8" bestFit="1" customWidth="1"/>
    <col min="1449" max="1449" width="6" bestFit="1" customWidth="1"/>
    <col min="1450" max="1450" width="7" bestFit="1" customWidth="1"/>
    <col min="1451" max="1451" width="8" bestFit="1" customWidth="1"/>
    <col min="1452" max="1452" width="7" bestFit="1" customWidth="1"/>
    <col min="1453" max="1453" width="8" bestFit="1" customWidth="1"/>
    <col min="1454" max="1455" width="6" bestFit="1" customWidth="1"/>
    <col min="1456" max="1457" width="7" bestFit="1" customWidth="1"/>
    <col min="1458" max="1458" width="8" bestFit="1" customWidth="1"/>
    <col min="1459" max="1460" width="7" bestFit="1" customWidth="1"/>
    <col min="1461" max="1461" width="6" bestFit="1" customWidth="1"/>
    <col min="1462" max="1462" width="7" bestFit="1" customWidth="1"/>
    <col min="1463" max="1463" width="8" bestFit="1" customWidth="1"/>
    <col min="1464" max="1465" width="7" bestFit="1" customWidth="1"/>
    <col min="1466" max="1466" width="8" bestFit="1" customWidth="1"/>
    <col min="1467" max="1468" width="7" bestFit="1" customWidth="1"/>
    <col min="1469" max="1470" width="6" bestFit="1" customWidth="1"/>
    <col min="1471" max="1471" width="8" bestFit="1" customWidth="1"/>
    <col min="1472" max="1472" width="7" bestFit="1" customWidth="1"/>
    <col min="1473" max="1473" width="8" bestFit="1" customWidth="1"/>
    <col min="1474" max="1478" width="7" bestFit="1" customWidth="1"/>
    <col min="1479" max="1479" width="8" bestFit="1" customWidth="1"/>
    <col min="1480" max="1480" width="7" bestFit="1" customWidth="1"/>
    <col min="1481" max="1481" width="6" bestFit="1" customWidth="1"/>
    <col min="1482" max="1484" width="7" bestFit="1" customWidth="1"/>
    <col min="1485" max="1486" width="8" bestFit="1" customWidth="1"/>
    <col min="1487" max="1487" width="7" bestFit="1" customWidth="1"/>
    <col min="1488" max="1488" width="8" bestFit="1" customWidth="1"/>
    <col min="1489" max="1489" width="7" bestFit="1" customWidth="1"/>
    <col min="1490" max="1490" width="6" bestFit="1" customWidth="1"/>
    <col min="1491" max="1493" width="7" bestFit="1" customWidth="1"/>
    <col min="1494" max="1494" width="8" bestFit="1" customWidth="1"/>
    <col min="1495" max="1495" width="7" bestFit="1" customWidth="1"/>
    <col min="1496" max="1496" width="6" bestFit="1" customWidth="1"/>
    <col min="1497" max="1498" width="8" bestFit="1" customWidth="1"/>
    <col min="1499" max="1499" width="6" bestFit="1" customWidth="1"/>
    <col min="1500" max="1500" width="8" bestFit="1" customWidth="1"/>
    <col min="1501" max="1501" width="7" bestFit="1" customWidth="1"/>
    <col min="1502" max="1503" width="8" bestFit="1" customWidth="1"/>
    <col min="1504" max="1504" width="6" bestFit="1" customWidth="1"/>
    <col min="1505" max="1506" width="7" bestFit="1" customWidth="1"/>
    <col min="1507" max="1508" width="8" bestFit="1" customWidth="1"/>
    <col min="1509" max="1510" width="7" bestFit="1" customWidth="1"/>
    <col min="1511" max="1512" width="8" bestFit="1" customWidth="1"/>
    <col min="1513" max="1514" width="7" bestFit="1" customWidth="1"/>
    <col min="1515" max="1515" width="8" bestFit="1" customWidth="1"/>
    <col min="1516" max="1517" width="7" bestFit="1" customWidth="1"/>
    <col min="1518" max="1518" width="8" bestFit="1" customWidth="1"/>
    <col min="1519" max="1522" width="7" bestFit="1" customWidth="1"/>
    <col min="1523" max="1523" width="6" bestFit="1" customWidth="1"/>
    <col min="1524" max="1528" width="7" bestFit="1" customWidth="1"/>
    <col min="1529" max="1530" width="8" bestFit="1" customWidth="1"/>
    <col min="1531" max="1532" width="7" bestFit="1" customWidth="1"/>
    <col min="1533" max="1533" width="6" bestFit="1" customWidth="1"/>
    <col min="1534" max="1536" width="7" bestFit="1" customWidth="1"/>
    <col min="1537" max="1538" width="8" bestFit="1" customWidth="1"/>
    <col min="1539" max="1540" width="7" bestFit="1" customWidth="1"/>
    <col min="1541" max="1541" width="6" bestFit="1" customWidth="1"/>
    <col min="1542" max="1542" width="7" bestFit="1" customWidth="1"/>
    <col min="1543" max="1543" width="8" bestFit="1" customWidth="1"/>
    <col min="1544" max="1545" width="7" bestFit="1" customWidth="1"/>
    <col min="1546" max="1546" width="8" bestFit="1" customWidth="1"/>
    <col min="1547" max="1547" width="7" bestFit="1" customWidth="1"/>
    <col min="1548" max="1548" width="8" bestFit="1" customWidth="1"/>
    <col min="1549" max="1550" width="7" bestFit="1" customWidth="1"/>
    <col min="1551" max="1551" width="8" bestFit="1" customWidth="1"/>
    <col min="1552" max="1553" width="7" bestFit="1" customWidth="1"/>
    <col min="1554" max="1554" width="8" bestFit="1" customWidth="1"/>
    <col min="1555" max="1555" width="7" bestFit="1" customWidth="1"/>
    <col min="1556" max="1556" width="6" bestFit="1" customWidth="1"/>
    <col min="1557" max="1558" width="7" bestFit="1" customWidth="1"/>
    <col min="1559" max="1559" width="8" bestFit="1" customWidth="1"/>
    <col min="1560" max="1560" width="7" bestFit="1" customWidth="1"/>
    <col min="1561" max="1561" width="6" bestFit="1" customWidth="1"/>
    <col min="1562" max="1564" width="7" bestFit="1" customWidth="1"/>
    <col min="1565" max="1565" width="6" bestFit="1" customWidth="1"/>
    <col min="1566" max="1568" width="7" bestFit="1" customWidth="1"/>
    <col min="1569" max="1569" width="8" bestFit="1" customWidth="1"/>
    <col min="1570" max="1570" width="7" bestFit="1" customWidth="1"/>
    <col min="1571" max="1571" width="8" bestFit="1" customWidth="1"/>
    <col min="1572" max="1572" width="7" bestFit="1" customWidth="1"/>
    <col min="1573" max="1573" width="8" bestFit="1" customWidth="1"/>
    <col min="1574" max="1574" width="6" bestFit="1" customWidth="1"/>
    <col min="1575" max="1576" width="8" bestFit="1" customWidth="1"/>
    <col min="1577" max="1577" width="7" bestFit="1" customWidth="1"/>
    <col min="1578" max="1578" width="8" bestFit="1" customWidth="1"/>
    <col min="1579" max="1579" width="7" bestFit="1" customWidth="1"/>
    <col min="1580" max="1581" width="8" bestFit="1" customWidth="1"/>
    <col min="1582" max="1582" width="7" bestFit="1" customWidth="1"/>
    <col min="1583" max="1583" width="6" bestFit="1" customWidth="1"/>
    <col min="1584" max="1584" width="8" bestFit="1" customWidth="1"/>
    <col min="1585" max="1585" width="7" bestFit="1" customWidth="1"/>
    <col min="1586" max="1587" width="8" bestFit="1" customWidth="1"/>
    <col min="1588" max="1590" width="7" bestFit="1" customWidth="1"/>
    <col min="1591" max="1591" width="6" bestFit="1" customWidth="1"/>
    <col min="1592" max="1592" width="4" bestFit="1" customWidth="1"/>
    <col min="1593" max="1593" width="8" bestFit="1" customWidth="1"/>
    <col min="1594" max="1594" width="7" bestFit="1" customWidth="1"/>
    <col min="1595" max="1596" width="8" bestFit="1" customWidth="1"/>
    <col min="1597" max="1597" width="6" bestFit="1" customWidth="1"/>
    <col min="1598" max="1599" width="7" bestFit="1" customWidth="1"/>
    <col min="1600" max="1601" width="8" bestFit="1" customWidth="1"/>
    <col min="1602" max="1603" width="7" bestFit="1" customWidth="1"/>
    <col min="1604" max="1604" width="7.6640625" bestFit="1" customWidth="1"/>
    <col min="1605" max="1609" width="7" bestFit="1" customWidth="1"/>
    <col min="1610" max="1612" width="8" bestFit="1" customWidth="1"/>
    <col min="1613" max="1618" width="7" bestFit="1" customWidth="1"/>
    <col min="1619" max="1619" width="4" bestFit="1" customWidth="1"/>
    <col min="1620" max="1620" width="8" bestFit="1" customWidth="1"/>
    <col min="1621" max="1621" width="6" bestFit="1" customWidth="1"/>
    <col min="1622" max="1624" width="7" bestFit="1" customWidth="1"/>
    <col min="1625" max="1626" width="8" bestFit="1" customWidth="1"/>
    <col min="1627" max="1628" width="7" bestFit="1" customWidth="1"/>
    <col min="1629" max="1629" width="6" bestFit="1" customWidth="1"/>
    <col min="1630" max="1630" width="7" bestFit="1" customWidth="1"/>
    <col min="1631" max="1635" width="8" bestFit="1" customWidth="1"/>
    <col min="1636" max="1638" width="7" bestFit="1" customWidth="1"/>
    <col min="1639" max="1642" width="8" bestFit="1" customWidth="1"/>
    <col min="1643" max="1643" width="7" bestFit="1" customWidth="1"/>
    <col min="1644" max="1644" width="8" bestFit="1" customWidth="1"/>
    <col min="1645" max="1647" width="7" bestFit="1" customWidth="1"/>
    <col min="1648" max="1649" width="6" bestFit="1" customWidth="1"/>
    <col min="1650" max="1654" width="7" bestFit="1" customWidth="1"/>
    <col min="1655" max="1657" width="8" bestFit="1" customWidth="1"/>
    <col min="1658" max="1660" width="7" bestFit="1" customWidth="1"/>
    <col min="1661" max="1662" width="8" bestFit="1" customWidth="1"/>
    <col min="1663" max="1663" width="6" bestFit="1" customWidth="1"/>
    <col min="1664" max="1664" width="7" bestFit="1" customWidth="1"/>
    <col min="1665" max="1665" width="6" bestFit="1" customWidth="1"/>
    <col min="1666" max="1666" width="7" bestFit="1" customWidth="1"/>
    <col min="1667" max="1667" width="8" bestFit="1" customWidth="1"/>
    <col min="1668" max="1668" width="7" bestFit="1" customWidth="1"/>
    <col min="1669" max="1672" width="8" bestFit="1" customWidth="1"/>
    <col min="1673" max="1673" width="7" bestFit="1" customWidth="1"/>
    <col min="1674" max="1675" width="6" bestFit="1" customWidth="1"/>
    <col min="1676" max="1676" width="8" bestFit="1" customWidth="1"/>
    <col min="1677" max="1679" width="7" bestFit="1" customWidth="1"/>
    <col min="1680" max="1681" width="8" bestFit="1" customWidth="1"/>
    <col min="1682" max="1684" width="7" bestFit="1" customWidth="1"/>
    <col min="1685" max="1685" width="8" bestFit="1" customWidth="1"/>
    <col min="1686" max="1691" width="7" bestFit="1" customWidth="1"/>
    <col min="1692" max="1692" width="8" bestFit="1" customWidth="1"/>
    <col min="1693" max="1693" width="7" bestFit="1" customWidth="1"/>
    <col min="1694" max="1695" width="8" bestFit="1" customWidth="1"/>
    <col min="1696" max="1696" width="7" bestFit="1" customWidth="1"/>
    <col min="1697" max="1698" width="8" bestFit="1" customWidth="1"/>
    <col min="1699" max="1699" width="7" bestFit="1" customWidth="1"/>
    <col min="1700" max="1700" width="8" bestFit="1" customWidth="1"/>
    <col min="1701" max="1701" width="7" bestFit="1" customWidth="1"/>
    <col min="1702" max="1703" width="8" bestFit="1" customWidth="1"/>
    <col min="1704" max="1705" width="7" bestFit="1" customWidth="1"/>
    <col min="1706" max="1706" width="8" bestFit="1" customWidth="1"/>
    <col min="1707" max="1708" width="7" bestFit="1" customWidth="1"/>
    <col min="1709" max="1711" width="8" bestFit="1" customWidth="1"/>
    <col min="1712" max="1713" width="7" bestFit="1" customWidth="1"/>
    <col min="1714" max="1716" width="8" bestFit="1" customWidth="1"/>
    <col min="1717" max="1721" width="7" bestFit="1" customWidth="1"/>
    <col min="1722" max="1723" width="8" bestFit="1" customWidth="1"/>
    <col min="1724" max="1726" width="7" bestFit="1" customWidth="1"/>
    <col min="1727" max="1727" width="4" bestFit="1" customWidth="1"/>
    <col min="1728" max="1728" width="6" bestFit="1" customWidth="1"/>
    <col min="1729" max="1729" width="8" bestFit="1" customWidth="1"/>
    <col min="1730" max="1730" width="7" bestFit="1" customWidth="1"/>
    <col min="1731" max="1731" width="8" bestFit="1" customWidth="1"/>
    <col min="1732" max="1732" width="4" bestFit="1" customWidth="1"/>
    <col min="1733" max="1733" width="8" bestFit="1" customWidth="1"/>
    <col min="1734" max="1735" width="7" bestFit="1" customWidth="1"/>
    <col min="1736" max="1736" width="8" bestFit="1" customWidth="1"/>
    <col min="1737" max="1737" width="7" bestFit="1" customWidth="1"/>
    <col min="1738" max="1738" width="8" bestFit="1" customWidth="1"/>
    <col min="1739" max="1739" width="6" bestFit="1" customWidth="1"/>
    <col min="1740" max="1740" width="7" bestFit="1" customWidth="1"/>
    <col min="1741" max="1741" width="8" bestFit="1" customWidth="1"/>
    <col min="1742" max="1743" width="7" bestFit="1" customWidth="1"/>
    <col min="1744" max="1747" width="8" bestFit="1" customWidth="1"/>
    <col min="1748" max="1748" width="7" bestFit="1" customWidth="1"/>
    <col min="1749" max="1749" width="8" bestFit="1" customWidth="1"/>
    <col min="1750" max="1750" width="7" bestFit="1" customWidth="1"/>
    <col min="1751" max="1753" width="8" bestFit="1" customWidth="1"/>
    <col min="1754" max="1755" width="7" bestFit="1" customWidth="1"/>
    <col min="1756" max="1756" width="8" bestFit="1" customWidth="1"/>
    <col min="1757" max="1757" width="7" bestFit="1" customWidth="1"/>
    <col min="1758" max="1758" width="8" bestFit="1" customWidth="1"/>
    <col min="1759" max="1759" width="7" bestFit="1" customWidth="1"/>
    <col min="1760" max="1762" width="8" bestFit="1" customWidth="1"/>
    <col min="1763" max="1764" width="7" bestFit="1" customWidth="1"/>
    <col min="1765" max="1765" width="8" bestFit="1" customWidth="1"/>
    <col min="1766" max="1769" width="7" bestFit="1" customWidth="1"/>
    <col min="1770" max="1770" width="6" bestFit="1" customWidth="1"/>
    <col min="1771" max="1771" width="8" bestFit="1" customWidth="1"/>
    <col min="1772" max="1773" width="7" bestFit="1" customWidth="1"/>
    <col min="1774" max="1774" width="9" bestFit="1" customWidth="1"/>
    <col min="1775" max="1776" width="7" bestFit="1" customWidth="1"/>
    <col min="1777" max="1779" width="8" bestFit="1" customWidth="1"/>
    <col min="1780" max="1780" width="7" bestFit="1" customWidth="1"/>
    <col min="1781" max="1782" width="8" bestFit="1" customWidth="1"/>
    <col min="1783" max="1787" width="7" bestFit="1" customWidth="1"/>
    <col min="1788" max="1789" width="8" bestFit="1" customWidth="1"/>
    <col min="1790" max="1790" width="7" bestFit="1" customWidth="1"/>
    <col min="1791" max="1791" width="7.6640625" bestFit="1" customWidth="1"/>
    <col min="1792" max="1792" width="4" bestFit="1" customWidth="1"/>
    <col min="1793" max="1797" width="7" bestFit="1" customWidth="1"/>
    <col min="1798" max="1804" width="8" bestFit="1" customWidth="1"/>
    <col min="1805" max="1810" width="7" bestFit="1" customWidth="1"/>
    <col min="1811" max="1811" width="8" bestFit="1" customWidth="1"/>
    <col min="1812" max="1812" width="6" bestFit="1" customWidth="1"/>
    <col min="1813" max="1814" width="8" bestFit="1" customWidth="1"/>
    <col min="1815" max="1815" width="7" bestFit="1" customWidth="1"/>
    <col min="1816" max="1816" width="8" bestFit="1" customWidth="1"/>
    <col min="1817" max="1824" width="7" bestFit="1" customWidth="1"/>
    <col min="1825" max="1825" width="8" bestFit="1" customWidth="1"/>
    <col min="1826" max="1827" width="7" bestFit="1" customWidth="1"/>
    <col min="1828" max="1834" width="8" bestFit="1" customWidth="1"/>
    <col min="1835" max="1837" width="7" bestFit="1" customWidth="1"/>
    <col min="1838" max="1842" width="8" bestFit="1" customWidth="1"/>
    <col min="1843" max="1845" width="7" bestFit="1" customWidth="1"/>
    <col min="1846" max="1846" width="8" bestFit="1" customWidth="1"/>
    <col min="1847" max="1847" width="6" bestFit="1" customWidth="1"/>
    <col min="1848" max="1848" width="7" bestFit="1" customWidth="1"/>
    <col min="1849" max="1849" width="9" bestFit="1" customWidth="1"/>
    <col min="1850" max="1852" width="8" bestFit="1" customWidth="1"/>
    <col min="1853" max="1853" width="7" bestFit="1" customWidth="1"/>
    <col min="1854" max="1854" width="8" bestFit="1" customWidth="1"/>
    <col min="1855" max="1855" width="7" bestFit="1" customWidth="1"/>
    <col min="1856" max="1856" width="8" bestFit="1" customWidth="1"/>
    <col min="1857" max="1857" width="7" bestFit="1" customWidth="1"/>
    <col min="1858" max="1860" width="8" bestFit="1" customWidth="1"/>
    <col min="1861" max="1861" width="7" bestFit="1" customWidth="1"/>
    <col min="1862" max="1862" width="6" bestFit="1" customWidth="1"/>
    <col min="1863" max="1863" width="4" bestFit="1" customWidth="1"/>
    <col min="1864" max="1864" width="6" bestFit="1" customWidth="1"/>
    <col min="1865" max="1865" width="8" bestFit="1" customWidth="1"/>
    <col min="1866" max="1866" width="7" bestFit="1" customWidth="1"/>
    <col min="1867" max="1868" width="8" bestFit="1" customWidth="1"/>
    <col min="1869" max="1869" width="7" bestFit="1" customWidth="1"/>
    <col min="1870" max="1870" width="6" bestFit="1" customWidth="1"/>
    <col min="1871" max="1871" width="8" bestFit="1" customWidth="1"/>
    <col min="1872" max="1872" width="7" bestFit="1" customWidth="1"/>
    <col min="1873" max="1873" width="6" bestFit="1" customWidth="1"/>
    <col min="1874" max="1874" width="8" bestFit="1" customWidth="1"/>
    <col min="1875" max="1875" width="7" bestFit="1" customWidth="1"/>
    <col min="1876" max="1876" width="6" bestFit="1" customWidth="1"/>
    <col min="1877" max="1877" width="7" bestFit="1" customWidth="1"/>
    <col min="1878" max="1878" width="4" bestFit="1" customWidth="1"/>
    <col min="1879" max="1880" width="8" bestFit="1" customWidth="1"/>
    <col min="1881" max="1881" width="7" bestFit="1" customWidth="1"/>
    <col min="1882" max="1882" width="8" bestFit="1" customWidth="1"/>
    <col min="1883" max="1883" width="7" bestFit="1" customWidth="1"/>
    <col min="1884" max="1885" width="8" bestFit="1" customWidth="1"/>
    <col min="1886" max="1886" width="7" bestFit="1" customWidth="1"/>
    <col min="1887" max="1887" width="6" bestFit="1" customWidth="1"/>
    <col min="1888" max="1888" width="8" bestFit="1" customWidth="1"/>
    <col min="1889" max="1889" width="7" bestFit="1" customWidth="1"/>
    <col min="1890" max="1890" width="8" bestFit="1" customWidth="1"/>
    <col min="1891" max="1891" width="4" bestFit="1" customWidth="1"/>
    <col min="1892" max="1892" width="8" bestFit="1" customWidth="1"/>
    <col min="1893" max="1893" width="7" bestFit="1" customWidth="1"/>
    <col min="1894" max="1894" width="8" bestFit="1" customWidth="1"/>
    <col min="1895" max="1896" width="7" bestFit="1" customWidth="1"/>
    <col min="1897" max="1897" width="6" bestFit="1" customWidth="1"/>
    <col min="1898" max="1900" width="7" bestFit="1" customWidth="1"/>
    <col min="1901" max="1902" width="8" bestFit="1" customWidth="1"/>
    <col min="1903" max="1904" width="7" bestFit="1" customWidth="1"/>
    <col min="1905" max="1905" width="8" bestFit="1" customWidth="1"/>
    <col min="1906" max="1906" width="7" bestFit="1" customWidth="1"/>
    <col min="1907" max="1908" width="8" bestFit="1" customWidth="1"/>
    <col min="1909" max="1909" width="7" bestFit="1" customWidth="1"/>
    <col min="1910" max="1910" width="8" bestFit="1" customWidth="1"/>
    <col min="1911" max="1912" width="7" bestFit="1" customWidth="1"/>
    <col min="1913" max="1914" width="8" bestFit="1" customWidth="1"/>
    <col min="1915" max="1917" width="7" bestFit="1" customWidth="1"/>
    <col min="1918" max="1919" width="8" bestFit="1" customWidth="1"/>
    <col min="1920" max="1920" width="6" bestFit="1" customWidth="1"/>
    <col min="1921" max="1921" width="7" bestFit="1" customWidth="1"/>
    <col min="1922" max="1923" width="8" bestFit="1" customWidth="1"/>
    <col min="1924" max="1924" width="7" bestFit="1" customWidth="1"/>
    <col min="1925" max="1926" width="8" bestFit="1" customWidth="1"/>
    <col min="1927" max="1929" width="7" bestFit="1" customWidth="1"/>
    <col min="1930" max="1930" width="6" bestFit="1" customWidth="1"/>
    <col min="1931" max="1931" width="7" bestFit="1" customWidth="1"/>
    <col min="1932" max="1933" width="6" bestFit="1" customWidth="1"/>
    <col min="1934" max="1934" width="7" bestFit="1" customWidth="1"/>
    <col min="1935" max="1936" width="8" bestFit="1" customWidth="1"/>
    <col min="1937" max="1937" width="7" bestFit="1" customWidth="1"/>
    <col min="1938" max="1939" width="8" bestFit="1" customWidth="1"/>
    <col min="1940" max="1940" width="4" bestFit="1" customWidth="1"/>
    <col min="1941" max="1942" width="8" bestFit="1" customWidth="1"/>
    <col min="1943" max="1943" width="7" bestFit="1" customWidth="1"/>
    <col min="1944" max="1944" width="6" bestFit="1" customWidth="1"/>
    <col min="1945" max="1945" width="8" bestFit="1" customWidth="1"/>
    <col min="1946" max="1947" width="7" bestFit="1" customWidth="1"/>
    <col min="1948" max="1948" width="8" bestFit="1" customWidth="1"/>
    <col min="1949" max="1949" width="6" bestFit="1" customWidth="1"/>
    <col min="1950" max="1955" width="8" bestFit="1" customWidth="1"/>
    <col min="1956" max="1957" width="6" bestFit="1" customWidth="1"/>
    <col min="1958" max="1958" width="8" bestFit="1" customWidth="1"/>
    <col min="1959" max="1959" width="6" bestFit="1" customWidth="1"/>
    <col min="1960" max="1960" width="7" bestFit="1" customWidth="1"/>
    <col min="1961" max="1961" width="9" bestFit="1" customWidth="1"/>
    <col min="1962" max="1962" width="8" bestFit="1" customWidth="1"/>
    <col min="1963" max="1963" width="7" bestFit="1" customWidth="1"/>
    <col min="1964" max="1964" width="6" bestFit="1" customWidth="1"/>
    <col min="1965" max="1969" width="8" bestFit="1" customWidth="1"/>
    <col min="1970" max="1971" width="7" bestFit="1" customWidth="1"/>
    <col min="1972" max="1976" width="8" bestFit="1" customWidth="1"/>
    <col min="1977" max="1977" width="6" bestFit="1" customWidth="1"/>
    <col min="1978" max="1978" width="8" bestFit="1" customWidth="1"/>
    <col min="1979" max="1981" width="7" bestFit="1" customWidth="1"/>
    <col min="1982" max="1982" width="8" bestFit="1" customWidth="1"/>
    <col min="1983" max="1985" width="7" bestFit="1" customWidth="1"/>
    <col min="1986" max="1987" width="8" bestFit="1" customWidth="1"/>
    <col min="1988" max="1988" width="7" bestFit="1" customWidth="1"/>
    <col min="1989" max="1989" width="8" bestFit="1" customWidth="1"/>
    <col min="1990" max="1990" width="4" bestFit="1" customWidth="1"/>
    <col min="1991" max="1991" width="8" bestFit="1" customWidth="1"/>
    <col min="1992" max="1992" width="7" bestFit="1" customWidth="1"/>
    <col min="1993" max="1994" width="8" bestFit="1" customWidth="1"/>
    <col min="1995" max="1995" width="7" bestFit="1" customWidth="1"/>
    <col min="1996" max="1996" width="8" bestFit="1" customWidth="1"/>
    <col min="1997" max="1997" width="7" bestFit="1" customWidth="1"/>
    <col min="1998" max="1998" width="8" bestFit="1" customWidth="1"/>
    <col min="1999" max="1999" width="7" bestFit="1" customWidth="1"/>
    <col min="2000" max="2000" width="8" bestFit="1" customWidth="1"/>
    <col min="2001" max="2001" width="7" bestFit="1" customWidth="1"/>
    <col min="2002" max="2002" width="8" bestFit="1" customWidth="1"/>
    <col min="2003" max="2005" width="7" bestFit="1" customWidth="1"/>
    <col min="2006" max="2006" width="8" bestFit="1" customWidth="1"/>
    <col min="2007" max="2007" width="7" bestFit="1" customWidth="1"/>
    <col min="2008" max="2008" width="6" bestFit="1" customWidth="1"/>
    <col min="2009" max="2009" width="8" bestFit="1" customWidth="1"/>
    <col min="2010" max="2015" width="7" bestFit="1" customWidth="1"/>
    <col min="2016" max="2017" width="8" bestFit="1" customWidth="1"/>
    <col min="2018" max="2019" width="7" bestFit="1" customWidth="1"/>
    <col min="2020" max="2022" width="8" bestFit="1" customWidth="1"/>
    <col min="2023" max="2023" width="7" bestFit="1" customWidth="1"/>
    <col min="2024" max="2024" width="8" bestFit="1" customWidth="1"/>
    <col min="2025" max="2025" width="7" bestFit="1" customWidth="1"/>
    <col min="2026" max="2026" width="8" bestFit="1" customWidth="1"/>
    <col min="2027" max="2027" width="7" bestFit="1" customWidth="1"/>
    <col min="2028" max="2030" width="8" bestFit="1" customWidth="1"/>
    <col min="2031" max="2032" width="7" bestFit="1" customWidth="1"/>
    <col min="2033" max="2033" width="8" bestFit="1" customWidth="1"/>
    <col min="2034" max="2034" width="9" bestFit="1" customWidth="1"/>
    <col min="2035" max="2035" width="7" bestFit="1" customWidth="1"/>
    <col min="2036" max="2036" width="10.77734375" bestFit="1" customWidth="1"/>
    <col min="2037" max="2037" width="7" bestFit="1" customWidth="1"/>
    <col min="2038" max="2038" width="8" bestFit="1" customWidth="1"/>
    <col min="2039" max="2039" width="7" bestFit="1" customWidth="1"/>
    <col min="2040" max="2040" width="6" bestFit="1" customWidth="1"/>
    <col min="2041" max="2042" width="8" bestFit="1" customWidth="1"/>
    <col min="2043" max="2044" width="7" bestFit="1" customWidth="1"/>
    <col min="2045" max="2046" width="8" bestFit="1" customWidth="1"/>
    <col min="2047" max="2047" width="6" bestFit="1" customWidth="1"/>
    <col min="2048" max="2049" width="7" bestFit="1" customWidth="1"/>
    <col min="2050" max="2051" width="8" bestFit="1" customWidth="1"/>
    <col min="2052" max="2052" width="6" bestFit="1" customWidth="1"/>
    <col min="2053" max="2057" width="8" bestFit="1" customWidth="1"/>
    <col min="2058" max="2058" width="7" bestFit="1" customWidth="1"/>
    <col min="2059" max="2059" width="8" bestFit="1" customWidth="1"/>
    <col min="2060" max="2060" width="6" bestFit="1" customWidth="1"/>
    <col min="2061" max="2061" width="8" bestFit="1" customWidth="1"/>
    <col min="2062" max="2062" width="7" bestFit="1" customWidth="1"/>
    <col min="2063" max="2063" width="8" bestFit="1" customWidth="1"/>
    <col min="2064" max="2065" width="7" bestFit="1" customWidth="1"/>
    <col min="2066" max="2066" width="8" bestFit="1" customWidth="1"/>
    <col min="2067" max="2067" width="6" bestFit="1" customWidth="1"/>
    <col min="2068" max="2068" width="7" bestFit="1" customWidth="1"/>
    <col min="2069" max="2070" width="8" bestFit="1" customWidth="1"/>
    <col min="2071" max="2071" width="7" bestFit="1" customWidth="1"/>
    <col min="2072" max="2072" width="8" bestFit="1" customWidth="1"/>
    <col min="2073" max="2073" width="7" bestFit="1" customWidth="1"/>
    <col min="2074" max="2074" width="8" bestFit="1" customWidth="1"/>
    <col min="2075" max="2075" width="7" bestFit="1" customWidth="1"/>
    <col min="2076" max="2076" width="8" bestFit="1" customWidth="1"/>
    <col min="2077" max="2077" width="7" bestFit="1" customWidth="1"/>
    <col min="2078" max="2079" width="8" bestFit="1" customWidth="1"/>
    <col min="2080" max="2080" width="7" bestFit="1" customWidth="1"/>
    <col min="2081" max="2081" width="8" bestFit="1" customWidth="1"/>
    <col min="2082" max="2082" width="7" bestFit="1" customWidth="1"/>
    <col min="2083" max="2098" width="8" bestFit="1" customWidth="1"/>
    <col min="2099" max="2099" width="7" bestFit="1" customWidth="1"/>
    <col min="2100" max="2100" width="8" bestFit="1" customWidth="1"/>
    <col min="2101" max="2104" width="7" bestFit="1" customWidth="1"/>
    <col min="2105" max="2105" width="6" bestFit="1" customWidth="1"/>
    <col min="2106" max="2107" width="8" bestFit="1" customWidth="1"/>
    <col min="2108" max="2108" width="7" bestFit="1" customWidth="1"/>
    <col min="2109" max="2111" width="8" bestFit="1" customWidth="1"/>
    <col min="2112" max="2112" width="6" bestFit="1" customWidth="1"/>
    <col min="2113" max="2113" width="8" bestFit="1" customWidth="1"/>
    <col min="2114" max="2114" width="7" bestFit="1" customWidth="1"/>
    <col min="2115" max="2115" width="8" bestFit="1" customWidth="1"/>
    <col min="2116" max="2116" width="7" bestFit="1" customWidth="1"/>
    <col min="2117" max="2117" width="8" bestFit="1" customWidth="1"/>
    <col min="2118" max="2118" width="7" bestFit="1" customWidth="1"/>
    <col min="2119" max="2119" width="8" bestFit="1" customWidth="1"/>
    <col min="2120" max="2120" width="6" bestFit="1" customWidth="1"/>
    <col min="2121" max="2122" width="8" bestFit="1" customWidth="1"/>
    <col min="2123" max="2123" width="7" bestFit="1" customWidth="1"/>
    <col min="2124" max="2124" width="6" bestFit="1" customWidth="1"/>
    <col min="2125" max="2127" width="8" bestFit="1" customWidth="1"/>
    <col min="2128" max="2129" width="7" bestFit="1" customWidth="1"/>
    <col min="2130" max="2130" width="6" bestFit="1" customWidth="1"/>
    <col min="2131" max="2132" width="7" bestFit="1" customWidth="1"/>
    <col min="2133" max="2136" width="8" bestFit="1" customWidth="1"/>
    <col min="2137" max="2137" width="7" bestFit="1" customWidth="1"/>
    <col min="2138" max="2138" width="5" bestFit="1" customWidth="1"/>
    <col min="2139" max="2139" width="8" bestFit="1" customWidth="1"/>
    <col min="2140" max="2141" width="7" bestFit="1" customWidth="1"/>
    <col min="2142" max="2145" width="8" bestFit="1" customWidth="1"/>
    <col min="2146" max="2148" width="6" bestFit="1" customWidth="1"/>
    <col min="2149" max="2149" width="7" bestFit="1" customWidth="1"/>
    <col min="2150" max="2151" width="8" bestFit="1" customWidth="1"/>
    <col min="2152" max="2155" width="7" bestFit="1" customWidth="1"/>
    <col min="2156" max="2157" width="8" bestFit="1" customWidth="1"/>
    <col min="2158" max="2161" width="7" bestFit="1" customWidth="1"/>
    <col min="2162" max="2162" width="8" bestFit="1" customWidth="1"/>
    <col min="2163" max="2164" width="7" bestFit="1" customWidth="1"/>
    <col min="2165" max="2165" width="6" bestFit="1" customWidth="1"/>
    <col min="2166" max="2171" width="8" bestFit="1" customWidth="1"/>
    <col min="2172" max="2172" width="7" bestFit="1" customWidth="1"/>
    <col min="2173" max="2175" width="8" bestFit="1" customWidth="1"/>
    <col min="2176" max="2177" width="7" bestFit="1" customWidth="1"/>
    <col min="2178" max="2178" width="8" bestFit="1" customWidth="1"/>
    <col min="2179" max="2179" width="7" bestFit="1" customWidth="1"/>
    <col min="2180" max="2182" width="8" bestFit="1" customWidth="1"/>
    <col min="2183" max="2183" width="7" bestFit="1" customWidth="1"/>
    <col min="2184" max="2190" width="8" bestFit="1" customWidth="1"/>
    <col min="2191" max="2191" width="7" bestFit="1" customWidth="1"/>
    <col min="2192" max="2194" width="8" bestFit="1" customWidth="1"/>
    <col min="2195" max="2195" width="7" bestFit="1" customWidth="1"/>
    <col min="2196" max="2196" width="8" bestFit="1" customWidth="1"/>
    <col min="2197" max="2200" width="7" bestFit="1" customWidth="1"/>
    <col min="2201" max="2207" width="8" bestFit="1" customWidth="1"/>
    <col min="2208" max="2208" width="6" bestFit="1" customWidth="1"/>
    <col min="2209" max="2211" width="8" bestFit="1" customWidth="1"/>
    <col min="2212" max="2213" width="7" bestFit="1" customWidth="1"/>
    <col min="2214" max="2215" width="8" bestFit="1" customWidth="1"/>
    <col min="2216" max="2218" width="7" bestFit="1" customWidth="1"/>
    <col min="2219" max="2226" width="8" bestFit="1" customWidth="1"/>
    <col min="2227" max="2227" width="6" bestFit="1" customWidth="1"/>
    <col min="2228" max="2230" width="8" bestFit="1" customWidth="1"/>
    <col min="2231" max="2231" width="7" bestFit="1" customWidth="1"/>
    <col min="2232" max="2233" width="8" bestFit="1" customWidth="1"/>
    <col min="2234" max="2234" width="5" bestFit="1" customWidth="1"/>
    <col min="2235" max="2236" width="6" bestFit="1" customWidth="1"/>
    <col min="2237" max="2237" width="7" bestFit="1" customWidth="1"/>
    <col min="2238" max="2239" width="8" bestFit="1" customWidth="1"/>
    <col min="2240" max="2241" width="9" bestFit="1" customWidth="1"/>
    <col min="2242" max="2242" width="8" bestFit="1" customWidth="1"/>
    <col min="2243" max="2245" width="9" bestFit="1" customWidth="1"/>
    <col min="2246" max="2246" width="8" bestFit="1" customWidth="1"/>
    <col min="2247" max="2247" width="9" bestFit="1" customWidth="1"/>
    <col min="2248" max="2248" width="8" bestFit="1" customWidth="1"/>
    <col min="2249" max="2251" width="9" bestFit="1" customWidth="1"/>
    <col min="2252" max="2252" width="7" bestFit="1" customWidth="1"/>
    <col min="2253" max="2256" width="9" bestFit="1" customWidth="1"/>
    <col min="2257" max="2260" width="8" bestFit="1" customWidth="1"/>
    <col min="2261" max="2264" width="9" bestFit="1" customWidth="1"/>
    <col min="2265" max="2266" width="8" bestFit="1" customWidth="1"/>
    <col min="2267" max="2268" width="9" bestFit="1" customWidth="1"/>
    <col min="2269" max="2269" width="8" bestFit="1" customWidth="1"/>
    <col min="2270" max="2272" width="9" bestFit="1" customWidth="1"/>
    <col min="2273" max="2273" width="8" bestFit="1" customWidth="1"/>
    <col min="2274" max="2275" width="9" bestFit="1" customWidth="1"/>
    <col min="2276" max="2276" width="8" bestFit="1" customWidth="1"/>
    <col min="2277" max="2281" width="9" bestFit="1" customWidth="1"/>
    <col min="2282" max="2282" width="8" bestFit="1" customWidth="1"/>
    <col min="2283" max="2283" width="7" bestFit="1" customWidth="1"/>
    <col min="2284" max="2284" width="9" bestFit="1" customWidth="1"/>
    <col min="2285" max="2288" width="8" bestFit="1" customWidth="1"/>
    <col min="2289" max="2289" width="7" bestFit="1" customWidth="1"/>
    <col min="2290" max="2291" width="8" bestFit="1" customWidth="1"/>
    <col min="2292" max="2292" width="9" bestFit="1" customWidth="1"/>
    <col min="2293" max="2293" width="7" bestFit="1" customWidth="1"/>
    <col min="2294" max="2294" width="9" bestFit="1" customWidth="1"/>
    <col min="2295" max="2295" width="4" bestFit="1" customWidth="1"/>
    <col min="2296" max="2296" width="9" bestFit="1" customWidth="1"/>
    <col min="2297" max="2298" width="8" bestFit="1" customWidth="1"/>
    <col min="2299" max="2302" width="9" bestFit="1" customWidth="1"/>
    <col min="2303" max="2303" width="8" bestFit="1" customWidth="1"/>
    <col min="2304" max="2306" width="9" bestFit="1" customWidth="1"/>
    <col min="2307" max="2307" width="10.77734375" bestFit="1" customWidth="1"/>
  </cols>
  <sheetData>
    <row r="2" spans="1:24" x14ac:dyDescent="0.3">
      <c r="A2" s="3" t="s">
        <v>3793</v>
      </c>
      <c r="C2" s="3" t="s">
        <v>3794</v>
      </c>
      <c r="D2" s="6" t="s">
        <v>3815</v>
      </c>
      <c r="E2" s="3" t="s">
        <v>3797</v>
      </c>
      <c r="G2" s="3" t="s">
        <v>3798</v>
      </c>
      <c r="I2" s="3" t="s">
        <v>3799</v>
      </c>
      <c r="K2" s="3"/>
      <c r="M2" s="3" t="s">
        <v>3805</v>
      </c>
      <c r="P2" s="8" t="s">
        <v>3819</v>
      </c>
      <c r="Q2" s="8"/>
      <c r="S2" s="6" t="s">
        <v>3822</v>
      </c>
      <c r="T2" s="6"/>
      <c r="U2" s="6"/>
      <c r="V2" s="6"/>
      <c r="W2" s="6"/>
      <c r="X2" s="6"/>
    </row>
    <row r="3" spans="1:24" x14ac:dyDescent="0.3">
      <c r="A3" t="s">
        <v>3792</v>
      </c>
      <c r="C3" t="s">
        <v>3794</v>
      </c>
      <c r="D3">
        <f>GETPIVOTDATA("sales",$A$3)</f>
        <v>64695.27649999992</v>
      </c>
      <c r="E3" t="s">
        <v>3796</v>
      </c>
      <c r="G3" t="s">
        <v>3798</v>
      </c>
      <c r="I3" t="s">
        <v>3814</v>
      </c>
      <c r="J3" s="6" t="s">
        <v>3799</v>
      </c>
      <c r="M3" t="s">
        <v>3804</v>
      </c>
      <c r="N3" s="6" t="s">
        <v>3816</v>
      </c>
      <c r="P3" s="2" t="s">
        <v>3801</v>
      </c>
      <c r="Q3" t="s">
        <v>3804</v>
      </c>
    </row>
    <row r="4" spans="1:24" x14ac:dyDescent="0.3">
      <c r="A4" s="9">
        <v>64695.27649999992</v>
      </c>
      <c r="C4" s="9">
        <v>705</v>
      </c>
      <c r="E4" s="9">
        <v>705</v>
      </c>
      <c r="G4" s="9">
        <v>91.766349645389951</v>
      </c>
      <c r="I4" s="9">
        <v>10760.580199999997</v>
      </c>
      <c r="J4">
        <f>GETPIVOTDATA("profit",$I$3)</f>
        <v>10760.580199999997</v>
      </c>
      <c r="M4" s="9">
        <v>3.9858156028368796</v>
      </c>
      <c r="N4">
        <f>GETPIVOTDATA("shipping_days",$M$3)</f>
        <v>3.9858156028368796</v>
      </c>
      <c r="P4" s="5" t="s">
        <v>61</v>
      </c>
      <c r="Q4" s="9">
        <v>4.24</v>
      </c>
    </row>
    <row r="5" spans="1:24" x14ac:dyDescent="0.3">
      <c r="P5" s="5" t="s">
        <v>35</v>
      </c>
      <c r="Q5" s="9">
        <v>4.666666666666667</v>
      </c>
    </row>
    <row r="6" spans="1:24" x14ac:dyDescent="0.3">
      <c r="A6" s="3" t="s">
        <v>3806</v>
      </c>
      <c r="C6" s="8" t="s">
        <v>3807</v>
      </c>
      <c r="D6" s="8"/>
      <c r="G6" s="8" t="s">
        <v>3810</v>
      </c>
      <c r="H6" s="8"/>
      <c r="J6" s="8" t="s">
        <v>3811</v>
      </c>
      <c r="K6" s="8"/>
      <c r="P6" s="5" t="s">
        <v>31</v>
      </c>
      <c r="Q6" s="9">
        <v>4.0227272727272725</v>
      </c>
    </row>
    <row r="7" spans="1:24" x14ac:dyDescent="0.3">
      <c r="A7" t="s">
        <v>3806</v>
      </c>
      <c r="C7" s="2" t="s">
        <v>3801</v>
      </c>
      <c r="D7" t="s">
        <v>3795</v>
      </c>
      <c r="G7" s="2" t="s">
        <v>3801</v>
      </c>
      <c r="H7" t="s">
        <v>3795</v>
      </c>
      <c r="J7" s="2" t="s">
        <v>3801</v>
      </c>
      <c r="K7" t="s">
        <v>3791</v>
      </c>
      <c r="M7" s="3" t="s">
        <v>3800</v>
      </c>
      <c r="P7" s="5" t="s">
        <v>33</v>
      </c>
      <c r="Q7" s="9">
        <v>3.783582089552239</v>
      </c>
    </row>
    <row r="8" spans="1:24" x14ac:dyDescent="0.3">
      <c r="A8" s="9">
        <v>16.01418439716312</v>
      </c>
      <c r="C8" s="5" t="s">
        <v>3808</v>
      </c>
      <c r="D8" s="9">
        <v>631</v>
      </c>
      <c r="G8" s="5" t="s">
        <v>3808</v>
      </c>
      <c r="H8" s="9">
        <v>608</v>
      </c>
      <c r="J8" s="5" t="s">
        <v>1538</v>
      </c>
      <c r="K8" s="9">
        <v>1045.788</v>
      </c>
      <c r="M8" t="s">
        <v>3803</v>
      </c>
      <c r="N8" s="6" t="s">
        <v>3800</v>
      </c>
      <c r="P8" s="5" t="s">
        <v>317</v>
      </c>
      <c r="Q8" s="9">
        <v>3.3636363636363638</v>
      </c>
    </row>
    <row r="9" spans="1:24" x14ac:dyDescent="0.3">
      <c r="C9" s="5" t="s">
        <v>3809</v>
      </c>
      <c r="D9" s="9">
        <v>74</v>
      </c>
      <c r="G9" s="5" t="s">
        <v>3809</v>
      </c>
      <c r="H9" s="9">
        <v>97</v>
      </c>
      <c r="J9" s="5" t="s">
        <v>689</v>
      </c>
      <c r="K9" s="9">
        <v>19.440000000000001</v>
      </c>
      <c r="M9" s="4">
        <v>0.16632713827260651</v>
      </c>
      <c r="N9" s="7">
        <f>GETPIVOTDATA("Profit Margin",$M$8)</f>
        <v>0.16632713827260651</v>
      </c>
      <c r="P9" s="5" t="s">
        <v>110</v>
      </c>
      <c r="Q9" s="9">
        <v>3.4615384615384617</v>
      </c>
    </row>
    <row r="10" spans="1:24" x14ac:dyDescent="0.3">
      <c r="C10" s="5" t="s">
        <v>3802</v>
      </c>
      <c r="D10" s="9">
        <v>705</v>
      </c>
      <c r="G10" s="5" t="s">
        <v>3802</v>
      </c>
      <c r="H10" s="9">
        <v>705</v>
      </c>
      <c r="J10" s="5" t="s">
        <v>224</v>
      </c>
      <c r="K10" s="9">
        <v>503.4</v>
      </c>
      <c r="P10" s="5" t="s">
        <v>1342</v>
      </c>
      <c r="Q10" s="9">
        <v>6</v>
      </c>
    </row>
    <row r="11" spans="1:24" x14ac:dyDescent="0.3">
      <c r="J11" s="5" t="s">
        <v>1030</v>
      </c>
      <c r="K11" s="9">
        <v>4.18</v>
      </c>
      <c r="P11" s="5" t="s">
        <v>128</v>
      </c>
      <c r="Q11" s="9">
        <v>3.7</v>
      </c>
    </row>
    <row r="12" spans="1:24" x14ac:dyDescent="0.3">
      <c r="J12" s="5" t="s">
        <v>99</v>
      </c>
      <c r="K12" s="9">
        <v>851.56200000000001</v>
      </c>
      <c r="M12" s="3" t="s">
        <v>3794</v>
      </c>
      <c r="P12" s="5" t="s">
        <v>119</v>
      </c>
      <c r="Q12" s="9">
        <v>3.7333333333333334</v>
      </c>
    </row>
    <row r="13" spans="1:24" x14ac:dyDescent="0.3">
      <c r="J13" s="5" t="s">
        <v>1515</v>
      </c>
      <c r="K13" s="9">
        <v>87.274000000000001</v>
      </c>
      <c r="M13" t="s">
        <v>3795</v>
      </c>
      <c r="N13" s="6" t="s">
        <v>3794</v>
      </c>
      <c r="P13" s="5" t="s">
        <v>29</v>
      </c>
      <c r="Q13" s="9">
        <v>4.3382352941176467</v>
      </c>
    </row>
    <row r="14" spans="1:24" x14ac:dyDescent="0.3">
      <c r="A14" s="8" t="s">
        <v>3812</v>
      </c>
      <c r="B14" s="8"/>
      <c r="D14" s="8" t="s">
        <v>3813</v>
      </c>
      <c r="E14" s="8"/>
      <c r="G14" s="8" t="s">
        <v>3820</v>
      </c>
      <c r="H14" s="8"/>
      <c r="J14" s="5" t="s">
        <v>912</v>
      </c>
      <c r="K14" s="9">
        <v>25.35</v>
      </c>
      <c r="M14" s="9">
        <v>705</v>
      </c>
      <c r="N14">
        <f>GETPIVOTDATA("order_id",$M$13)</f>
        <v>705</v>
      </c>
      <c r="P14" s="5" t="s">
        <v>23</v>
      </c>
      <c r="Q14" s="9">
        <v>3.9666666666666668</v>
      </c>
    </row>
    <row r="15" spans="1:24" x14ac:dyDescent="0.3">
      <c r="A15" s="2" t="s">
        <v>3801</v>
      </c>
      <c r="B15" t="s">
        <v>3791</v>
      </c>
      <c r="D15" s="2" t="s">
        <v>3801</v>
      </c>
      <c r="E15" t="s">
        <v>3791</v>
      </c>
      <c r="G15" s="2" t="s">
        <v>3801</v>
      </c>
      <c r="H15" t="s">
        <v>3791</v>
      </c>
      <c r="J15" s="5" t="s">
        <v>1118</v>
      </c>
      <c r="K15" s="9">
        <v>130.624</v>
      </c>
      <c r="P15" s="5" t="s">
        <v>793</v>
      </c>
      <c r="Q15" s="9">
        <v>4</v>
      </c>
    </row>
    <row r="16" spans="1:24" x14ac:dyDescent="0.3">
      <c r="A16" s="5" t="s">
        <v>61</v>
      </c>
      <c r="B16" s="9">
        <v>7897.8079999999991</v>
      </c>
      <c r="D16" s="5" t="s">
        <v>2605</v>
      </c>
      <c r="E16" s="9">
        <v>779.94</v>
      </c>
      <c r="G16" s="5" t="s">
        <v>48</v>
      </c>
      <c r="H16" s="9">
        <v>1990.8460000000002</v>
      </c>
      <c r="J16" s="5" t="s">
        <v>154</v>
      </c>
      <c r="K16" s="9">
        <v>64.08</v>
      </c>
      <c r="P16" s="5" t="s">
        <v>72</v>
      </c>
      <c r="Q16" s="9">
        <v>4.0161290322580649</v>
      </c>
    </row>
    <row r="17" spans="1:17" x14ac:dyDescent="0.3">
      <c r="A17" s="5" t="s">
        <v>35</v>
      </c>
      <c r="B17" s="9">
        <v>3184.1320000000001</v>
      </c>
      <c r="D17" s="5" t="s">
        <v>40</v>
      </c>
      <c r="E17" s="9">
        <v>679.96</v>
      </c>
      <c r="G17" s="5" t="s">
        <v>26</v>
      </c>
      <c r="H17" s="9">
        <v>62704.430499999915</v>
      </c>
      <c r="J17" s="5" t="s">
        <v>2249</v>
      </c>
      <c r="K17" s="9">
        <v>192.8</v>
      </c>
      <c r="P17" s="5" t="s">
        <v>54</v>
      </c>
      <c r="Q17" s="9">
        <v>4.2631578947368425</v>
      </c>
    </row>
    <row r="18" spans="1:17" x14ac:dyDescent="0.3">
      <c r="A18" s="5" t="s">
        <v>31</v>
      </c>
      <c r="B18" s="9">
        <v>1116.4820000000002</v>
      </c>
      <c r="D18" s="5" t="s">
        <v>1386</v>
      </c>
      <c r="E18" s="9">
        <v>652.75199999999995</v>
      </c>
      <c r="G18" s="5" t="s">
        <v>3802</v>
      </c>
      <c r="H18" s="9">
        <v>64695.276499999913</v>
      </c>
      <c r="J18" s="5" t="s">
        <v>216</v>
      </c>
      <c r="K18" s="9">
        <v>70.62299999999999</v>
      </c>
      <c r="M18" s="8" t="s">
        <v>3818</v>
      </c>
      <c r="N18" s="8"/>
      <c r="P18" s="5" t="s">
        <v>45</v>
      </c>
      <c r="Q18" s="9">
        <v>3.7555555555555555</v>
      </c>
    </row>
    <row r="19" spans="1:17" x14ac:dyDescent="0.3">
      <c r="A19" s="5" t="s">
        <v>33</v>
      </c>
      <c r="B19" s="9">
        <v>5588.309000000002</v>
      </c>
      <c r="D19" s="5" t="s">
        <v>338</v>
      </c>
      <c r="E19" s="9">
        <v>639.4</v>
      </c>
      <c r="J19" s="5" t="s">
        <v>301</v>
      </c>
      <c r="K19" s="9">
        <v>61.12</v>
      </c>
      <c r="M19" s="2" t="s">
        <v>3801</v>
      </c>
      <c r="N19" t="s">
        <v>3814</v>
      </c>
      <c r="P19" s="5" t="s">
        <v>122</v>
      </c>
      <c r="Q19" s="9">
        <v>3.8888888888888888</v>
      </c>
    </row>
    <row r="20" spans="1:17" x14ac:dyDescent="0.3">
      <c r="A20" s="5" t="s">
        <v>317</v>
      </c>
      <c r="B20" s="9">
        <v>2375.4224999999997</v>
      </c>
      <c r="D20" s="5" t="s">
        <v>290</v>
      </c>
      <c r="E20" s="9">
        <v>614.08000000000004</v>
      </c>
      <c r="J20" s="5" t="s">
        <v>336</v>
      </c>
      <c r="K20" s="9">
        <v>686.24399999999991</v>
      </c>
      <c r="M20" s="5" t="s">
        <v>60</v>
      </c>
      <c r="N20" s="9">
        <v>568.23379999999997</v>
      </c>
      <c r="P20" s="5" t="s">
        <v>174</v>
      </c>
      <c r="Q20" s="9">
        <v>3.4545454545454546</v>
      </c>
    </row>
    <row r="21" spans="1:17" x14ac:dyDescent="0.3">
      <c r="A21" s="5" t="s">
        <v>110</v>
      </c>
      <c r="B21" s="9">
        <v>9303.84</v>
      </c>
      <c r="D21" s="5" t="s">
        <v>1992</v>
      </c>
      <c r="E21" s="9">
        <v>604.76800000000003</v>
      </c>
      <c r="G21" s="8" t="s">
        <v>3817</v>
      </c>
      <c r="H21" s="8"/>
      <c r="J21" s="5" t="s">
        <v>1973</v>
      </c>
      <c r="K21" s="9">
        <v>366.78</v>
      </c>
      <c r="M21" s="5" t="s">
        <v>303</v>
      </c>
      <c r="N21" s="9">
        <v>342.42900000000003</v>
      </c>
      <c r="P21" s="5" t="s">
        <v>3802</v>
      </c>
      <c r="Q21" s="9">
        <v>3.9858156028368796</v>
      </c>
    </row>
    <row r="22" spans="1:17" x14ac:dyDescent="0.3">
      <c r="A22" s="5" t="s">
        <v>1342</v>
      </c>
      <c r="B22" s="9">
        <v>479.976</v>
      </c>
      <c r="D22" s="5" t="s">
        <v>3193</v>
      </c>
      <c r="E22" s="9">
        <v>603.92000000000007</v>
      </c>
      <c r="G22" s="2" t="s">
        <v>3801</v>
      </c>
      <c r="H22" t="s">
        <v>3791</v>
      </c>
      <c r="J22" s="5" t="s">
        <v>3292</v>
      </c>
      <c r="K22" s="9">
        <v>32.4</v>
      </c>
      <c r="M22" s="5" t="s">
        <v>135</v>
      </c>
      <c r="N22" s="9">
        <v>103.7774</v>
      </c>
    </row>
    <row r="23" spans="1:17" x14ac:dyDescent="0.3">
      <c r="A23" s="5" t="s">
        <v>128</v>
      </c>
      <c r="B23" s="9">
        <v>1558.6019999999999</v>
      </c>
      <c r="D23" s="5" t="s">
        <v>316</v>
      </c>
      <c r="E23" s="9">
        <v>568.20000000000005</v>
      </c>
      <c r="G23" s="5" t="s">
        <v>60</v>
      </c>
      <c r="H23" s="9">
        <v>2644.3340000000007</v>
      </c>
      <c r="J23" s="5" t="s">
        <v>173</v>
      </c>
      <c r="K23" s="9">
        <v>775.74600000000009</v>
      </c>
      <c r="M23" s="5" t="s">
        <v>236</v>
      </c>
      <c r="N23" s="9">
        <v>463.93440000000004</v>
      </c>
      <c r="P23" s="6" t="s">
        <v>3821</v>
      </c>
      <c r="Q23" s="6"/>
    </row>
    <row r="24" spans="1:17" x14ac:dyDescent="0.3">
      <c r="A24" s="5" t="s">
        <v>119</v>
      </c>
      <c r="B24" s="9">
        <v>263.71999999999997</v>
      </c>
      <c r="D24" s="5" t="s">
        <v>180</v>
      </c>
      <c r="E24" s="9">
        <v>555.96</v>
      </c>
      <c r="G24" s="5" t="s">
        <v>303</v>
      </c>
      <c r="H24" s="9">
        <v>1918.4739999999999</v>
      </c>
      <c r="J24" s="5" t="s">
        <v>267</v>
      </c>
      <c r="K24" s="9">
        <v>281.916</v>
      </c>
      <c r="M24" s="5" t="s">
        <v>47</v>
      </c>
      <c r="N24" s="9">
        <v>641.86190000000011</v>
      </c>
    </row>
    <row r="25" spans="1:17" x14ac:dyDescent="0.3">
      <c r="A25" s="5" t="s">
        <v>29</v>
      </c>
      <c r="B25" s="9">
        <v>5301.2080000000005</v>
      </c>
      <c r="D25" s="5" t="s">
        <v>2849</v>
      </c>
      <c r="E25" s="9">
        <v>543.93599999999992</v>
      </c>
      <c r="G25" s="5" t="s">
        <v>135</v>
      </c>
      <c r="H25" s="9">
        <v>2330.9949999999994</v>
      </c>
      <c r="J25" s="5" t="s">
        <v>521</v>
      </c>
      <c r="K25" s="9">
        <v>323.21000000000004</v>
      </c>
      <c r="M25" s="5" t="s">
        <v>25</v>
      </c>
      <c r="N25" s="9">
        <v>1180.5652999999998</v>
      </c>
    </row>
    <row r="26" spans="1:17" x14ac:dyDescent="0.3">
      <c r="A26" s="5" t="s">
        <v>23</v>
      </c>
      <c r="B26" s="9">
        <v>619.44999999999993</v>
      </c>
      <c r="D26" s="5" t="s">
        <v>3802</v>
      </c>
      <c r="E26" s="9">
        <v>6242.9159999999993</v>
      </c>
      <c r="G26" s="5" t="s">
        <v>236</v>
      </c>
      <c r="H26" s="9">
        <v>2742.1879999999996</v>
      </c>
      <c r="J26" s="5" t="s">
        <v>2980</v>
      </c>
      <c r="K26" s="9">
        <v>387.13600000000002</v>
      </c>
      <c r="M26" s="5" t="s">
        <v>66</v>
      </c>
      <c r="N26" s="9">
        <v>1053.0381999999997</v>
      </c>
    </row>
    <row r="27" spans="1:17" x14ac:dyDescent="0.3">
      <c r="A27" s="5" t="s">
        <v>793</v>
      </c>
      <c r="B27" s="9">
        <v>939.04900000000009</v>
      </c>
      <c r="G27" s="5" t="s">
        <v>47</v>
      </c>
      <c r="H27" s="9">
        <v>4314.6869999999999</v>
      </c>
      <c r="J27" s="5" t="s">
        <v>683</v>
      </c>
      <c r="K27" s="9">
        <v>305.49600000000004</v>
      </c>
      <c r="M27" s="5" t="s">
        <v>53</v>
      </c>
      <c r="N27" s="9">
        <v>874.72910000000002</v>
      </c>
    </row>
    <row r="28" spans="1:17" x14ac:dyDescent="0.3">
      <c r="A28" s="5" t="s">
        <v>72</v>
      </c>
      <c r="B28" s="9">
        <v>6447.0019999999986</v>
      </c>
      <c r="G28" s="5" t="s">
        <v>25</v>
      </c>
      <c r="H28" s="9">
        <v>4988.8080000000009</v>
      </c>
      <c r="J28" s="5" t="s">
        <v>1467</v>
      </c>
      <c r="K28" s="9">
        <v>124.056</v>
      </c>
      <c r="M28" s="5" t="s">
        <v>87</v>
      </c>
      <c r="N28" s="9">
        <v>1777.9072000000003</v>
      </c>
    </row>
    <row r="29" spans="1:17" x14ac:dyDescent="0.3">
      <c r="A29" s="5" t="s">
        <v>54</v>
      </c>
      <c r="B29" s="9">
        <v>10386.255999999999</v>
      </c>
      <c r="C29" s="6" t="s">
        <v>3823</v>
      </c>
      <c r="D29" s="6"/>
      <c r="E29" s="6"/>
      <c r="G29" s="5" t="s">
        <v>66</v>
      </c>
      <c r="H29" s="9">
        <v>5468.2319999999982</v>
      </c>
      <c r="J29" s="5" t="s">
        <v>2839</v>
      </c>
      <c r="K29" s="9">
        <v>185.49600000000001</v>
      </c>
      <c r="M29" s="5" t="s">
        <v>82</v>
      </c>
      <c r="N29" s="9">
        <v>658.92229999999995</v>
      </c>
    </row>
    <row r="30" spans="1:17" x14ac:dyDescent="0.3">
      <c r="A30" s="5" t="s">
        <v>45</v>
      </c>
      <c r="B30" s="9">
        <v>5870.3299999999981</v>
      </c>
      <c r="G30" s="5" t="s">
        <v>53</v>
      </c>
      <c r="H30" s="9">
        <v>4404.6040000000003</v>
      </c>
      <c r="J30" s="5" t="s">
        <v>1316</v>
      </c>
      <c r="K30" s="9">
        <v>98.328000000000003</v>
      </c>
      <c r="M30" s="5" t="s">
        <v>70</v>
      </c>
      <c r="N30" s="9">
        <v>1591.6652000000001</v>
      </c>
    </row>
    <row r="31" spans="1:17" x14ac:dyDescent="0.3">
      <c r="A31" s="5" t="s">
        <v>122</v>
      </c>
      <c r="B31" s="9">
        <v>948.2199999999998</v>
      </c>
      <c r="G31" s="5" t="s">
        <v>87</v>
      </c>
      <c r="H31" s="9">
        <v>9063.1045000000013</v>
      </c>
      <c r="J31" s="5" t="s">
        <v>737</v>
      </c>
      <c r="K31" s="9">
        <v>848.54399999999998</v>
      </c>
      <c r="M31" s="5" t="s">
        <v>41</v>
      </c>
      <c r="N31" s="9">
        <v>1503.5164</v>
      </c>
    </row>
    <row r="32" spans="1:17" x14ac:dyDescent="0.3">
      <c r="A32" s="5" t="s">
        <v>174</v>
      </c>
      <c r="B32" s="9">
        <v>2415.4699999999998</v>
      </c>
      <c r="G32" s="5" t="s">
        <v>82</v>
      </c>
      <c r="H32" s="9">
        <v>5415.4820000000018</v>
      </c>
      <c r="J32" s="5" t="s">
        <v>849</v>
      </c>
      <c r="K32" s="9">
        <v>191.17399999999998</v>
      </c>
      <c r="M32" s="5" t="s">
        <v>3802</v>
      </c>
      <c r="N32" s="9">
        <v>10760.5802</v>
      </c>
    </row>
    <row r="33" spans="1:11" x14ac:dyDescent="0.3">
      <c r="A33" s="5" t="s">
        <v>3802</v>
      </c>
      <c r="B33" s="9">
        <v>64695.276499999993</v>
      </c>
      <c r="G33" s="5" t="s">
        <v>70</v>
      </c>
      <c r="H33" s="9">
        <v>8118.9730000000009</v>
      </c>
      <c r="J33" s="5" t="s">
        <v>1633</v>
      </c>
      <c r="K33" s="9">
        <v>624.65599999999995</v>
      </c>
    </row>
    <row r="34" spans="1:11" x14ac:dyDescent="0.3">
      <c r="G34" s="5" t="s">
        <v>41</v>
      </c>
      <c r="H34" s="9">
        <v>13285.394999999999</v>
      </c>
      <c r="J34" s="5" t="s">
        <v>1059</v>
      </c>
      <c r="K34" s="9">
        <v>5.7279999999999998</v>
      </c>
    </row>
    <row r="35" spans="1:11" x14ac:dyDescent="0.3">
      <c r="G35" s="5" t="s">
        <v>3802</v>
      </c>
      <c r="H35" s="9">
        <v>64695.2765</v>
      </c>
      <c r="J35" s="5" t="s">
        <v>235</v>
      </c>
      <c r="K35" s="9">
        <v>776.46749999999997</v>
      </c>
    </row>
    <row r="36" spans="1:11" x14ac:dyDescent="0.3">
      <c r="J36" s="5" t="s">
        <v>286</v>
      </c>
      <c r="K36" s="9">
        <v>12.78</v>
      </c>
    </row>
    <row r="37" spans="1:11" x14ac:dyDescent="0.3">
      <c r="J37" s="5" t="s">
        <v>904</v>
      </c>
      <c r="K37" s="9">
        <v>12.96</v>
      </c>
    </row>
    <row r="38" spans="1:11" x14ac:dyDescent="0.3">
      <c r="J38" s="5" t="s">
        <v>2635</v>
      </c>
      <c r="K38" s="9">
        <v>112.53999999999999</v>
      </c>
    </row>
    <row r="39" spans="1:11" x14ac:dyDescent="0.3">
      <c r="J39" s="5" t="s">
        <v>1959</v>
      </c>
      <c r="K39" s="9">
        <v>257.49900000000002</v>
      </c>
    </row>
    <row r="40" spans="1:11" x14ac:dyDescent="0.3">
      <c r="J40" s="5" t="s">
        <v>498</v>
      </c>
      <c r="K40" s="9">
        <v>100.16</v>
      </c>
    </row>
    <row r="41" spans="1:11" x14ac:dyDescent="0.3">
      <c r="J41" s="5" t="s">
        <v>1258</v>
      </c>
      <c r="K41" s="9">
        <v>72.293999999999997</v>
      </c>
    </row>
    <row r="42" spans="1:11" x14ac:dyDescent="0.3">
      <c r="J42" s="5" t="s">
        <v>231</v>
      </c>
      <c r="K42" s="9">
        <v>1139.3680000000002</v>
      </c>
    </row>
    <row r="43" spans="1:11" x14ac:dyDescent="0.3">
      <c r="J43" s="5" t="s">
        <v>3191</v>
      </c>
      <c r="K43" s="9">
        <v>915.08799999999997</v>
      </c>
    </row>
    <row r="44" spans="1:11" x14ac:dyDescent="0.3">
      <c r="J44" s="5" t="s">
        <v>2795</v>
      </c>
      <c r="K44" s="9">
        <v>24.85</v>
      </c>
    </row>
    <row r="45" spans="1:11" x14ac:dyDescent="0.3">
      <c r="J45" s="5" t="s">
        <v>22</v>
      </c>
      <c r="K45" s="9">
        <v>17932.535999999996</v>
      </c>
    </row>
    <row r="46" spans="1:11" x14ac:dyDescent="0.3">
      <c r="J46" s="5" t="s">
        <v>297</v>
      </c>
      <c r="K46" s="9">
        <v>230.08799999999999</v>
      </c>
    </row>
    <row r="47" spans="1:11" x14ac:dyDescent="0.3">
      <c r="J47" s="5" t="s">
        <v>395</v>
      </c>
      <c r="K47" s="9">
        <v>102.18</v>
      </c>
    </row>
    <row r="48" spans="1:11" x14ac:dyDescent="0.3">
      <c r="J48" s="5" t="s">
        <v>1082</v>
      </c>
      <c r="K48" s="9">
        <v>24.783999999999999</v>
      </c>
    </row>
    <row r="49" spans="10:11" x14ac:dyDescent="0.3">
      <c r="J49" s="5" t="s">
        <v>368</v>
      </c>
      <c r="K49" s="9">
        <v>59.39</v>
      </c>
    </row>
    <row r="50" spans="10:11" x14ac:dyDescent="0.3">
      <c r="J50" s="5" t="s">
        <v>442</v>
      </c>
      <c r="K50" s="9">
        <v>128.66999999999999</v>
      </c>
    </row>
    <row r="51" spans="10:11" x14ac:dyDescent="0.3">
      <c r="J51" s="5" t="s">
        <v>2974</v>
      </c>
      <c r="K51" s="9">
        <v>27.88</v>
      </c>
    </row>
    <row r="52" spans="10:11" x14ac:dyDescent="0.3">
      <c r="J52" s="5" t="s">
        <v>2369</v>
      </c>
      <c r="K52" s="9">
        <v>41.96</v>
      </c>
    </row>
    <row r="53" spans="10:11" x14ac:dyDescent="0.3">
      <c r="J53" s="5" t="s">
        <v>3294</v>
      </c>
      <c r="K53" s="9">
        <v>545.01</v>
      </c>
    </row>
    <row r="54" spans="10:11" x14ac:dyDescent="0.3">
      <c r="J54" s="5" t="s">
        <v>981</v>
      </c>
      <c r="K54" s="9">
        <v>207.68</v>
      </c>
    </row>
    <row r="55" spans="10:11" x14ac:dyDescent="0.3">
      <c r="J55" s="5" t="s">
        <v>663</v>
      </c>
      <c r="K55" s="9">
        <v>589.67600000000004</v>
      </c>
    </row>
    <row r="56" spans="10:11" x14ac:dyDescent="0.3">
      <c r="J56" s="5" t="s">
        <v>592</v>
      </c>
      <c r="K56" s="9">
        <v>12.9</v>
      </c>
    </row>
    <row r="57" spans="10:11" x14ac:dyDescent="0.3">
      <c r="J57" s="5" t="s">
        <v>468</v>
      </c>
      <c r="K57" s="9">
        <v>58.94</v>
      </c>
    </row>
    <row r="58" spans="10:11" x14ac:dyDescent="0.3">
      <c r="J58" s="5" t="s">
        <v>2844</v>
      </c>
      <c r="K58" s="9">
        <v>102.78</v>
      </c>
    </row>
    <row r="59" spans="10:11" x14ac:dyDescent="0.3">
      <c r="J59" s="5" t="s">
        <v>343</v>
      </c>
      <c r="K59" s="9">
        <v>72.740000000000009</v>
      </c>
    </row>
    <row r="60" spans="10:11" x14ac:dyDescent="0.3">
      <c r="J60" s="5" t="s">
        <v>763</v>
      </c>
      <c r="K60" s="9">
        <v>1048.76</v>
      </c>
    </row>
    <row r="61" spans="10:11" x14ac:dyDescent="0.3">
      <c r="J61" s="5" t="s">
        <v>105</v>
      </c>
      <c r="K61" s="9">
        <v>1562.9449999999997</v>
      </c>
    </row>
    <row r="62" spans="10:11" x14ac:dyDescent="0.3">
      <c r="J62" s="5" t="s">
        <v>2607</v>
      </c>
      <c r="K62" s="9">
        <v>34.68</v>
      </c>
    </row>
    <row r="63" spans="10:11" x14ac:dyDescent="0.3">
      <c r="J63" s="5" t="s">
        <v>92</v>
      </c>
      <c r="K63" s="9">
        <v>923.86899999999991</v>
      </c>
    </row>
    <row r="64" spans="10:11" x14ac:dyDescent="0.3">
      <c r="J64" s="5" t="s">
        <v>1267</v>
      </c>
      <c r="K64" s="9">
        <v>44.4</v>
      </c>
    </row>
    <row r="65" spans="10:11" x14ac:dyDescent="0.3">
      <c r="J65" s="5" t="s">
        <v>1460</v>
      </c>
      <c r="K65" s="9">
        <v>97.839999999999989</v>
      </c>
    </row>
    <row r="66" spans="10:11" x14ac:dyDescent="0.3">
      <c r="J66" s="5" t="s">
        <v>169</v>
      </c>
      <c r="K66" s="9">
        <v>124.58</v>
      </c>
    </row>
    <row r="67" spans="10:11" x14ac:dyDescent="0.3">
      <c r="J67" s="5" t="s">
        <v>1045</v>
      </c>
      <c r="K67" s="9">
        <v>65.943999999999988</v>
      </c>
    </row>
    <row r="68" spans="10:11" x14ac:dyDescent="0.3">
      <c r="J68" s="5" t="s">
        <v>2079</v>
      </c>
      <c r="K68" s="9">
        <v>12.32</v>
      </c>
    </row>
    <row r="69" spans="10:11" x14ac:dyDescent="0.3">
      <c r="J69" s="5" t="s">
        <v>1520</v>
      </c>
      <c r="K69" s="9">
        <v>112.12</v>
      </c>
    </row>
    <row r="70" spans="10:11" x14ac:dyDescent="0.3">
      <c r="J70" s="5" t="s">
        <v>2763</v>
      </c>
      <c r="K70" s="9">
        <v>41.904000000000003</v>
      </c>
    </row>
    <row r="71" spans="10:11" x14ac:dyDescent="0.3">
      <c r="J71" s="5" t="s">
        <v>569</v>
      </c>
      <c r="K71" s="9">
        <v>133.88800000000001</v>
      </c>
    </row>
    <row r="72" spans="10:11" x14ac:dyDescent="0.3">
      <c r="J72" s="5" t="s">
        <v>115</v>
      </c>
      <c r="K72" s="9">
        <v>687.56599999999992</v>
      </c>
    </row>
    <row r="73" spans="10:11" x14ac:dyDescent="0.3">
      <c r="J73" s="5" t="s">
        <v>1331</v>
      </c>
      <c r="K73" s="9">
        <v>387.09000000000003</v>
      </c>
    </row>
    <row r="74" spans="10:11" x14ac:dyDescent="0.3">
      <c r="J74" s="5" t="s">
        <v>412</v>
      </c>
      <c r="K74" s="9">
        <v>743.12699999999995</v>
      </c>
    </row>
    <row r="75" spans="10:11" x14ac:dyDescent="0.3">
      <c r="J75" s="5" t="s">
        <v>540</v>
      </c>
      <c r="K75" s="9">
        <v>44.040000000000006</v>
      </c>
    </row>
    <row r="76" spans="10:11" x14ac:dyDescent="0.3">
      <c r="J76" s="5" t="s">
        <v>1231</v>
      </c>
      <c r="K76" s="9">
        <v>219.11999999999998</v>
      </c>
    </row>
    <row r="77" spans="10:11" x14ac:dyDescent="0.3">
      <c r="J77" s="5" t="s">
        <v>3714</v>
      </c>
      <c r="K77" s="9">
        <v>90.057999999999993</v>
      </c>
    </row>
    <row r="78" spans="10:11" x14ac:dyDescent="0.3">
      <c r="J78" s="5" t="s">
        <v>194</v>
      </c>
      <c r="K78" s="9">
        <v>2907.1619999999998</v>
      </c>
    </row>
    <row r="79" spans="10:11" x14ac:dyDescent="0.3">
      <c r="J79" s="5" t="s">
        <v>51</v>
      </c>
      <c r="K79" s="9">
        <v>7845.5760000000009</v>
      </c>
    </row>
    <row r="80" spans="10:11" x14ac:dyDescent="0.3">
      <c r="J80" s="5" t="s">
        <v>139</v>
      </c>
      <c r="K80" s="9">
        <v>1704.7040000000002</v>
      </c>
    </row>
    <row r="81" spans="10:11" x14ac:dyDescent="0.3">
      <c r="J81" s="5" t="s">
        <v>3729</v>
      </c>
      <c r="K81" s="9">
        <v>3.62</v>
      </c>
    </row>
    <row r="82" spans="10:11" x14ac:dyDescent="0.3">
      <c r="J82" s="5" t="s">
        <v>527</v>
      </c>
      <c r="K82" s="9">
        <v>1285.3479999999997</v>
      </c>
    </row>
    <row r="83" spans="10:11" x14ac:dyDescent="0.3">
      <c r="J83" s="5" t="s">
        <v>2562</v>
      </c>
      <c r="K83" s="9">
        <v>504.56</v>
      </c>
    </row>
    <row r="84" spans="10:11" x14ac:dyDescent="0.3">
      <c r="J84" s="5" t="s">
        <v>187</v>
      </c>
      <c r="K84" s="9">
        <v>79.792000000000002</v>
      </c>
    </row>
    <row r="85" spans="10:11" x14ac:dyDescent="0.3">
      <c r="J85" s="5" t="s">
        <v>133</v>
      </c>
      <c r="K85" s="9">
        <v>744.98400000000004</v>
      </c>
    </row>
    <row r="86" spans="10:11" x14ac:dyDescent="0.3">
      <c r="J86" s="5" t="s">
        <v>39</v>
      </c>
      <c r="K86" s="9">
        <v>7888.1819999999971</v>
      </c>
    </row>
    <row r="87" spans="10:11" x14ac:dyDescent="0.3">
      <c r="J87" s="5" t="s">
        <v>446</v>
      </c>
      <c r="K87" s="9">
        <v>76.071999999999989</v>
      </c>
    </row>
    <row r="88" spans="10:11" x14ac:dyDescent="0.3">
      <c r="J88" s="5" t="s">
        <v>2525</v>
      </c>
      <c r="K88" s="9">
        <v>86.2</v>
      </c>
    </row>
    <row r="89" spans="10:11" x14ac:dyDescent="0.3">
      <c r="J89" s="5" t="s">
        <v>1088</v>
      </c>
      <c r="K89" s="9">
        <v>114.96000000000001</v>
      </c>
    </row>
    <row r="90" spans="10:11" x14ac:dyDescent="0.3">
      <c r="J90" s="5" t="s">
        <v>1210</v>
      </c>
      <c r="K90" s="9">
        <v>489.16</v>
      </c>
    </row>
    <row r="91" spans="10:11" x14ac:dyDescent="0.3">
      <c r="J91" s="5" t="s">
        <v>899</v>
      </c>
      <c r="K91" s="9">
        <v>307.92</v>
      </c>
    </row>
    <row r="92" spans="10:11" x14ac:dyDescent="0.3">
      <c r="J92" s="5" t="s">
        <v>956</v>
      </c>
      <c r="K92" s="9">
        <v>65.070000000000007</v>
      </c>
    </row>
    <row r="93" spans="10:11" x14ac:dyDescent="0.3">
      <c r="J93" s="5" t="s">
        <v>577</v>
      </c>
      <c r="K93" s="9">
        <v>6.0960000000000001</v>
      </c>
    </row>
    <row r="94" spans="10:11" x14ac:dyDescent="0.3">
      <c r="J94" s="5" t="s">
        <v>257</v>
      </c>
      <c r="K94" s="9">
        <v>852.48800000000006</v>
      </c>
    </row>
    <row r="95" spans="10:11" x14ac:dyDescent="0.3">
      <c r="J95" s="5" t="s">
        <v>3497</v>
      </c>
      <c r="K95" s="9">
        <v>20.416</v>
      </c>
    </row>
    <row r="96" spans="10:11" x14ac:dyDescent="0.3">
      <c r="J96" s="5" t="s">
        <v>438</v>
      </c>
      <c r="K96" s="9">
        <v>15.423999999999999</v>
      </c>
    </row>
    <row r="97" spans="10:11" x14ac:dyDescent="0.3">
      <c r="J97" s="5" t="s">
        <v>450</v>
      </c>
      <c r="K97" s="9">
        <v>677.19599999999991</v>
      </c>
    </row>
    <row r="98" spans="10:11" x14ac:dyDescent="0.3">
      <c r="J98" s="5" t="s">
        <v>1726</v>
      </c>
      <c r="K98" s="9">
        <v>310.86</v>
      </c>
    </row>
    <row r="99" spans="10:11" x14ac:dyDescent="0.3">
      <c r="J99" s="5" t="s">
        <v>1689</v>
      </c>
      <c r="K99" s="9">
        <v>239.98400000000001</v>
      </c>
    </row>
    <row r="100" spans="10:11" x14ac:dyDescent="0.3">
      <c r="J100" s="5" t="s">
        <v>2271</v>
      </c>
      <c r="K100" s="9">
        <v>240.88</v>
      </c>
    </row>
    <row r="101" spans="10:11" x14ac:dyDescent="0.3">
      <c r="J101" s="5" t="s">
        <v>3802</v>
      </c>
      <c r="K101" s="9">
        <v>64695.276499999971</v>
      </c>
    </row>
  </sheetData>
  <mergeCells count="9">
    <mergeCell ref="A14:B14"/>
    <mergeCell ref="D14:E14"/>
    <mergeCell ref="G14:H14"/>
    <mergeCell ref="M18:N18"/>
    <mergeCell ref="P2:Q2"/>
    <mergeCell ref="G21:H21"/>
    <mergeCell ref="C6:D6"/>
    <mergeCell ref="G6:H6"/>
    <mergeCell ref="J6:K6"/>
  </mergeCells>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8B65-00D3-4641-9481-50A4013D1E71}">
  <dimension ref="A1"/>
  <sheetViews>
    <sheetView showGridLines="0" zoomScale="86" workbookViewId="0">
      <selection activeCell="C37" sqref="C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836"/>
  <sheetViews>
    <sheetView tabSelected="1" topLeftCell="H1" workbookViewId="0"/>
  </sheetViews>
  <sheetFormatPr defaultRowHeight="14.4" x14ac:dyDescent="0.3"/>
  <cols>
    <col min="1" max="1" width="14.6640625" bestFit="1" customWidth="1"/>
    <col min="2" max="3" width="18.109375" bestFit="1" customWidth="1"/>
    <col min="4" max="4" width="30.5546875" bestFit="1" customWidth="1"/>
    <col min="5" max="5" width="37.44140625" bestFit="1" customWidth="1"/>
    <col min="6" max="6" width="10.44140625" bestFit="1" customWidth="1"/>
    <col min="7" max="7" width="90.21875" bestFit="1" customWidth="1"/>
    <col min="8" max="8" width="9" bestFit="1" customWidth="1"/>
    <col min="9" max="9" width="10" customWidth="1"/>
    <col min="11" max="11" width="12.109375" customWidth="1"/>
    <col min="12" max="12" width="14.109375" customWidth="1"/>
    <col min="13" max="13" width="14.33203125" customWidth="1"/>
    <col min="14" max="14" width="11.5546875" customWidth="1"/>
    <col min="15" max="15" width="14.88671875" customWidth="1"/>
    <col min="16" max="16" width="14.44140625" customWidth="1"/>
    <col min="17" max="17" width="19.109375" customWidth="1"/>
    <col min="18" max="18" width="15.5546875" customWidth="1"/>
    <col min="19" max="19" width="10.109375" customWidth="1"/>
    <col min="20" max="20" width="17.664062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41438</v>
      </c>
      <c r="C2" s="1">
        <v>41442</v>
      </c>
      <c r="D2" t="s">
        <v>21</v>
      </c>
      <c r="E2" t="s">
        <v>22</v>
      </c>
      <c r="F2" t="s">
        <v>23</v>
      </c>
      <c r="G2" t="s">
        <v>24</v>
      </c>
      <c r="H2">
        <v>14.62</v>
      </c>
      <c r="I2">
        <v>2</v>
      </c>
      <c r="J2">
        <v>6.8714000000000004</v>
      </c>
      <c r="K2">
        <v>2013</v>
      </c>
      <c r="L2">
        <v>6</v>
      </c>
      <c r="M2" t="s">
        <v>25</v>
      </c>
      <c r="N2">
        <v>13</v>
      </c>
      <c r="O2">
        <v>4</v>
      </c>
      <c r="P2">
        <v>47</v>
      </c>
      <c r="Q2">
        <v>7.31</v>
      </c>
      <c r="R2" t="s">
        <v>26</v>
      </c>
      <c r="S2" t="b">
        <v>0</v>
      </c>
      <c r="T2" t="b">
        <v>0</v>
      </c>
    </row>
    <row r="3" spans="1:20" x14ac:dyDescent="0.3">
      <c r="A3" t="s">
        <v>27</v>
      </c>
      <c r="B3" s="1">
        <v>40703</v>
      </c>
      <c r="C3" s="1">
        <v>40708</v>
      </c>
      <c r="D3" t="s">
        <v>28</v>
      </c>
      <c r="E3" t="s">
        <v>22</v>
      </c>
      <c r="F3" t="s">
        <v>29</v>
      </c>
      <c r="G3" t="s">
        <v>30</v>
      </c>
      <c r="H3">
        <v>48.86</v>
      </c>
      <c r="I3">
        <v>7</v>
      </c>
      <c r="J3">
        <v>14.1694</v>
      </c>
      <c r="K3">
        <v>2011</v>
      </c>
      <c r="L3">
        <v>6</v>
      </c>
      <c r="M3" t="s">
        <v>25</v>
      </c>
      <c r="N3">
        <v>9</v>
      </c>
      <c r="O3">
        <v>5</v>
      </c>
      <c r="P3">
        <v>29</v>
      </c>
      <c r="Q3">
        <v>6.98</v>
      </c>
      <c r="R3" t="s">
        <v>26</v>
      </c>
      <c r="S3" t="b">
        <v>0</v>
      </c>
      <c r="T3" t="b">
        <v>0</v>
      </c>
    </row>
    <row r="4" spans="1:20" x14ac:dyDescent="0.3">
      <c r="A4" t="s">
        <v>27</v>
      </c>
      <c r="B4" s="1">
        <v>40703</v>
      </c>
      <c r="C4" s="1">
        <v>40708</v>
      </c>
      <c r="D4" t="s">
        <v>28</v>
      </c>
      <c r="E4" t="s">
        <v>22</v>
      </c>
      <c r="F4" t="s">
        <v>31</v>
      </c>
      <c r="G4" t="s">
        <v>32</v>
      </c>
      <c r="H4">
        <v>7.28</v>
      </c>
      <c r="I4">
        <v>4</v>
      </c>
      <c r="J4">
        <v>1.9656</v>
      </c>
      <c r="K4">
        <v>2011</v>
      </c>
      <c r="L4">
        <v>6</v>
      </c>
      <c r="M4" t="s">
        <v>25</v>
      </c>
      <c r="N4">
        <v>9</v>
      </c>
      <c r="O4">
        <v>5</v>
      </c>
      <c r="P4">
        <v>27</v>
      </c>
      <c r="Q4">
        <v>1.82</v>
      </c>
      <c r="R4" t="s">
        <v>26</v>
      </c>
      <c r="S4" t="b">
        <v>0</v>
      </c>
      <c r="T4" t="b">
        <v>0</v>
      </c>
    </row>
    <row r="5" spans="1:20" x14ac:dyDescent="0.3">
      <c r="A5" t="s">
        <v>27</v>
      </c>
      <c r="B5" s="1">
        <v>40703</v>
      </c>
      <c r="C5" s="1">
        <v>40708</v>
      </c>
      <c r="D5" t="s">
        <v>28</v>
      </c>
      <c r="E5" t="s">
        <v>22</v>
      </c>
      <c r="F5" t="s">
        <v>33</v>
      </c>
      <c r="G5" t="s">
        <v>34</v>
      </c>
      <c r="H5">
        <v>18.504000000000001</v>
      </c>
      <c r="I5">
        <v>3</v>
      </c>
      <c r="J5">
        <v>5.7824999999999998</v>
      </c>
      <c r="K5">
        <v>2011</v>
      </c>
      <c r="L5">
        <v>6</v>
      </c>
      <c r="M5" t="s">
        <v>25</v>
      </c>
      <c r="N5">
        <v>9</v>
      </c>
      <c r="O5">
        <v>5</v>
      </c>
      <c r="P5">
        <v>31.25</v>
      </c>
      <c r="Q5">
        <v>6.1680000000000001</v>
      </c>
      <c r="R5" t="s">
        <v>26</v>
      </c>
      <c r="S5" t="b">
        <v>0</v>
      </c>
      <c r="T5" t="b">
        <v>0</v>
      </c>
    </row>
    <row r="6" spans="1:20" x14ac:dyDescent="0.3">
      <c r="A6" t="s">
        <v>27</v>
      </c>
      <c r="B6" s="1">
        <v>40703</v>
      </c>
      <c r="C6" s="1">
        <v>40708</v>
      </c>
      <c r="D6" t="s">
        <v>28</v>
      </c>
      <c r="E6" t="s">
        <v>22</v>
      </c>
      <c r="F6" t="s">
        <v>35</v>
      </c>
      <c r="G6" t="s">
        <v>36</v>
      </c>
      <c r="H6">
        <v>114.9</v>
      </c>
      <c r="I6">
        <v>5</v>
      </c>
      <c r="J6">
        <v>34.47</v>
      </c>
      <c r="K6">
        <v>2011</v>
      </c>
      <c r="L6">
        <v>6</v>
      </c>
      <c r="M6" t="s">
        <v>25</v>
      </c>
      <c r="N6">
        <v>9</v>
      </c>
      <c r="O6">
        <v>5</v>
      </c>
      <c r="P6">
        <v>30</v>
      </c>
      <c r="Q6">
        <v>22.98</v>
      </c>
      <c r="R6" t="s">
        <v>26</v>
      </c>
      <c r="S6" t="b">
        <v>0</v>
      </c>
      <c r="T6" t="b">
        <v>0</v>
      </c>
    </row>
    <row r="7" spans="1:20" x14ac:dyDescent="0.3">
      <c r="A7" t="s">
        <v>37</v>
      </c>
      <c r="B7" s="1">
        <v>41614</v>
      </c>
      <c r="C7" s="1">
        <v>41619</v>
      </c>
      <c r="D7" t="s">
        <v>38</v>
      </c>
      <c r="E7" t="s">
        <v>39</v>
      </c>
      <c r="F7" t="s">
        <v>33</v>
      </c>
      <c r="G7" t="s">
        <v>40</v>
      </c>
      <c r="H7">
        <v>407.976</v>
      </c>
      <c r="I7">
        <v>3</v>
      </c>
      <c r="J7">
        <v>132.59219999999999</v>
      </c>
      <c r="K7">
        <v>2013</v>
      </c>
      <c r="L7">
        <v>12</v>
      </c>
      <c r="M7" t="s">
        <v>41</v>
      </c>
      <c r="N7">
        <v>6</v>
      </c>
      <c r="O7">
        <v>5</v>
      </c>
      <c r="P7">
        <v>32.5</v>
      </c>
      <c r="Q7">
        <v>135.99199999999999</v>
      </c>
      <c r="R7" t="s">
        <v>26</v>
      </c>
      <c r="S7" t="b">
        <v>0</v>
      </c>
      <c r="T7" t="b">
        <v>1</v>
      </c>
    </row>
    <row r="8" spans="1:20" x14ac:dyDescent="0.3">
      <c r="A8" t="s">
        <v>42</v>
      </c>
      <c r="B8" s="1">
        <v>40676</v>
      </c>
      <c r="C8" s="1">
        <v>40678</v>
      </c>
      <c r="D8" t="s">
        <v>43</v>
      </c>
      <c r="E8" t="s">
        <v>44</v>
      </c>
      <c r="F8" t="s">
        <v>45</v>
      </c>
      <c r="G8" t="s">
        <v>46</v>
      </c>
      <c r="H8">
        <v>55.5</v>
      </c>
      <c r="I8">
        <v>2</v>
      </c>
      <c r="J8">
        <v>9.99</v>
      </c>
      <c r="K8">
        <v>2011</v>
      </c>
      <c r="L8">
        <v>5</v>
      </c>
      <c r="M8" t="s">
        <v>47</v>
      </c>
      <c r="N8">
        <v>13</v>
      </c>
      <c r="O8">
        <v>2</v>
      </c>
      <c r="P8">
        <v>18</v>
      </c>
      <c r="Q8">
        <v>27.75</v>
      </c>
      <c r="R8" t="s">
        <v>48</v>
      </c>
      <c r="S8" t="b">
        <v>0</v>
      </c>
      <c r="T8" t="b">
        <v>0</v>
      </c>
    </row>
    <row r="9" spans="1:20" x14ac:dyDescent="0.3">
      <c r="A9" t="s">
        <v>49</v>
      </c>
      <c r="B9" s="1">
        <v>40782</v>
      </c>
      <c r="C9" s="1">
        <v>40787</v>
      </c>
      <c r="D9" t="s">
        <v>50</v>
      </c>
      <c r="E9" t="s">
        <v>51</v>
      </c>
      <c r="F9" t="s">
        <v>31</v>
      </c>
      <c r="G9" t="s">
        <v>52</v>
      </c>
      <c r="H9">
        <v>8.56</v>
      </c>
      <c r="I9">
        <v>2</v>
      </c>
      <c r="J9">
        <v>2.4824000000000002</v>
      </c>
      <c r="K9">
        <v>2011</v>
      </c>
      <c r="L9">
        <v>8</v>
      </c>
      <c r="M9" t="s">
        <v>53</v>
      </c>
      <c r="N9">
        <v>27</v>
      </c>
      <c r="O9">
        <v>5</v>
      </c>
      <c r="P9">
        <v>29</v>
      </c>
      <c r="Q9">
        <v>4.28</v>
      </c>
      <c r="R9" t="s">
        <v>26</v>
      </c>
      <c r="S9" t="b">
        <v>0</v>
      </c>
      <c r="T9" t="b">
        <v>0</v>
      </c>
    </row>
    <row r="10" spans="1:20" x14ac:dyDescent="0.3">
      <c r="A10" t="s">
        <v>49</v>
      </c>
      <c r="B10" s="1">
        <v>40782</v>
      </c>
      <c r="C10" s="1">
        <v>40787</v>
      </c>
      <c r="D10" t="s">
        <v>50</v>
      </c>
      <c r="E10" t="s">
        <v>51</v>
      </c>
      <c r="F10" t="s">
        <v>54</v>
      </c>
      <c r="G10" t="s">
        <v>55</v>
      </c>
      <c r="H10">
        <v>213.48</v>
      </c>
      <c r="I10">
        <v>3</v>
      </c>
      <c r="J10">
        <v>16.010999999999999</v>
      </c>
      <c r="K10">
        <v>2011</v>
      </c>
      <c r="L10">
        <v>8</v>
      </c>
      <c r="M10" t="s">
        <v>53</v>
      </c>
      <c r="N10">
        <v>27</v>
      </c>
      <c r="O10">
        <v>5</v>
      </c>
      <c r="P10">
        <v>7.5</v>
      </c>
      <c r="Q10">
        <v>71.16</v>
      </c>
      <c r="R10" t="s">
        <v>26</v>
      </c>
      <c r="S10" t="b">
        <v>0</v>
      </c>
      <c r="T10" t="b">
        <v>0</v>
      </c>
    </row>
    <row r="11" spans="1:20" x14ac:dyDescent="0.3">
      <c r="A11" t="s">
        <v>49</v>
      </c>
      <c r="B11" s="1">
        <v>40782</v>
      </c>
      <c r="C11" s="1">
        <v>40787</v>
      </c>
      <c r="D11" t="s">
        <v>50</v>
      </c>
      <c r="E11" t="s">
        <v>51</v>
      </c>
      <c r="F11" t="s">
        <v>33</v>
      </c>
      <c r="G11" t="s">
        <v>56</v>
      </c>
      <c r="H11">
        <v>22.72</v>
      </c>
      <c r="I11">
        <v>4</v>
      </c>
      <c r="J11">
        <v>7.3840000000000003</v>
      </c>
      <c r="K11">
        <v>2011</v>
      </c>
      <c r="L11">
        <v>8</v>
      </c>
      <c r="M11" t="s">
        <v>53</v>
      </c>
      <c r="N11">
        <v>27</v>
      </c>
      <c r="O11">
        <v>5</v>
      </c>
      <c r="P11">
        <v>32.5</v>
      </c>
      <c r="Q11">
        <v>5.68</v>
      </c>
      <c r="R11" t="s">
        <v>26</v>
      </c>
      <c r="S11" t="b">
        <v>0</v>
      </c>
      <c r="T11" t="b">
        <v>0</v>
      </c>
    </row>
    <row r="12" spans="1:20" x14ac:dyDescent="0.3">
      <c r="A12" t="s">
        <v>57</v>
      </c>
      <c r="B12" s="1">
        <v>41290</v>
      </c>
      <c r="C12" s="1">
        <v>41294</v>
      </c>
      <c r="D12" t="s">
        <v>58</v>
      </c>
      <c r="E12" t="s">
        <v>22</v>
      </c>
      <c r="F12" t="s">
        <v>33</v>
      </c>
      <c r="G12" t="s">
        <v>59</v>
      </c>
      <c r="H12">
        <v>11.648</v>
      </c>
      <c r="I12">
        <v>2</v>
      </c>
      <c r="J12">
        <v>4.2224000000000004</v>
      </c>
      <c r="K12">
        <v>2013</v>
      </c>
      <c r="L12">
        <v>1</v>
      </c>
      <c r="M12" t="s">
        <v>60</v>
      </c>
      <c r="N12">
        <v>16</v>
      </c>
      <c r="O12">
        <v>4</v>
      </c>
      <c r="P12">
        <v>36.25</v>
      </c>
      <c r="Q12">
        <v>5.8239999999999998</v>
      </c>
      <c r="R12" t="s">
        <v>26</v>
      </c>
      <c r="S12" t="b">
        <v>0</v>
      </c>
      <c r="T12" t="b">
        <v>0</v>
      </c>
    </row>
    <row r="13" spans="1:20" x14ac:dyDescent="0.3">
      <c r="A13" t="s">
        <v>57</v>
      </c>
      <c r="B13" s="1">
        <v>41290</v>
      </c>
      <c r="C13" s="1">
        <v>41294</v>
      </c>
      <c r="D13" t="s">
        <v>58</v>
      </c>
      <c r="E13" t="s">
        <v>22</v>
      </c>
      <c r="F13" t="s">
        <v>61</v>
      </c>
      <c r="G13" t="s">
        <v>62</v>
      </c>
      <c r="H13">
        <v>90.57</v>
      </c>
      <c r="I13">
        <v>3</v>
      </c>
      <c r="J13">
        <v>11.774100000000001</v>
      </c>
      <c r="K13">
        <v>2013</v>
      </c>
      <c r="L13">
        <v>1</v>
      </c>
      <c r="M13" t="s">
        <v>60</v>
      </c>
      <c r="N13">
        <v>16</v>
      </c>
      <c r="O13">
        <v>4</v>
      </c>
      <c r="P13">
        <v>13</v>
      </c>
      <c r="Q13">
        <v>30.19</v>
      </c>
      <c r="R13" t="s">
        <v>26</v>
      </c>
      <c r="S13" t="b">
        <v>0</v>
      </c>
      <c r="T13" t="b">
        <v>0</v>
      </c>
    </row>
    <row r="14" spans="1:20" x14ac:dyDescent="0.3">
      <c r="A14" t="s">
        <v>63</v>
      </c>
      <c r="B14" s="1">
        <v>41473</v>
      </c>
      <c r="C14" s="1">
        <v>41478</v>
      </c>
      <c r="D14" t="s">
        <v>64</v>
      </c>
      <c r="E14" t="s">
        <v>22</v>
      </c>
      <c r="F14" t="s">
        <v>45</v>
      </c>
      <c r="G14" t="s">
        <v>65</v>
      </c>
      <c r="H14">
        <v>77.88</v>
      </c>
      <c r="I14">
        <v>2</v>
      </c>
      <c r="J14">
        <v>3.8940000000000001</v>
      </c>
      <c r="K14">
        <v>2013</v>
      </c>
      <c r="L14">
        <v>7</v>
      </c>
      <c r="M14" t="s">
        <v>66</v>
      </c>
      <c r="N14">
        <v>18</v>
      </c>
      <c r="O14">
        <v>5</v>
      </c>
      <c r="P14">
        <v>5</v>
      </c>
      <c r="Q14">
        <v>38.94</v>
      </c>
      <c r="R14" t="s">
        <v>26</v>
      </c>
      <c r="S14" t="b">
        <v>0</v>
      </c>
      <c r="T14" t="b">
        <v>0</v>
      </c>
    </row>
    <row r="15" spans="1:20" x14ac:dyDescent="0.3">
      <c r="A15" t="s">
        <v>67</v>
      </c>
      <c r="B15" s="1">
        <v>41237</v>
      </c>
      <c r="C15" s="1">
        <v>41243</v>
      </c>
      <c r="D15" t="s">
        <v>68</v>
      </c>
      <c r="E15" t="s">
        <v>22</v>
      </c>
      <c r="F15" t="s">
        <v>61</v>
      </c>
      <c r="G15" t="s">
        <v>69</v>
      </c>
      <c r="H15">
        <v>13.98</v>
      </c>
      <c r="I15">
        <v>2</v>
      </c>
      <c r="J15">
        <v>6.1512000000000002</v>
      </c>
      <c r="K15">
        <v>2012</v>
      </c>
      <c r="L15">
        <v>11</v>
      </c>
      <c r="M15" t="s">
        <v>70</v>
      </c>
      <c r="N15">
        <v>24</v>
      </c>
      <c r="O15">
        <v>6</v>
      </c>
      <c r="P15">
        <v>44</v>
      </c>
      <c r="Q15">
        <v>6.99</v>
      </c>
      <c r="R15" t="s">
        <v>26</v>
      </c>
      <c r="S15" t="b">
        <v>0</v>
      </c>
      <c r="T15" t="b">
        <v>0</v>
      </c>
    </row>
    <row r="16" spans="1:20" x14ac:dyDescent="0.3">
      <c r="A16" t="s">
        <v>67</v>
      </c>
      <c r="B16" s="1">
        <v>41237</v>
      </c>
      <c r="C16" s="1">
        <v>41243</v>
      </c>
      <c r="D16" t="s">
        <v>68</v>
      </c>
      <c r="E16" t="s">
        <v>22</v>
      </c>
      <c r="F16" t="s">
        <v>33</v>
      </c>
      <c r="G16" t="s">
        <v>71</v>
      </c>
      <c r="H16">
        <v>25.824000000000002</v>
      </c>
      <c r="I16">
        <v>6</v>
      </c>
      <c r="J16">
        <v>9.3612000000000002</v>
      </c>
      <c r="K16">
        <v>2012</v>
      </c>
      <c r="L16">
        <v>11</v>
      </c>
      <c r="M16" t="s">
        <v>70</v>
      </c>
      <c r="N16">
        <v>24</v>
      </c>
      <c r="O16">
        <v>6</v>
      </c>
      <c r="P16">
        <v>36.25</v>
      </c>
      <c r="Q16">
        <v>4.3040000000000003</v>
      </c>
      <c r="R16" t="s">
        <v>26</v>
      </c>
      <c r="S16" t="b">
        <v>0</v>
      </c>
      <c r="T16" t="b">
        <v>0</v>
      </c>
    </row>
    <row r="17" spans="1:20" x14ac:dyDescent="0.3">
      <c r="A17" t="s">
        <v>67</v>
      </c>
      <c r="B17" s="1">
        <v>41237</v>
      </c>
      <c r="C17" s="1">
        <v>41243</v>
      </c>
      <c r="D17" t="s">
        <v>68</v>
      </c>
      <c r="E17" t="s">
        <v>22</v>
      </c>
      <c r="F17" t="s">
        <v>72</v>
      </c>
      <c r="G17" t="s">
        <v>73</v>
      </c>
      <c r="H17">
        <v>146.72999999999999</v>
      </c>
      <c r="I17">
        <v>3</v>
      </c>
      <c r="J17">
        <v>68.963099999999997</v>
      </c>
      <c r="K17">
        <v>2012</v>
      </c>
      <c r="L17">
        <v>11</v>
      </c>
      <c r="M17" t="s">
        <v>70</v>
      </c>
      <c r="N17">
        <v>24</v>
      </c>
      <c r="O17">
        <v>6</v>
      </c>
      <c r="P17">
        <v>47</v>
      </c>
      <c r="Q17">
        <v>48.91</v>
      </c>
      <c r="R17" t="s">
        <v>26</v>
      </c>
      <c r="S17" t="b">
        <v>0</v>
      </c>
      <c r="T17" t="b">
        <v>0</v>
      </c>
    </row>
    <row r="18" spans="1:20" x14ac:dyDescent="0.3">
      <c r="A18" t="s">
        <v>67</v>
      </c>
      <c r="B18" s="1">
        <v>41237</v>
      </c>
      <c r="C18" s="1">
        <v>41243</v>
      </c>
      <c r="D18" t="s">
        <v>68</v>
      </c>
      <c r="E18" t="s">
        <v>22</v>
      </c>
      <c r="F18" t="s">
        <v>29</v>
      </c>
      <c r="G18" t="s">
        <v>74</v>
      </c>
      <c r="H18">
        <v>79.760000000000005</v>
      </c>
      <c r="I18">
        <v>4</v>
      </c>
      <c r="J18">
        <v>22.332799999999999</v>
      </c>
      <c r="K18">
        <v>2012</v>
      </c>
      <c r="L18">
        <v>11</v>
      </c>
      <c r="M18" t="s">
        <v>70</v>
      </c>
      <c r="N18">
        <v>24</v>
      </c>
      <c r="O18">
        <v>6</v>
      </c>
      <c r="P18">
        <v>28</v>
      </c>
      <c r="Q18">
        <v>19.940000000000001</v>
      </c>
      <c r="R18" t="s">
        <v>26</v>
      </c>
      <c r="S18" t="b">
        <v>0</v>
      </c>
      <c r="T18" t="b">
        <v>0</v>
      </c>
    </row>
    <row r="19" spans="1:20" x14ac:dyDescent="0.3">
      <c r="A19" t="s">
        <v>75</v>
      </c>
      <c r="B19" s="1">
        <v>40882</v>
      </c>
      <c r="C19" s="1">
        <v>40887</v>
      </c>
      <c r="D19" t="s">
        <v>76</v>
      </c>
      <c r="E19" t="s">
        <v>77</v>
      </c>
      <c r="F19" t="s">
        <v>54</v>
      </c>
      <c r="G19" t="s">
        <v>78</v>
      </c>
      <c r="H19">
        <v>167.96799999999999</v>
      </c>
      <c r="I19">
        <v>4</v>
      </c>
      <c r="J19">
        <v>62.988</v>
      </c>
      <c r="K19">
        <v>2011</v>
      </c>
      <c r="L19">
        <v>12</v>
      </c>
      <c r="M19" t="s">
        <v>41</v>
      </c>
      <c r="N19">
        <v>5</v>
      </c>
      <c r="O19">
        <v>5</v>
      </c>
      <c r="P19">
        <v>37.5</v>
      </c>
      <c r="Q19">
        <v>41.991999999999997</v>
      </c>
      <c r="R19" t="s">
        <v>26</v>
      </c>
      <c r="S19" t="b">
        <v>0</v>
      </c>
      <c r="T19" t="b">
        <v>0</v>
      </c>
    </row>
    <row r="20" spans="1:20" x14ac:dyDescent="0.3">
      <c r="A20" t="s">
        <v>79</v>
      </c>
      <c r="B20" s="1">
        <v>40828</v>
      </c>
      <c r="C20" s="1">
        <v>40832</v>
      </c>
      <c r="D20" t="s">
        <v>80</v>
      </c>
      <c r="E20" t="s">
        <v>51</v>
      </c>
      <c r="F20" t="s">
        <v>31</v>
      </c>
      <c r="G20" t="s">
        <v>81</v>
      </c>
      <c r="H20">
        <v>14.9</v>
      </c>
      <c r="I20">
        <v>5</v>
      </c>
      <c r="J20">
        <v>4.1719999999999997</v>
      </c>
      <c r="K20">
        <v>2011</v>
      </c>
      <c r="L20">
        <v>10</v>
      </c>
      <c r="M20" t="s">
        <v>82</v>
      </c>
      <c r="N20">
        <v>12</v>
      </c>
      <c r="O20">
        <v>4</v>
      </c>
      <c r="P20">
        <v>28</v>
      </c>
      <c r="Q20">
        <v>2.98</v>
      </c>
      <c r="R20" t="s">
        <v>26</v>
      </c>
      <c r="S20" t="b">
        <v>0</v>
      </c>
      <c r="T20" t="b">
        <v>0</v>
      </c>
    </row>
    <row r="21" spans="1:20" x14ac:dyDescent="0.3">
      <c r="A21" t="s">
        <v>79</v>
      </c>
      <c r="B21" s="1">
        <v>40828</v>
      </c>
      <c r="C21" s="1">
        <v>40832</v>
      </c>
      <c r="D21" t="s">
        <v>80</v>
      </c>
      <c r="E21" t="s">
        <v>51</v>
      </c>
      <c r="F21" t="s">
        <v>45</v>
      </c>
      <c r="G21" t="s">
        <v>83</v>
      </c>
      <c r="H21">
        <v>21.39</v>
      </c>
      <c r="I21">
        <v>1</v>
      </c>
      <c r="J21">
        <v>6.2031000000000001</v>
      </c>
      <c r="K21">
        <v>2011</v>
      </c>
      <c r="L21">
        <v>10</v>
      </c>
      <c r="M21" t="s">
        <v>82</v>
      </c>
      <c r="N21">
        <v>12</v>
      </c>
      <c r="O21">
        <v>4</v>
      </c>
      <c r="P21">
        <v>29</v>
      </c>
      <c r="Q21">
        <v>21.39</v>
      </c>
      <c r="R21" t="s">
        <v>26</v>
      </c>
      <c r="S21" t="b">
        <v>0</v>
      </c>
      <c r="T21" t="b">
        <v>0</v>
      </c>
    </row>
    <row r="22" spans="1:20" x14ac:dyDescent="0.3">
      <c r="A22" t="s">
        <v>84</v>
      </c>
      <c r="B22" s="1">
        <v>41535</v>
      </c>
      <c r="C22" s="1">
        <v>41540</v>
      </c>
      <c r="D22" t="s">
        <v>85</v>
      </c>
      <c r="E22" t="s">
        <v>22</v>
      </c>
      <c r="F22" t="s">
        <v>31</v>
      </c>
      <c r="G22" t="s">
        <v>86</v>
      </c>
      <c r="H22">
        <v>20.100000000000001</v>
      </c>
      <c r="I22">
        <v>3</v>
      </c>
      <c r="J22">
        <v>6.633</v>
      </c>
      <c r="K22">
        <v>2013</v>
      </c>
      <c r="L22">
        <v>9</v>
      </c>
      <c r="M22" t="s">
        <v>87</v>
      </c>
      <c r="N22">
        <v>18</v>
      </c>
      <c r="O22">
        <v>5</v>
      </c>
      <c r="P22">
        <v>33</v>
      </c>
      <c r="Q22">
        <v>6.7</v>
      </c>
      <c r="R22" t="s">
        <v>26</v>
      </c>
      <c r="S22" t="b">
        <v>0</v>
      </c>
      <c r="T22" t="b">
        <v>0</v>
      </c>
    </row>
    <row r="23" spans="1:20" x14ac:dyDescent="0.3">
      <c r="A23" t="s">
        <v>84</v>
      </c>
      <c r="B23" s="1">
        <v>41535</v>
      </c>
      <c r="C23" s="1">
        <v>41540</v>
      </c>
      <c r="D23" t="s">
        <v>85</v>
      </c>
      <c r="E23" t="s">
        <v>22</v>
      </c>
      <c r="F23" t="s">
        <v>54</v>
      </c>
      <c r="G23" t="s">
        <v>88</v>
      </c>
      <c r="H23">
        <v>73.584000000000003</v>
      </c>
      <c r="I23">
        <v>2</v>
      </c>
      <c r="J23">
        <v>8.2782</v>
      </c>
      <c r="K23">
        <v>2013</v>
      </c>
      <c r="L23">
        <v>9</v>
      </c>
      <c r="M23" t="s">
        <v>87</v>
      </c>
      <c r="N23">
        <v>18</v>
      </c>
      <c r="O23">
        <v>5</v>
      </c>
      <c r="P23">
        <v>11.25</v>
      </c>
      <c r="Q23">
        <v>36.792000000000002</v>
      </c>
      <c r="R23" t="s">
        <v>26</v>
      </c>
      <c r="S23" t="b">
        <v>0</v>
      </c>
      <c r="T23" t="b">
        <v>0</v>
      </c>
    </row>
    <row r="24" spans="1:20" x14ac:dyDescent="0.3">
      <c r="A24" t="s">
        <v>84</v>
      </c>
      <c r="B24" s="1">
        <v>41535</v>
      </c>
      <c r="C24" s="1">
        <v>41540</v>
      </c>
      <c r="D24" t="s">
        <v>85</v>
      </c>
      <c r="E24" t="s">
        <v>22</v>
      </c>
      <c r="F24" t="s">
        <v>72</v>
      </c>
      <c r="G24" t="s">
        <v>89</v>
      </c>
      <c r="H24">
        <v>6.48</v>
      </c>
      <c r="I24">
        <v>1</v>
      </c>
      <c r="J24">
        <v>3.1103999999999998</v>
      </c>
      <c r="K24">
        <v>2013</v>
      </c>
      <c r="L24">
        <v>9</v>
      </c>
      <c r="M24" t="s">
        <v>87</v>
      </c>
      <c r="N24">
        <v>18</v>
      </c>
      <c r="O24">
        <v>5</v>
      </c>
      <c r="P24">
        <v>48</v>
      </c>
      <c r="Q24">
        <v>6.48</v>
      </c>
      <c r="R24" t="s">
        <v>26</v>
      </c>
      <c r="S24" t="b">
        <v>0</v>
      </c>
      <c r="T24" t="b">
        <v>0</v>
      </c>
    </row>
    <row r="25" spans="1:20" x14ac:dyDescent="0.3">
      <c r="A25" t="s">
        <v>90</v>
      </c>
      <c r="B25" s="1">
        <v>41950</v>
      </c>
      <c r="C25" s="1">
        <v>41956</v>
      </c>
      <c r="D25" t="s">
        <v>91</v>
      </c>
      <c r="E25" t="s">
        <v>92</v>
      </c>
      <c r="F25" t="s">
        <v>33</v>
      </c>
      <c r="G25" t="s">
        <v>93</v>
      </c>
      <c r="H25">
        <v>5.6820000000000004</v>
      </c>
      <c r="I25">
        <v>1</v>
      </c>
      <c r="J25">
        <v>-3.7879999999999998</v>
      </c>
      <c r="K25">
        <v>2014</v>
      </c>
      <c r="L25">
        <v>11</v>
      </c>
      <c r="M25" t="s">
        <v>70</v>
      </c>
      <c r="N25">
        <v>7</v>
      </c>
      <c r="O25">
        <v>6</v>
      </c>
      <c r="P25">
        <v>-66.67</v>
      </c>
      <c r="Q25">
        <v>5.6820000000000004</v>
      </c>
      <c r="R25" t="s">
        <v>48</v>
      </c>
      <c r="S25" t="b">
        <v>1</v>
      </c>
      <c r="T25" t="b">
        <v>0</v>
      </c>
    </row>
    <row r="26" spans="1:20" x14ac:dyDescent="0.3">
      <c r="A26" t="s">
        <v>94</v>
      </c>
      <c r="B26" s="1">
        <v>41808</v>
      </c>
      <c r="C26" s="1">
        <v>41811</v>
      </c>
      <c r="D26" t="s">
        <v>95</v>
      </c>
      <c r="E26" t="s">
        <v>51</v>
      </c>
      <c r="F26" t="s">
        <v>33</v>
      </c>
      <c r="G26" t="s">
        <v>96</v>
      </c>
      <c r="H26">
        <v>51.311999999999998</v>
      </c>
      <c r="I26">
        <v>3</v>
      </c>
      <c r="J26">
        <v>17.959199999999999</v>
      </c>
      <c r="K26">
        <v>2014</v>
      </c>
      <c r="L26">
        <v>6</v>
      </c>
      <c r="M26" t="s">
        <v>25</v>
      </c>
      <c r="N26">
        <v>18</v>
      </c>
      <c r="O26">
        <v>3</v>
      </c>
      <c r="P26">
        <v>35</v>
      </c>
      <c r="Q26">
        <v>17.103999999999999</v>
      </c>
      <c r="R26" t="s">
        <v>26</v>
      </c>
      <c r="S26" t="b">
        <v>0</v>
      </c>
      <c r="T26" t="b">
        <v>0</v>
      </c>
    </row>
    <row r="27" spans="1:20" x14ac:dyDescent="0.3">
      <c r="A27" t="s">
        <v>97</v>
      </c>
      <c r="B27" s="1">
        <v>41226</v>
      </c>
      <c r="C27" s="1">
        <v>41230</v>
      </c>
      <c r="D27" t="s">
        <v>98</v>
      </c>
      <c r="E27" t="s">
        <v>99</v>
      </c>
      <c r="F27" t="s">
        <v>61</v>
      </c>
      <c r="G27" t="s">
        <v>100</v>
      </c>
      <c r="H27">
        <v>238.89599999999999</v>
      </c>
      <c r="I27">
        <v>6</v>
      </c>
      <c r="J27">
        <v>-26.875800000000002</v>
      </c>
      <c r="K27">
        <v>2012</v>
      </c>
      <c r="L27">
        <v>11</v>
      </c>
      <c r="M27" t="s">
        <v>70</v>
      </c>
      <c r="N27">
        <v>13</v>
      </c>
      <c r="O27">
        <v>4</v>
      </c>
      <c r="P27">
        <v>-11.25</v>
      </c>
      <c r="Q27">
        <v>39.816000000000003</v>
      </c>
      <c r="R27" t="s">
        <v>26</v>
      </c>
      <c r="S27" t="b">
        <v>1</v>
      </c>
      <c r="T27" t="b">
        <v>1</v>
      </c>
    </row>
    <row r="28" spans="1:20" x14ac:dyDescent="0.3">
      <c r="A28" t="s">
        <v>97</v>
      </c>
      <c r="B28" s="1">
        <v>41226</v>
      </c>
      <c r="C28" s="1">
        <v>41230</v>
      </c>
      <c r="D28" t="s">
        <v>98</v>
      </c>
      <c r="E28" t="s">
        <v>99</v>
      </c>
      <c r="F28" t="s">
        <v>29</v>
      </c>
      <c r="G28" t="s">
        <v>101</v>
      </c>
      <c r="H28">
        <v>102.36</v>
      </c>
      <c r="I28">
        <v>3</v>
      </c>
      <c r="J28">
        <v>-3.8384999999999998</v>
      </c>
      <c r="K28">
        <v>2012</v>
      </c>
      <c r="L28">
        <v>11</v>
      </c>
      <c r="M28" t="s">
        <v>70</v>
      </c>
      <c r="N28">
        <v>13</v>
      </c>
      <c r="O28">
        <v>4</v>
      </c>
      <c r="P28">
        <v>-3.75</v>
      </c>
      <c r="Q28">
        <v>34.119999999999997</v>
      </c>
      <c r="R28" t="s">
        <v>26</v>
      </c>
      <c r="S28" t="b">
        <v>1</v>
      </c>
      <c r="T28" t="b">
        <v>0</v>
      </c>
    </row>
    <row r="29" spans="1:20" x14ac:dyDescent="0.3">
      <c r="A29" t="s">
        <v>97</v>
      </c>
      <c r="B29" s="1">
        <v>41226</v>
      </c>
      <c r="C29" s="1">
        <v>41230</v>
      </c>
      <c r="D29" t="s">
        <v>98</v>
      </c>
      <c r="E29" t="s">
        <v>99</v>
      </c>
      <c r="F29" t="s">
        <v>33</v>
      </c>
      <c r="G29" t="s">
        <v>102</v>
      </c>
      <c r="H29">
        <v>36.881999999999998</v>
      </c>
      <c r="I29">
        <v>3</v>
      </c>
      <c r="J29">
        <v>-25.817399999999999</v>
      </c>
      <c r="K29">
        <v>2012</v>
      </c>
      <c r="L29">
        <v>11</v>
      </c>
      <c r="M29" t="s">
        <v>70</v>
      </c>
      <c r="N29">
        <v>13</v>
      </c>
      <c r="O29">
        <v>4</v>
      </c>
      <c r="P29">
        <v>-70</v>
      </c>
      <c r="Q29">
        <v>12.294</v>
      </c>
      <c r="R29" t="s">
        <v>26</v>
      </c>
      <c r="S29" t="b">
        <v>1</v>
      </c>
      <c r="T29" t="b">
        <v>0</v>
      </c>
    </row>
    <row r="30" spans="1:20" x14ac:dyDescent="0.3">
      <c r="A30" t="s">
        <v>103</v>
      </c>
      <c r="B30" s="1">
        <v>41949</v>
      </c>
      <c r="C30" s="1">
        <v>41956</v>
      </c>
      <c r="D30" t="s">
        <v>104</v>
      </c>
      <c r="E30" t="s">
        <v>105</v>
      </c>
      <c r="F30" t="s">
        <v>33</v>
      </c>
      <c r="G30" t="s">
        <v>106</v>
      </c>
      <c r="H30">
        <v>2.3879999999999999</v>
      </c>
      <c r="I30">
        <v>2</v>
      </c>
      <c r="J30">
        <v>-1.8308</v>
      </c>
      <c r="K30">
        <v>2014</v>
      </c>
      <c r="L30">
        <v>11</v>
      </c>
      <c r="M30" t="s">
        <v>70</v>
      </c>
      <c r="N30">
        <v>6</v>
      </c>
      <c r="O30">
        <v>7</v>
      </c>
      <c r="P30">
        <v>-76.67</v>
      </c>
      <c r="Q30">
        <v>1.194</v>
      </c>
      <c r="R30" t="s">
        <v>26</v>
      </c>
      <c r="S30" t="b">
        <v>1</v>
      </c>
      <c r="T30" t="b">
        <v>0</v>
      </c>
    </row>
    <row r="31" spans="1:20" x14ac:dyDescent="0.3">
      <c r="A31" t="s">
        <v>103</v>
      </c>
      <c r="B31" s="1">
        <v>41949</v>
      </c>
      <c r="C31" s="1">
        <v>41956</v>
      </c>
      <c r="D31" t="s">
        <v>104</v>
      </c>
      <c r="E31" t="s">
        <v>105</v>
      </c>
      <c r="F31" t="s">
        <v>45</v>
      </c>
      <c r="G31" t="s">
        <v>107</v>
      </c>
      <c r="H31">
        <v>243.99199999999999</v>
      </c>
      <c r="I31">
        <v>7</v>
      </c>
      <c r="J31">
        <v>30.498999999999999</v>
      </c>
      <c r="K31">
        <v>2014</v>
      </c>
      <c r="L31">
        <v>11</v>
      </c>
      <c r="M31" t="s">
        <v>70</v>
      </c>
      <c r="N31">
        <v>6</v>
      </c>
      <c r="O31">
        <v>7</v>
      </c>
      <c r="P31">
        <v>12.5</v>
      </c>
      <c r="Q31">
        <v>34.856000000000002</v>
      </c>
      <c r="R31" t="s">
        <v>26</v>
      </c>
      <c r="S31" t="b">
        <v>0</v>
      </c>
      <c r="T31" t="b">
        <v>1</v>
      </c>
    </row>
    <row r="32" spans="1:20" x14ac:dyDescent="0.3">
      <c r="A32" t="s">
        <v>108</v>
      </c>
      <c r="B32" s="1">
        <v>41585</v>
      </c>
      <c r="C32" s="1">
        <v>41589</v>
      </c>
      <c r="D32" t="s">
        <v>109</v>
      </c>
      <c r="E32" t="s">
        <v>22</v>
      </c>
      <c r="F32" t="s">
        <v>110</v>
      </c>
      <c r="G32" t="s">
        <v>111</v>
      </c>
      <c r="H32">
        <v>81.424000000000007</v>
      </c>
      <c r="I32">
        <v>2</v>
      </c>
      <c r="J32">
        <v>-9.1601999999999997</v>
      </c>
      <c r="K32">
        <v>2013</v>
      </c>
      <c r="L32">
        <v>11</v>
      </c>
      <c r="M32" t="s">
        <v>70</v>
      </c>
      <c r="N32">
        <v>7</v>
      </c>
      <c r="O32">
        <v>4</v>
      </c>
      <c r="P32">
        <v>-11.25</v>
      </c>
      <c r="Q32">
        <v>40.712000000000003</v>
      </c>
      <c r="R32" t="s">
        <v>26</v>
      </c>
      <c r="S32" t="b">
        <v>1</v>
      </c>
      <c r="T32" t="b">
        <v>0</v>
      </c>
    </row>
    <row r="33" spans="1:20" x14ac:dyDescent="0.3">
      <c r="A33" t="s">
        <v>108</v>
      </c>
      <c r="B33" s="1">
        <v>41585</v>
      </c>
      <c r="C33" s="1">
        <v>41589</v>
      </c>
      <c r="D33" t="s">
        <v>109</v>
      </c>
      <c r="E33" t="s">
        <v>22</v>
      </c>
      <c r="F33" t="s">
        <v>29</v>
      </c>
      <c r="G33" t="s">
        <v>112</v>
      </c>
      <c r="H33">
        <v>238.56</v>
      </c>
      <c r="I33">
        <v>3</v>
      </c>
      <c r="J33">
        <v>26.241599999999998</v>
      </c>
      <c r="K33">
        <v>2013</v>
      </c>
      <c r="L33">
        <v>11</v>
      </c>
      <c r="M33" t="s">
        <v>70</v>
      </c>
      <c r="N33">
        <v>7</v>
      </c>
      <c r="O33">
        <v>4</v>
      </c>
      <c r="P33">
        <v>11</v>
      </c>
      <c r="Q33">
        <v>79.52</v>
      </c>
      <c r="R33" t="s">
        <v>26</v>
      </c>
      <c r="S33" t="b">
        <v>0</v>
      </c>
      <c r="T33" t="b">
        <v>1</v>
      </c>
    </row>
    <row r="34" spans="1:20" x14ac:dyDescent="0.3">
      <c r="A34" t="s">
        <v>113</v>
      </c>
      <c r="B34" s="1">
        <v>41561</v>
      </c>
      <c r="C34" s="1">
        <v>41567</v>
      </c>
      <c r="D34" t="s">
        <v>114</v>
      </c>
      <c r="E34" t="s">
        <v>115</v>
      </c>
      <c r="F34" t="s">
        <v>72</v>
      </c>
      <c r="G34" t="s">
        <v>116</v>
      </c>
      <c r="H34">
        <v>20.04</v>
      </c>
      <c r="I34">
        <v>3</v>
      </c>
      <c r="J34">
        <v>9.6191999999999993</v>
      </c>
      <c r="K34">
        <v>2013</v>
      </c>
      <c r="L34">
        <v>10</v>
      </c>
      <c r="M34" t="s">
        <v>82</v>
      </c>
      <c r="N34">
        <v>14</v>
      </c>
      <c r="O34">
        <v>6</v>
      </c>
      <c r="P34">
        <v>48</v>
      </c>
      <c r="Q34">
        <v>6.68</v>
      </c>
      <c r="R34" t="s">
        <v>26</v>
      </c>
      <c r="S34" t="b">
        <v>0</v>
      </c>
      <c r="T34" t="b">
        <v>0</v>
      </c>
    </row>
    <row r="35" spans="1:20" x14ac:dyDescent="0.3">
      <c r="A35" t="s">
        <v>113</v>
      </c>
      <c r="B35" s="1">
        <v>41561</v>
      </c>
      <c r="C35" s="1">
        <v>41567</v>
      </c>
      <c r="D35" t="s">
        <v>114</v>
      </c>
      <c r="E35" t="s">
        <v>115</v>
      </c>
      <c r="F35" t="s">
        <v>72</v>
      </c>
      <c r="G35" t="s">
        <v>117</v>
      </c>
      <c r="H35">
        <v>35.44</v>
      </c>
      <c r="I35">
        <v>1</v>
      </c>
      <c r="J35">
        <v>16.6568</v>
      </c>
      <c r="K35">
        <v>2013</v>
      </c>
      <c r="L35">
        <v>10</v>
      </c>
      <c r="M35" t="s">
        <v>82</v>
      </c>
      <c r="N35">
        <v>14</v>
      </c>
      <c r="O35">
        <v>6</v>
      </c>
      <c r="P35">
        <v>47</v>
      </c>
      <c r="Q35">
        <v>35.44</v>
      </c>
      <c r="R35" t="s">
        <v>26</v>
      </c>
      <c r="S35" t="b">
        <v>0</v>
      </c>
      <c r="T35" t="b">
        <v>0</v>
      </c>
    </row>
    <row r="36" spans="1:20" x14ac:dyDescent="0.3">
      <c r="A36" t="s">
        <v>113</v>
      </c>
      <c r="B36" s="1">
        <v>41561</v>
      </c>
      <c r="C36" s="1">
        <v>41567</v>
      </c>
      <c r="D36" t="s">
        <v>114</v>
      </c>
      <c r="E36" t="s">
        <v>115</v>
      </c>
      <c r="F36" t="s">
        <v>31</v>
      </c>
      <c r="G36" t="s">
        <v>118</v>
      </c>
      <c r="H36">
        <v>11.52</v>
      </c>
      <c r="I36">
        <v>4</v>
      </c>
      <c r="J36">
        <v>3.456</v>
      </c>
      <c r="K36">
        <v>2013</v>
      </c>
      <c r="L36">
        <v>10</v>
      </c>
      <c r="M36" t="s">
        <v>82</v>
      </c>
      <c r="N36">
        <v>14</v>
      </c>
      <c r="O36">
        <v>6</v>
      </c>
      <c r="P36">
        <v>30</v>
      </c>
      <c r="Q36">
        <v>2.88</v>
      </c>
      <c r="R36" t="s">
        <v>26</v>
      </c>
      <c r="S36" t="b">
        <v>0</v>
      </c>
      <c r="T36" t="b">
        <v>0</v>
      </c>
    </row>
    <row r="37" spans="1:20" x14ac:dyDescent="0.3">
      <c r="A37" t="s">
        <v>113</v>
      </c>
      <c r="B37" s="1">
        <v>41561</v>
      </c>
      <c r="C37" s="1">
        <v>41567</v>
      </c>
      <c r="D37" t="s">
        <v>114</v>
      </c>
      <c r="E37" t="s">
        <v>115</v>
      </c>
      <c r="F37" t="s">
        <v>119</v>
      </c>
      <c r="G37" t="s">
        <v>120</v>
      </c>
      <c r="H37">
        <v>4.0199999999999996</v>
      </c>
      <c r="I37">
        <v>2</v>
      </c>
      <c r="J37">
        <v>1.9698</v>
      </c>
      <c r="K37">
        <v>2013</v>
      </c>
      <c r="L37">
        <v>10</v>
      </c>
      <c r="M37" t="s">
        <v>82</v>
      </c>
      <c r="N37">
        <v>14</v>
      </c>
      <c r="O37">
        <v>6</v>
      </c>
      <c r="P37">
        <v>49</v>
      </c>
      <c r="Q37">
        <v>2.0099999999999998</v>
      </c>
      <c r="R37" t="s">
        <v>26</v>
      </c>
      <c r="S37" t="b">
        <v>0</v>
      </c>
      <c r="T37" t="b">
        <v>0</v>
      </c>
    </row>
    <row r="38" spans="1:20" x14ac:dyDescent="0.3">
      <c r="A38" t="s">
        <v>113</v>
      </c>
      <c r="B38" s="1">
        <v>41561</v>
      </c>
      <c r="C38" s="1">
        <v>41567</v>
      </c>
      <c r="D38" t="s">
        <v>114</v>
      </c>
      <c r="E38" t="s">
        <v>115</v>
      </c>
      <c r="F38" t="s">
        <v>33</v>
      </c>
      <c r="G38" t="s">
        <v>121</v>
      </c>
      <c r="H38">
        <v>76.176000000000002</v>
      </c>
      <c r="I38">
        <v>3</v>
      </c>
      <c r="J38">
        <v>26.6616</v>
      </c>
      <c r="K38">
        <v>2013</v>
      </c>
      <c r="L38">
        <v>10</v>
      </c>
      <c r="M38" t="s">
        <v>82</v>
      </c>
      <c r="N38">
        <v>14</v>
      </c>
      <c r="O38">
        <v>6</v>
      </c>
      <c r="P38">
        <v>35</v>
      </c>
      <c r="Q38">
        <v>25.391999999999999</v>
      </c>
      <c r="R38" t="s">
        <v>26</v>
      </c>
      <c r="S38" t="b">
        <v>0</v>
      </c>
      <c r="T38" t="b">
        <v>0</v>
      </c>
    </row>
    <row r="39" spans="1:20" x14ac:dyDescent="0.3">
      <c r="A39" t="s">
        <v>113</v>
      </c>
      <c r="B39" s="1">
        <v>41561</v>
      </c>
      <c r="C39" s="1">
        <v>41567</v>
      </c>
      <c r="D39" t="s">
        <v>114</v>
      </c>
      <c r="E39" t="s">
        <v>115</v>
      </c>
      <c r="F39" t="s">
        <v>122</v>
      </c>
      <c r="G39" t="s">
        <v>123</v>
      </c>
      <c r="H39">
        <v>65.88</v>
      </c>
      <c r="I39">
        <v>6</v>
      </c>
      <c r="J39">
        <v>18.446400000000001</v>
      </c>
      <c r="K39">
        <v>2013</v>
      </c>
      <c r="L39">
        <v>10</v>
      </c>
      <c r="M39" t="s">
        <v>82</v>
      </c>
      <c r="N39">
        <v>14</v>
      </c>
      <c r="O39">
        <v>6</v>
      </c>
      <c r="P39">
        <v>28</v>
      </c>
      <c r="Q39">
        <v>10.98</v>
      </c>
      <c r="R39" t="s">
        <v>26</v>
      </c>
      <c r="S39" t="b">
        <v>0</v>
      </c>
      <c r="T39" t="b">
        <v>0</v>
      </c>
    </row>
    <row r="40" spans="1:20" x14ac:dyDescent="0.3">
      <c r="A40" t="s">
        <v>113</v>
      </c>
      <c r="B40" s="1">
        <v>41561</v>
      </c>
      <c r="C40" s="1">
        <v>41567</v>
      </c>
      <c r="D40" t="s">
        <v>114</v>
      </c>
      <c r="E40" t="s">
        <v>115</v>
      </c>
      <c r="F40" t="s">
        <v>29</v>
      </c>
      <c r="G40" t="s">
        <v>124</v>
      </c>
      <c r="H40">
        <v>43.12</v>
      </c>
      <c r="I40">
        <v>14</v>
      </c>
      <c r="J40">
        <v>20.697600000000001</v>
      </c>
      <c r="K40">
        <v>2013</v>
      </c>
      <c r="L40">
        <v>10</v>
      </c>
      <c r="M40" t="s">
        <v>82</v>
      </c>
      <c r="N40">
        <v>14</v>
      </c>
      <c r="O40">
        <v>6</v>
      </c>
      <c r="P40">
        <v>48</v>
      </c>
      <c r="Q40">
        <v>3.08</v>
      </c>
      <c r="R40" t="s">
        <v>26</v>
      </c>
      <c r="S40" t="b">
        <v>0</v>
      </c>
      <c r="T40" t="b">
        <v>0</v>
      </c>
    </row>
    <row r="41" spans="1:20" x14ac:dyDescent="0.3">
      <c r="A41" t="s">
        <v>125</v>
      </c>
      <c r="B41" s="1">
        <v>41901</v>
      </c>
      <c r="C41" s="1">
        <v>41906</v>
      </c>
      <c r="D41" t="s">
        <v>126</v>
      </c>
      <c r="E41" t="s">
        <v>51</v>
      </c>
      <c r="F41" t="s">
        <v>31</v>
      </c>
      <c r="G41" t="s">
        <v>127</v>
      </c>
      <c r="H41">
        <v>8.82</v>
      </c>
      <c r="I41">
        <v>3</v>
      </c>
      <c r="J41">
        <v>2.3814000000000002</v>
      </c>
      <c r="K41">
        <v>2014</v>
      </c>
      <c r="L41">
        <v>9</v>
      </c>
      <c r="M41" t="s">
        <v>87</v>
      </c>
      <c r="N41">
        <v>19</v>
      </c>
      <c r="O41">
        <v>5</v>
      </c>
      <c r="P41">
        <v>27</v>
      </c>
      <c r="Q41">
        <v>2.94</v>
      </c>
      <c r="R41" t="s">
        <v>26</v>
      </c>
      <c r="S41" t="b">
        <v>0</v>
      </c>
      <c r="T41" t="b">
        <v>0</v>
      </c>
    </row>
    <row r="42" spans="1:20" x14ac:dyDescent="0.3">
      <c r="A42" t="s">
        <v>125</v>
      </c>
      <c r="B42" s="1">
        <v>41901</v>
      </c>
      <c r="C42" s="1">
        <v>41906</v>
      </c>
      <c r="D42" t="s">
        <v>126</v>
      </c>
      <c r="E42" t="s">
        <v>51</v>
      </c>
      <c r="F42" t="s">
        <v>128</v>
      </c>
      <c r="G42" t="s">
        <v>129</v>
      </c>
      <c r="H42">
        <v>10.86</v>
      </c>
      <c r="I42">
        <v>3</v>
      </c>
      <c r="J42">
        <v>5.1041999999999996</v>
      </c>
      <c r="K42">
        <v>2014</v>
      </c>
      <c r="L42">
        <v>9</v>
      </c>
      <c r="M42" t="s">
        <v>87</v>
      </c>
      <c r="N42">
        <v>19</v>
      </c>
      <c r="O42">
        <v>5</v>
      </c>
      <c r="P42">
        <v>47</v>
      </c>
      <c r="Q42">
        <v>3.62</v>
      </c>
      <c r="R42" t="s">
        <v>26</v>
      </c>
      <c r="S42" t="b">
        <v>0</v>
      </c>
      <c r="T42" t="b">
        <v>0</v>
      </c>
    </row>
    <row r="43" spans="1:20" x14ac:dyDescent="0.3">
      <c r="A43" t="s">
        <v>125</v>
      </c>
      <c r="B43" s="1">
        <v>41901</v>
      </c>
      <c r="C43" s="1">
        <v>41906</v>
      </c>
      <c r="D43" t="s">
        <v>126</v>
      </c>
      <c r="E43" t="s">
        <v>51</v>
      </c>
      <c r="F43" t="s">
        <v>72</v>
      </c>
      <c r="G43" t="s">
        <v>130</v>
      </c>
      <c r="H43">
        <v>143.69999999999999</v>
      </c>
      <c r="I43">
        <v>3</v>
      </c>
      <c r="J43">
        <v>68.975999999999999</v>
      </c>
      <c r="K43">
        <v>2014</v>
      </c>
      <c r="L43">
        <v>9</v>
      </c>
      <c r="M43" t="s">
        <v>87</v>
      </c>
      <c r="N43">
        <v>19</v>
      </c>
      <c r="O43">
        <v>5</v>
      </c>
      <c r="P43">
        <v>48</v>
      </c>
      <c r="Q43">
        <v>47.9</v>
      </c>
      <c r="R43" t="s">
        <v>26</v>
      </c>
      <c r="S43" t="b">
        <v>0</v>
      </c>
      <c r="T43" t="b">
        <v>0</v>
      </c>
    </row>
    <row r="44" spans="1:20" x14ac:dyDescent="0.3">
      <c r="A44" t="s">
        <v>131</v>
      </c>
      <c r="B44" s="1">
        <v>41347</v>
      </c>
      <c r="C44" s="1">
        <v>41350</v>
      </c>
      <c r="D44" t="s">
        <v>132</v>
      </c>
      <c r="E44" t="s">
        <v>133</v>
      </c>
      <c r="F44" t="s">
        <v>35</v>
      </c>
      <c r="G44" t="s">
        <v>134</v>
      </c>
      <c r="H44">
        <v>157.91999999999999</v>
      </c>
      <c r="I44">
        <v>5</v>
      </c>
      <c r="J44">
        <v>17.765999999999998</v>
      </c>
      <c r="K44">
        <v>2013</v>
      </c>
      <c r="L44">
        <v>3</v>
      </c>
      <c r="M44" t="s">
        <v>135</v>
      </c>
      <c r="N44">
        <v>14</v>
      </c>
      <c r="O44">
        <v>3</v>
      </c>
      <c r="P44">
        <v>11.25</v>
      </c>
      <c r="Q44">
        <v>31.584</v>
      </c>
      <c r="R44" t="s">
        <v>26</v>
      </c>
      <c r="S44" t="b">
        <v>0</v>
      </c>
      <c r="T44" t="b">
        <v>0</v>
      </c>
    </row>
    <row r="45" spans="1:20" x14ac:dyDescent="0.3">
      <c r="A45" t="s">
        <v>131</v>
      </c>
      <c r="B45" s="1">
        <v>41347</v>
      </c>
      <c r="C45" s="1">
        <v>41350</v>
      </c>
      <c r="D45" t="s">
        <v>132</v>
      </c>
      <c r="E45" t="s">
        <v>133</v>
      </c>
      <c r="F45" t="s">
        <v>54</v>
      </c>
      <c r="G45" t="s">
        <v>136</v>
      </c>
      <c r="H45">
        <v>203.184</v>
      </c>
      <c r="I45">
        <v>2</v>
      </c>
      <c r="J45">
        <v>15.238799999999999</v>
      </c>
      <c r="K45">
        <v>2013</v>
      </c>
      <c r="L45">
        <v>3</v>
      </c>
      <c r="M45" t="s">
        <v>135</v>
      </c>
      <c r="N45">
        <v>14</v>
      </c>
      <c r="O45">
        <v>3</v>
      </c>
      <c r="P45">
        <v>7.5</v>
      </c>
      <c r="Q45">
        <v>101.592</v>
      </c>
      <c r="R45" t="s">
        <v>26</v>
      </c>
      <c r="S45" t="b">
        <v>0</v>
      </c>
      <c r="T45" t="b">
        <v>0</v>
      </c>
    </row>
    <row r="46" spans="1:20" x14ac:dyDescent="0.3">
      <c r="A46" t="s">
        <v>137</v>
      </c>
      <c r="B46" s="1">
        <v>41060</v>
      </c>
      <c r="C46" s="1">
        <v>41062</v>
      </c>
      <c r="D46" t="s">
        <v>138</v>
      </c>
      <c r="E46" t="s">
        <v>139</v>
      </c>
      <c r="F46" t="s">
        <v>72</v>
      </c>
      <c r="G46" t="s">
        <v>140</v>
      </c>
      <c r="H46">
        <v>58.38</v>
      </c>
      <c r="I46">
        <v>7</v>
      </c>
      <c r="J46">
        <v>26.271000000000001</v>
      </c>
      <c r="K46">
        <v>2012</v>
      </c>
      <c r="L46">
        <v>5</v>
      </c>
      <c r="M46" t="s">
        <v>47</v>
      </c>
      <c r="N46">
        <v>31</v>
      </c>
      <c r="O46">
        <v>2</v>
      </c>
      <c r="P46">
        <v>45</v>
      </c>
      <c r="Q46">
        <v>8.34</v>
      </c>
      <c r="R46" t="s">
        <v>26</v>
      </c>
      <c r="S46" t="b">
        <v>0</v>
      </c>
      <c r="T46" t="b">
        <v>0</v>
      </c>
    </row>
    <row r="47" spans="1:20" x14ac:dyDescent="0.3">
      <c r="A47" t="s">
        <v>137</v>
      </c>
      <c r="B47" s="1">
        <v>41060</v>
      </c>
      <c r="C47" s="1">
        <v>41062</v>
      </c>
      <c r="D47" t="s">
        <v>138</v>
      </c>
      <c r="E47" t="s">
        <v>139</v>
      </c>
      <c r="F47" t="s">
        <v>72</v>
      </c>
      <c r="G47" t="s">
        <v>141</v>
      </c>
      <c r="H47">
        <v>105.52</v>
      </c>
      <c r="I47">
        <v>4</v>
      </c>
      <c r="J47">
        <v>48.539200000000001</v>
      </c>
      <c r="K47">
        <v>2012</v>
      </c>
      <c r="L47">
        <v>5</v>
      </c>
      <c r="M47" t="s">
        <v>47</v>
      </c>
      <c r="N47">
        <v>31</v>
      </c>
      <c r="O47">
        <v>2</v>
      </c>
      <c r="P47">
        <v>46</v>
      </c>
      <c r="Q47">
        <v>26.38</v>
      </c>
      <c r="R47" t="s">
        <v>26</v>
      </c>
      <c r="S47" t="b">
        <v>0</v>
      </c>
      <c r="T47" t="b">
        <v>0</v>
      </c>
    </row>
    <row r="48" spans="1:20" x14ac:dyDescent="0.3">
      <c r="A48" t="s">
        <v>137</v>
      </c>
      <c r="B48" s="1">
        <v>41060</v>
      </c>
      <c r="C48" s="1">
        <v>41062</v>
      </c>
      <c r="D48" t="s">
        <v>138</v>
      </c>
      <c r="E48" t="s">
        <v>139</v>
      </c>
      <c r="F48" t="s">
        <v>45</v>
      </c>
      <c r="G48" t="s">
        <v>142</v>
      </c>
      <c r="H48">
        <v>80.88</v>
      </c>
      <c r="I48">
        <v>6</v>
      </c>
      <c r="J48">
        <v>21.0288</v>
      </c>
      <c r="K48">
        <v>2012</v>
      </c>
      <c r="L48">
        <v>5</v>
      </c>
      <c r="M48" t="s">
        <v>47</v>
      </c>
      <c r="N48">
        <v>31</v>
      </c>
      <c r="O48">
        <v>2</v>
      </c>
      <c r="P48">
        <v>26</v>
      </c>
      <c r="Q48">
        <v>13.48</v>
      </c>
      <c r="R48" t="s">
        <v>26</v>
      </c>
      <c r="S48" t="b">
        <v>0</v>
      </c>
      <c r="T48" t="b">
        <v>0</v>
      </c>
    </row>
    <row r="49" spans="1:20" x14ac:dyDescent="0.3">
      <c r="A49" t="s">
        <v>143</v>
      </c>
      <c r="B49" s="1">
        <v>41057</v>
      </c>
      <c r="C49" s="1">
        <v>41063</v>
      </c>
      <c r="D49" t="s">
        <v>144</v>
      </c>
      <c r="E49" t="s">
        <v>39</v>
      </c>
      <c r="F49" t="s">
        <v>31</v>
      </c>
      <c r="G49" t="s">
        <v>145</v>
      </c>
      <c r="H49">
        <v>6.63</v>
      </c>
      <c r="I49">
        <v>3</v>
      </c>
      <c r="J49">
        <v>1.7901</v>
      </c>
      <c r="K49">
        <v>2012</v>
      </c>
      <c r="L49">
        <v>5</v>
      </c>
      <c r="M49" t="s">
        <v>47</v>
      </c>
      <c r="N49">
        <v>28</v>
      </c>
      <c r="O49">
        <v>6</v>
      </c>
      <c r="P49">
        <v>27</v>
      </c>
      <c r="Q49">
        <v>2.21</v>
      </c>
      <c r="R49" t="s">
        <v>26</v>
      </c>
      <c r="S49" t="b">
        <v>0</v>
      </c>
      <c r="T49" t="b">
        <v>0</v>
      </c>
    </row>
    <row r="50" spans="1:20" x14ac:dyDescent="0.3">
      <c r="A50" t="s">
        <v>146</v>
      </c>
      <c r="B50" s="1">
        <v>40603</v>
      </c>
      <c r="C50" s="1">
        <v>40608</v>
      </c>
      <c r="D50" t="s">
        <v>147</v>
      </c>
      <c r="E50" t="s">
        <v>39</v>
      </c>
      <c r="F50" t="s">
        <v>110</v>
      </c>
      <c r="G50" t="s">
        <v>148</v>
      </c>
      <c r="H50">
        <v>457.56799999999998</v>
      </c>
      <c r="I50">
        <v>2</v>
      </c>
      <c r="J50">
        <v>51.476399999999998</v>
      </c>
      <c r="K50">
        <v>2011</v>
      </c>
      <c r="L50">
        <v>3</v>
      </c>
      <c r="M50" t="s">
        <v>135</v>
      </c>
      <c r="N50">
        <v>1</v>
      </c>
      <c r="O50">
        <v>5</v>
      </c>
      <c r="P50">
        <v>11.25</v>
      </c>
      <c r="Q50">
        <v>228.78399999999999</v>
      </c>
      <c r="R50" t="s">
        <v>26</v>
      </c>
      <c r="S50" t="b">
        <v>0</v>
      </c>
      <c r="T50" t="b">
        <v>1</v>
      </c>
    </row>
    <row r="51" spans="1:20" x14ac:dyDescent="0.3">
      <c r="A51" t="s">
        <v>149</v>
      </c>
      <c r="B51" s="1">
        <v>41406</v>
      </c>
      <c r="C51" s="1">
        <v>41407</v>
      </c>
      <c r="D51" t="s">
        <v>150</v>
      </c>
      <c r="E51" t="s">
        <v>22</v>
      </c>
      <c r="F51" t="s">
        <v>72</v>
      </c>
      <c r="G51" t="s">
        <v>151</v>
      </c>
      <c r="H51">
        <v>5.98</v>
      </c>
      <c r="I51">
        <v>1</v>
      </c>
      <c r="J51">
        <v>2.6909999999999998</v>
      </c>
      <c r="K51">
        <v>2013</v>
      </c>
      <c r="L51">
        <v>5</v>
      </c>
      <c r="M51" t="s">
        <v>47</v>
      </c>
      <c r="N51">
        <v>12</v>
      </c>
      <c r="O51">
        <v>1</v>
      </c>
      <c r="P51">
        <v>45</v>
      </c>
      <c r="Q51">
        <v>5.98</v>
      </c>
      <c r="R51" t="s">
        <v>26</v>
      </c>
      <c r="S51" t="b">
        <v>0</v>
      </c>
      <c r="T51" t="b">
        <v>0</v>
      </c>
    </row>
    <row r="52" spans="1:20" x14ac:dyDescent="0.3">
      <c r="A52" t="s">
        <v>152</v>
      </c>
      <c r="B52" s="1">
        <v>41595</v>
      </c>
      <c r="C52" s="1">
        <v>41599</v>
      </c>
      <c r="D52" t="s">
        <v>153</v>
      </c>
      <c r="E52" t="s">
        <v>154</v>
      </c>
      <c r="F52" t="s">
        <v>128</v>
      </c>
      <c r="G52" t="s">
        <v>155</v>
      </c>
      <c r="H52">
        <v>28.4</v>
      </c>
      <c r="I52">
        <v>5</v>
      </c>
      <c r="J52">
        <v>13.348000000000001</v>
      </c>
      <c r="K52">
        <v>2013</v>
      </c>
      <c r="L52">
        <v>11</v>
      </c>
      <c r="M52" t="s">
        <v>70</v>
      </c>
      <c r="N52">
        <v>17</v>
      </c>
      <c r="O52">
        <v>4</v>
      </c>
      <c r="P52">
        <v>47</v>
      </c>
      <c r="Q52">
        <v>5.68</v>
      </c>
      <c r="R52" t="s">
        <v>26</v>
      </c>
      <c r="S52" t="b">
        <v>0</v>
      </c>
      <c r="T52" t="b">
        <v>0</v>
      </c>
    </row>
    <row r="53" spans="1:20" x14ac:dyDescent="0.3">
      <c r="A53" t="s">
        <v>156</v>
      </c>
      <c r="B53" s="1">
        <v>41586</v>
      </c>
      <c r="C53" s="1">
        <v>41590</v>
      </c>
      <c r="D53" t="s">
        <v>157</v>
      </c>
      <c r="E53" t="s">
        <v>39</v>
      </c>
      <c r="F53" t="s">
        <v>33</v>
      </c>
      <c r="G53" t="s">
        <v>158</v>
      </c>
      <c r="H53">
        <v>27.68</v>
      </c>
      <c r="I53">
        <v>2</v>
      </c>
      <c r="J53">
        <v>9.6880000000000006</v>
      </c>
      <c r="K53">
        <v>2013</v>
      </c>
      <c r="L53">
        <v>11</v>
      </c>
      <c r="M53" t="s">
        <v>70</v>
      </c>
      <c r="N53">
        <v>8</v>
      </c>
      <c r="O53">
        <v>4</v>
      </c>
      <c r="P53">
        <v>35</v>
      </c>
      <c r="Q53">
        <v>13.84</v>
      </c>
      <c r="R53" t="s">
        <v>26</v>
      </c>
      <c r="S53" t="b">
        <v>0</v>
      </c>
      <c r="T53" t="b">
        <v>0</v>
      </c>
    </row>
    <row r="54" spans="1:20" x14ac:dyDescent="0.3">
      <c r="A54" t="s">
        <v>159</v>
      </c>
      <c r="B54" s="1">
        <v>40760</v>
      </c>
      <c r="C54" s="1">
        <v>40764</v>
      </c>
      <c r="D54" t="s">
        <v>160</v>
      </c>
      <c r="E54" t="s">
        <v>22</v>
      </c>
      <c r="F54" t="s">
        <v>72</v>
      </c>
      <c r="G54" t="s">
        <v>161</v>
      </c>
      <c r="H54">
        <v>20.94</v>
      </c>
      <c r="I54">
        <v>3</v>
      </c>
      <c r="J54">
        <v>9.8417999999999992</v>
      </c>
      <c r="K54">
        <v>2011</v>
      </c>
      <c r="L54">
        <v>8</v>
      </c>
      <c r="M54" t="s">
        <v>53</v>
      </c>
      <c r="N54">
        <v>5</v>
      </c>
      <c r="O54">
        <v>4</v>
      </c>
      <c r="P54">
        <v>47</v>
      </c>
      <c r="Q54">
        <v>6.98</v>
      </c>
      <c r="R54" t="s">
        <v>26</v>
      </c>
      <c r="S54" t="b">
        <v>0</v>
      </c>
      <c r="T54" t="b">
        <v>0</v>
      </c>
    </row>
    <row r="55" spans="1:20" x14ac:dyDescent="0.3">
      <c r="A55" t="s">
        <v>159</v>
      </c>
      <c r="B55" s="1">
        <v>40760</v>
      </c>
      <c r="C55" s="1">
        <v>40764</v>
      </c>
      <c r="D55" t="s">
        <v>160</v>
      </c>
      <c r="E55" t="s">
        <v>22</v>
      </c>
      <c r="F55" t="s">
        <v>72</v>
      </c>
      <c r="G55" t="s">
        <v>162</v>
      </c>
      <c r="H55">
        <v>110.96</v>
      </c>
      <c r="I55">
        <v>2</v>
      </c>
      <c r="J55">
        <v>53.260800000000003</v>
      </c>
      <c r="K55">
        <v>2011</v>
      </c>
      <c r="L55">
        <v>8</v>
      </c>
      <c r="M55" t="s">
        <v>53</v>
      </c>
      <c r="N55">
        <v>5</v>
      </c>
      <c r="O55">
        <v>4</v>
      </c>
      <c r="P55">
        <v>48</v>
      </c>
      <c r="Q55">
        <v>55.48</v>
      </c>
      <c r="R55" t="s">
        <v>26</v>
      </c>
      <c r="S55" t="b">
        <v>0</v>
      </c>
      <c r="T55" t="b">
        <v>0</v>
      </c>
    </row>
    <row r="56" spans="1:20" x14ac:dyDescent="0.3">
      <c r="A56" t="s">
        <v>159</v>
      </c>
      <c r="B56" s="1">
        <v>40760</v>
      </c>
      <c r="C56" s="1">
        <v>40764</v>
      </c>
      <c r="D56" t="s">
        <v>160</v>
      </c>
      <c r="E56" t="s">
        <v>22</v>
      </c>
      <c r="F56" t="s">
        <v>110</v>
      </c>
      <c r="G56" t="s">
        <v>163</v>
      </c>
      <c r="H56">
        <v>340.14400000000001</v>
      </c>
      <c r="I56">
        <v>7</v>
      </c>
      <c r="J56">
        <v>21.259</v>
      </c>
      <c r="K56">
        <v>2011</v>
      </c>
      <c r="L56">
        <v>8</v>
      </c>
      <c r="M56" t="s">
        <v>53</v>
      </c>
      <c r="N56">
        <v>5</v>
      </c>
      <c r="O56">
        <v>4</v>
      </c>
      <c r="P56">
        <v>6.25</v>
      </c>
      <c r="Q56">
        <v>48.591999999999999</v>
      </c>
      <c r="R56" t="s">
        <v>26</v>
      </c>
      <c r="S56" t="b">
        <v>0</v>
      </c>
      <c r="T56" t="b">
        <v>1</v>
      </c>
    </row>
    <row r="57" spans="1:20" x14ac:dyDescent="0.3">
      <c r="A57" t="s">
        <v>164</v>
      </c>
      <c r="B57" s="1">
        <v>40781</v>
      </c>
      <c r="C57" s="1">
        <v>40785</v>
      </c>
      <c r="D57" t="s">
        <v>165</v>
      </c>
      <c r="E57" t="s">
        <v>22</v>
      </c>
      <c r="F57" t="s">
        <v>61</v>
      </c>
      <c r="G57" t="s">
        <v>166</v>
      </c>
      <c r="H57">
        <v>176.8</v>
      </c>
      <c r="I57">
        <v>8</v>
      </c>
      <c r="J57">
        <v>22.984000000000002</v>
      </c>
      <c r="K57">
        <v>2011</v>
      </c>
      <c r="L57">
        <v>8</v>
      </c>
      <c r="M57" t="s">
        <v>53</v>
      </c>
      <c r="N57">
        <v>26</v>
      </c>
      <c r="O57">
        <v>4</v>
      </c>
      <c r="P57">
        <v>13</v>
      </c>
      <c r="Q57">
        <v>22.1</v>
      </c>
      <c r="R57" t="s">
        <v>26</v>
      </c>
      <c r="S57" t="b">
        <v>0</v>
      </c>
      <c r="T57" t="b">
        <v>0</v>
      </c>
    </row>
    <row r="58" spans="1:20" x14ac:dyDescent="0.3">
      <c r="A58" t="s">
        <v>167</v>
      </c>
      <c r="B58" s="1">
        <v>41213</v>
      </c>
      <c r="C58" s="1">
        <v>41219</v>
      </c>
      <c r="D58" t="s">
        <v>168</v>
      </c>
      <c r="E58" t="s">
        <v>169</v>
      </c>
      <c r="F58" t="s">
        <v>128</v>
      </c>
      <c r="G58" t="s">
        <v>170</v>
      </c>
      <c r="H58">
        <v>14.28</v>
      </c>
      <c r="I58">
        <v>7</v>
      </c>
      <c r="J58">
        <v>6.7115999999999998</v>
      </c>
      <c r="K58">
        <v>2012</v>
      </c>
      <c r="L58">
        <v>10</v>
      </c>
      <c r="M58" t="s">
        <v>82</v>
      </c>
      <c r="N58">
        <v>31</v>
      </c>
      <c r="O58">
        <v>6</v>
      </c>
      <c r="P58">
        <v>47</v>
      </c>
      <c r="Q58">
        <v>2.04</v>
      </c>
      <c r="R58" t="s">
        <v>26</v>
      </c>
      <c r="S58" t="b">
        <v>0</v>
      </c>
      <c r="T58" t="b">
        <v>0</v>
      </c>
    </row>
    <row r="59" spans="1:20" x14ac:dyDescent="0.3">
      <c r="A59" t="s">
        <v>171</v>
      </c>
      <c r="B59" s="1">
        <v>40758</v>
      </c>
      <c r="C59" s="1">
        <v>40760</v>
      </c>
      <c r="D59" t="s">
        <v>172</v>
      </c>
      <c r="E59" t="s">
        <v>173</v>
      </c>
      <c r="F59" t="s">
        <v>174</v>
      </c>
      <c r="G59" t="s">
        <v>175</v>
      </c>
      <c r="H59">
        <v>218.75</v>
      </c>
      <c r="I59">
        <v>2</v>
      </c>
      <c r="J59">
        <v>-161.875</v>
      </c>
      <c r="K59">
        <v>2011</v>
      </c>
      <c r="L59">
        <v>8</v>
      </c>
      <c r="M59" t="s">
        <v>53</v>
      </c>
      <c r="N59">
        <v>3</v>
      </c>
      <c r="O59">
        <v>2</v>
      </c>
      <c r="P59">
        <v>-74</v>
      </c>
      <c r="Q59">
        <v>109.375</v>
      </c>
      <c r="R59" t="s">
        <v>26</v>
      </c>
      <c r="S59" t="b">
        <v>1</v>
      </c>
      <c r="T59" t="b">
        <v>1</v>
      </c>
    </row>
    <row r="60" spans="1:20" x14ac:dyDescent="0.3">
      <c r="A60" t="s">
        <v>171</v>
      </c>
      <c r="B60" s="1">
        <v>40758</v>
      </c>
      <c r="C60" s="1">
        <v>40760</v>
      </c>
      <c r="D60" t="s">
        <v>172</v>
      </c>
      <c r="E60" t="s">
        <v>173</v>
      </c>
      <c r="F60" t="s">
        <v>35</v>
      </c>
      <c r="G60" t="s">
        <v>176</v>
      </c>
      <c r="H60">
        <v>2.6</v>
      </c>
      <c r="I60">
        <v>1</v>
      </c>
      <c r="J60">
        <v>0.29249999999999998</v>
      </c>
      <c r="K60">
        <v>2011</v>
      </c>
      <c r="L60">
        <v>8</v>
      </c>
      <c r="M60" t="s">
        <v>53</v>
      </c>
      <c r="N60">
        <v>3</v>
      </c>
      <c r="O60">
        <v>2</v>
      </c>
      <c r="P60">
        <v>11.25</v>
      </c>
      <c r="Q60">
        <v>2.6</v>
      </c>
      <c r="R60" t="s">
        <v>26</v>
      </c>
      <c r="S60" t="b">
        <v>0</v>
      </c>
      <c r="T60" t="b">
        <v>0</v>
      </c>
    </row>
    <row r="61" spans="1:20" x14ac:dyDescent="0.3">
      <c r="A61" t="s">
        <v>177</v>
      </c>
      <c r="B61" s="1">
        <v>41983</v>
      </c>
      <c r="C61" s="1">
        <v>41988</v>
      </c>
      <c r="D61" t="s">
        <v>178</v>
      </c>
      <c r="E61" t="s">
        <v>179</v>
      </c>
      <c r="F61" t="s">
        <v>54</v>
      </c>
      <c r="G61" t="s">
        <v>180</v>
      </c>
      <c r="H61">
        <v>444.76799999999997</v>
      </c>
      <c r="I61">
        <v>4</v>
      </c>
      <c r="J61">
        <v>44.476799999999997</v>
      </c>
      <c r="K61">
        <v>2014</v>
      </c>
      <c r="L61">
        <v>12</v>
      </c>
      <c r="M61" t="s">
        <v>41</v>
      </c>
      <c r="N61">
        <v>10</v>
      </c>
      <c r="O61">
        <v>5</v>
      </c>
      <c r="P61">
        <v>10</v>
      </c>
      <c r="Q61">
        <v>111.19199999999999</v>
      </c>
      <c r="R61" t="s">
        <v>48</v>
      </c>
      <c r="S61" t="b">
        <v>0</v>
      </c>
      <c r="T61" t="b">
        <v>1</v>
      </c>
    </row>
    <row r="62" spans="1:20" x14ac:dyDescent="0.3">
      <c r="A62" t="s">
        <v>181</v>
      </c>
      <c r="B62" s="1">
        <v>41576</v>
      </c>
      <c r="C62" s="1">
        <v>41580</v>
      </c>
      <c r="D62" t="s">
        <v>182</v>
      </c>
      <c r="E62" t="s">
        <v>22</v>
      </c>
      <c r="F62" t="s">
        <v>45</v>
      </c>
      <c r="G62" t="s">
        <v>183</v>
      </c>
      <c r="H62">
        <v>93.06</v>
      </c>
      <c r="I62">
        <v>6</v>
      </c>
      <c r="J62">
        <v>26.056799999999999</v>
      </c>
      <c r="K62">
        <v>2013</v>
      </c>
      <c r="L62">
        <v>10</v>
      </c>
      <c r="M62" t="s">
        <v>82</v>
      </c>
      <c r="N62">
        <v>29</v>
      </c>
      <c r="O62">
        <v>4</v>
      </c>
      <c r="P62">
        <v>28</v>
      </c>
      <c r="Q62">
        <v>15.51</v>
      </c>
      <c r="R62" t="s">
        <v>26</v>
      </c>
      <c r="S62" t="b">
        <v>0</v>
      </c>
      <c r="T62" t="b">
        <v>0</v>
      </c>
    </row>
    <row r="63" spans="1:20" x14ac:dyDescent="0.3">
      <c r="A63" t="s">
        <v>181</v>
      </c>
      <c r="B63" s="1">
        <v>41576</v>
      </c>
      <c r="C63" s="1">
        <v>41580</v>
      </c>
      <c r="D63" t="s">
        <v>182</v>
      </c>
      <c r="E63" t="s">
        <v>22</v>
      </c>
      <c r="F63" t="s">
        <v>54</v>
      </c>
      <c r="G63" t="s">
        <v>184</v>
      </c>
      <c r="H63">
        <v>302.37599999999998</v>
      </c>
      <c r="I63">
        <v>3</v>
      </c>
      <c r="J63">
        <v>22.6782</v>
      </c>
      <c r="K63">
        <v>2013</v>
      </c>
      <c r="L63">
        <v>10</v>
      </c>
      <c r="M63" t="s">
        <v>82</v>
      </c>
      <c r="N63">
        <v>29</v>
      </c>
      <c r="O63">
        <v>4</v>
      </c>
      <c r="P63">
        <v>7.5</v>
      </c>
      <c r="Q63">
        <v>100.792</v>
      </c>
      <c r="R63" t="s">
        <v>26</v>
      </c>
      <c r="S63" t="b">
        <v>0</v>
      </c>
      <c r="T63" t="b">
        <v>1</v>
      </c>
    </row>
    <row r="64" spans="1:20" x14ac:dyDescent="0.3">
      <c r="A64" t="s">
        <v>185</v>
      </c>
      <c r="B64" s="1">
        <v>41956</v>
      </c>
      <c r="C64" s="1">
        <v>41960</v>
      </c>
      <c r="D64" t="s">
        <v>186</v>
      </c>
      <c r="E64" t="s">
        <v>187</v>
      </c>
      <c r="F64" t="s">
        <v>72</v>
      </c>
      <c r="G64" t="s">
        <v>188</v>
      </c>
      <c r="H64">
        <v>10.56</v>
      </c>
      <c r="I64">
        <v>2</v>
      </c>
      <c r="J64">
        <v>4.7519999999999998</v>
      </c>
      <c r="K64">
        <v>2014</v>
      </c>
      <c r="L64">
        <v>11</v>
      </c>
      <c r="M64" t="s">
        <v>70</v>
      </c>
      <c r="N64">
        <v>13</v>
      </c>
      <c r="O64">
        <v>4</v>
      </c>
      <c r="P64">
        <v>45</v>
      </c>
      <c r="Q64">
        <v>5.28</v>
      </c>
      <c r="R64" t="s">
        <v>26</v>
      </c>
      <c r="S64" t="b">
        <v>0</v>
      </c>
      <c r="T64" t="b">
        <v>0</v>
      </c>
    </row>
    <row r="65" spans="1:20" x14ac:dyDescent="0.3">
      <c r="A65" t="s">
        <v>189</v>
      </c>
      <c r="B65" s="1">
        <v>41619</v>
      </c>
      <c r="C65" s="1">
        <v>41624</v>
      </c>
      <c r="D65" t="s">
        <v>190</v>
      </c>
      <c r="E65" t="s">
        <v>51</v>
      </c>
      <c r="F65" t="s">
        <v>110</v>
      </c>
      <c r="G65" t="s">
        <v>191</v>
      </c>
      <c r="H65">
        <v>321.56799999999998</v>
      </c>
      <c r="I65">
        <v>2</v>
      </c>
      <c r="J65">
        <v>28.1372</v>
      </c>
      <c r="K65">
        <v>2013</v>
      </c>
      <c r="L65">
        <v>12</v>
      </c>
      <c r="M65" t="s">
        <v>41</v>
      </c>
      <c r="N65">
        <v>11</v>
      </c>
      <c r="O65">
        <v>5</v>
      </c>
      <c r="P65">
        <v>8.75</v>
      </c>
      <c r="Q65">
        <v>160.78399999999999</v>
      </c>
      <c r="R65" t="s">
        <v>26</v>
      </c>
      <c r="S65" t="b">
        <v>0</v>
      </c>
      <c r="T65" t="b">
        <v>1</v>
      </c>
    </row>
    <row r="66" spans="1:20" x14ac:dyDescent="0.3">
      <c r="A66" t="s">
        <v>192</v>
      </c>
      <c r="B66" s="1">
        <v>41529</v>
      </c>
      <c r="C66" s="1">
        <v>41535</v>
      </c>
      <c r="D66" t="s">
        <v>193</v>
      </c>
      <c r="E66" t="s">
        <v>194</v>
      </c>
      <c r="F66" t="s">
        <v>72</v>
      </c>
      <c r="G66" t="s">
        <v>195</v>
      </c>
      <c r="H66">
        <v>7.61</v>
      </c>
      <c r="I66">
        <v>1</v>
      </c>
      <c r="J66">
        <v>3.5767000000000002</v>
      </c>
      <c r="K66">
        <v>2013</v>
      </c>
      <c r="L66">
        <v>9</v>
      </c>
      <c r="M66" t="s">
        <v>87</v>
      </c>
      <c r="N66">
        <v>12</v>
      </c>
      <c r="O66">
        <v>6</v>
      </c>
      <c r="P66">
        <v>47</v>
      </c>
      <c r="Q66">
        <v>7.61</v>
      </c>
      <c r="R66" t="s">
        <v>26</v>
      </c>
      <c r="S66" t="b">
        <v>0</v>
      </c>
      <c r="T66" t="b">
        <v>0</v>
      </c>
    </row>
    <row r="67" spans="1:20" x14ac:dyDescent="0.3">
      <c r="A67" t="s">
        <v>196</v>
      </c>
      <c r="B67" s="1">
        <v>41223</v>
      </c>
      <c r="C67" s="1">
        <v>41228</v>
      </c>
      <c r="D67" t="s">
        <v>197</v>
      </c>
      <c r="E67" t="s">
        <v>198</v>
      </c>
      <c r="F67" t="s">
        <v>61</v>
      </c>
      <c r="G67" t="s">
        <v>199</v>
      </c>
      <c r="H67">
        <v>79.900000000000006</v>
      </c>
      <c r="I67">
        <v>2</v>
      </c>
      <c r="J67">
        <v>35.155999999999999</v>
      </c>
      <c r="K67">
        <v>2012</v>
      </c>
      <c r="L67">
        <v>11</v>
      </c>
      <c r="M67" t="s">
        <v>70</v>
      </c>
      <c r="N67">
        <v>10</v>
      </c>
      <c r="O67">
        <v>5</v>
      </c>
      <c r="P67">
        <v>44</v>
      </c>
      <c r="Q67">
        <v>39.950000000000003</v>
      </c>
      <c r="R67" t="s">
        <v>26</v>
      </c>
      <c r="S67" t="b">
        <v>0</v>
      </c>
      <c r="T67" t="b">
        <v>0</v>
      </c>
    </row>
    <row r="68" spans="1:20" x14ac:dyDescent="0.3">
      <c r="A68" t="s">
        <v>200</v>
      </c>
      <c r="B68" s="1">
        <v>41120</v>
      </c>
      <c r="C68" s="1">
        <v>41121</v>
      </c>
      <c r="D68" t="s">
        <v>201</v>
      </c>
      <c r="E68" t="s">
        <v>51</v>
      </c>
      <c r="F68" t="s">
        <v>61</v>
      </c>
      <c r="G68" t="s">
        <v>202</v>
      </c>
      <c r="H68">
        <v>209.93</v>
      </c>
      <c r="I68">
        <v>7</v>
      </c>
      <c r="J68">
        <v>92.369200000000006</v>
      </c>
      <c r="K68">
        <v>2012</v>
      </c>
      <c r="L68">
        <v>7</v>
      </c>
      <c r="M68" t="s">
        <v>66</v>
      </c>
      <c r="N68">
        <v>30</v>
      </c>
      <c r="O68">
        <v>1</v>
      </c>
      <c r="P68">
        <v>44</v>
      </c>
      <c r="Q68">
        <v>29.99</v>
      </c>
      <c r="R68" t="s">
        <v>26</v>
      </c>
      <c r="S68" t="b">
        <v>0</v>
      </c>
      <c r="T68" t="b">
        <v>0</v>
      </c>
    </row>
    <row r="69" spans="1:20" x14ac:dyDescent="0.3">
      <c r="A69" t="s">
        <v>200</v>
      </c>
      <c r="B69" s="1">
        <v>41120</v>
      </c>
      <c r="C69" s="1">
        <v>41121</v>
      </c>
      <c r="D69" t="s">
        <v>201</v>
      </c>
      <c r="E69" t="s">
        <v>51</v>
      </c>
      <c r="F69" t="s">
        <v>29</v>
      </c>
      <c r="G69" t="s">
        <v>203</v>
      </c>
      <c r="H69">
        <v>5.28</v>
      </c>
      <c r="I69">
        <v>3</v>
      </c>
      <c r="J69">
        <v>2.3231999999999999</v>
      </c>
      <c r="K69">
        <v>2012</v>
      </c>
      <c r="L69">
        <v>7</v>
      </c>
      <c r="M69" t="s">
        <v>66</v>
      </c>
      <c r="N69">
        <v>30</v>
      </c>
      <c r="O69">
        <v>1</v>
      </c>
      <c r="P69">
        <v>44</v>
      </c>
      <c r="Q69">
        <v>1.76</v>
      </c>
      <c r="R69" t="s">
        <v>26</v>
      </c>
      <c r="S69" t="b">
        <v>0</v>
      </c>
      <c r="T69" t="b">
        <v>0</v>
      </c>
    </row>
    <row r="70" spans="1:20" x14ac:dyDescent="0.3">
      <c r="A70" t="s">
        <v>200</v>
      </c>
      <c r="B70" s="1">
        <v>41120</v>
      </c>
      <c r="C70" s="1">
        <v>41121</v>
      </c>
      <c r="D70" t="s">
        <v>201</v>
      </c>
      <c r="E70" t="s">
        <v>51</v>
      </c>
      <c r="F70" t="s">
        <v>33</v>
      </c>
      <c r="G70" t="s">
        <v>204</v>
      </c>
      <c r="H70">
        <v>10.92</v>
      </c>
      <c r="I70">
        <v>3</v>
      </c>
      <c r="J70">
        <v>4.0949999999999998</v>
      </c>
      <c r="K70">
        <v>2012</v>
      </c>
      <c r="L70">
        <v>7</v>
      </c>
      <c r="M70" t="s">
        <v>66</v>
      </c>
      <c r="N70">
        <v>30</v>
      </c>
      <c r="O70">
        <v>1</v>
      </c>
      <c r="P70">
        <v>37.5</v>
      </c>
      <c r="Q70">
        <v>3.64</v>
      </c>
      <c r="R70" t="s">
        <v>26</v>
      </c>
      <c r="S70" t="b">
        <v>0</v>
      </c>
      <c r="T70" t="b">
        <v>0</v>
      </c>
    </row>
    <row r="71" spans="1:20" x14ac:dyDescent="0.3">
      <c r="A71" t="s">
        <v>205</v>
      </c>
      <c r="B71" s="1">
        <v>41899</v>
      </c>
      <c r="C71" s="1">
        <v>41900</v>
      </c>
      <c r="D71" t="s">
        <v>206</v>
      </c>
      <c r="E71" t="s">
        <v>207</v>
      </c>
      <c r="F71" t="s">
        <v>72</v>
      </c>
      <c r="G71" t="s">
        <v>208</v>
      </c>
      <c r="H71">
        <v>8.82</v>
      </c>
      <c r="I71">
        <v>2</v>
      </c>
      <c r="J71">
        <v>4.0571999999999999</v>
      </c>
      <c r="K71">
        <v>2014</v>
      </c>
      <c r="L71">
        <v>9</v>
      </c>
      <c r="M71" t="s">
        <v>87</v>
      </c>
      <c r="N71">
        <v>17</v>
      </c>
      <c r="O71">
        <v>1</v>
      </c>
      <c r="P71">
        <v>46</v>
      </c>
      <c r="Q71">
        <v>4.41</v>
      </c>
      <c r="R71" t="s">
        <v>26</v>
      </c>
      <c r="S71" t="b">
        <v>0</v>
      </c>
      <c r="T71" t="b">
        <v>0</v>
      </c>
    </row>
    <row r="72" spans="1:20" x14ac:dyDescent="0.3">
      <c r="A72" t="s">
        <v>205</v>
      </c>
      <c r="B72" s="1">
        <v>41899</v>
      </c>
      <c r="C72" s="1">
        <v>41900</v>
      </c>
      <c r="D72" t="s">
        <v>206</v>
      </c>
      <c r="E72" t="s">
        <v>207</v>
      </c>
      <c r="F72" t="s">
        <v>31</v>
      </c>
      <c r="G72" t="s">
        <v>209</v>
      </c>
      <c r="H72">
        <v>5.98</v>
      </c>
      <c r="I72">
        <v>1</v>
      </c>
      <c r="J72">
        <v>1.5548</v>
      </c>
      <c r="K72">
        <v>2014</v>
      </c>
      <c r="L72">
        <v>9</v>
      </c>
      <c r="M72" t="s">
        <v>87</v>
      </c>
      <c r="N72">
        <v>17</v>
      </c>
      <c r="O72">
        <v>1</v>
      </c>
      <c r="P72">
        <v>26</v>
      </c>
      <c r="Q72">
        <v>5.98</v>
      </c>
      <c r="R72" t="s">
        <v>26</v>
      </c>
      <c r="S72" t="b">
        <v>0</v>
      </c>
      <c r="T72" t="b">
        <v>0</v>
      </c>
    </row>
    <row r="73" spans="1:20" x14ac:dyDescent="0.3">
      <c r="A73" t="s">
        <v>210</v>
      </c>
      <c r="B73" s="1">
        <v>41178</v>
      </c>
      <c r="C73" s="1">
        <v>41184</v>
      </c>
      <c r="D73" t="s">
        <v>211</v>
      </c>
      <c r="E73" t="s">
        <v>92</v>
      </c>
      <c r="F73" t="s">
        <v>72</v>
      </c>
      <c r="G73" t="s">
        <v>155</v>
      </c>
      <c r="H73">
        <v>141.76</v>
      </c>
      <c r="I73">
        <v>5</v>
      </c>
      <c r="J73">
        <v>47.844000000000001</v>
      </c>
      <c r="K73">
        <v>2012</v>
      </c>
      <c r="L73">
        <v>9</v>
      </c>
      <c r="M73" t="s">
        <v>87</v>
      </c>
      <c r="N73">
        <v>26</v>
      </c>
      <c r="O73">
        <v>6</v>
      </c>
      <c r="P73">
        <v>33.75</v>
      </c>
      <c r="Q73">
        <v>28.352</v>
      </c>
      <c r="R73" t="s">
        <v>26</v>
      </c>
      <c r="S73" t="b">
        <v>0</v>
      </c>
      <c r="T73" t="b">
        <v>0</v>
      </c>
    </row>
    <row r="74" spans="1:20" x14ac:dyDescent="0.3">
      <c r="A74" t="s">
        <v>210</v>
      </c>
      <c r="B74" s="1">
        <v>41178</v>
      </c>
      <c r="C74" s="1">
        <v>41184</v>
      </c>
      <c r="D74" t="s">
        <v>211</v>
      </c>
      <c r="E74" t="s">
        <v>92</v>
      </c>
      <c r="F74" t="s">
        <v>61</v>
      </c>
      <c r="G74" t="s">
        <v>212</v>
      </c>
      <c r="H74">
        <v>239.8</v>
      </c>
      <c r="I74">
        <v>5</v>
      </c>
      <c r="J74">
        <v>47.96</v>
      </c>
      <c r="K74">
        <v>2012</v>
      </c>
      <c r="L74">
        <v>9</v>
      </c>
      <c r="M74" t="s">
        <v>87</v>
      </c>
      <c r="N74">
        <v>26</v>
      </c>
      <c r="O74">
        <v>6</v>
      </c>
      <c r="P74">
        <v>20</v>
      </c>
      <c r="Q74">
        <v>47.96</v>
      </c>
      <c r="R74" t="s">
        <v>26</v>
      </c>
      <c r="S74" t="b">
        <v>0</v>
      </c>
      <c r="T74" t="b">
        <v>1</v>
      </c>
    </row>
    <row r="75" spans="1:20" x14ac:dyDescent="0.3">
      <c r="A75" t="s">
        <v>210</v>
      </c>
      <c r="B75" s="1">
        <v>41178</v>
      </c>
      <c r="C75" s="1">
        <v>41184</v>
      </c>
      <c r="D75" t="s">
        <v>211</v>
      </c>
      <c r="E75" t="s">
        <v>92</v>
      </c>
      <c r="F75" t="s">
        <v>72</v>
      </c>
      <c r="G75" t="s">
        <v>213</v>
      </c>
      <c r="H75">
        <v>31.103999999999999</v>
      </c>
      <c r="I75">
        <v>6</v>
      </c>
      <c r="J75">
        <v>10.8864</v>
      </c>
      <c r="K75">
        <v>2012</v>
      </c>
      <c r="L75">
        <v>9</v>
      </c>
      <c r="M75" t="s">
        <v>87</v>
      </c>
      <c r="N75">
        <v>26</v>
      </c>
      <c r="O75">
        <v>6</v>
      </c>
      <c r="P75">
        <v>35</v>
      </c>
      <c r="Q75">
        <v>5.1840000000000002</v>
      </c>
      <c r="R75" t="s">
        <v>26</v>
      </c>
      <c r="S75" t="b">
        <v>0</v>
      </c>
      <c r="T75" t="b">
        <v>0</v>
      </c>
    </row>
    <row r="76" spans="1:20" x14ac:dyDescent="0.3">
      <c r="A76" t="s">
        <v>214</v>
      </c>
      <c r="B76" s="1">
        <v>40903</v>
      </c>
      <c r="C76" s="1">
        <v>40905</v>
      </c>
      <c r="D76" t="s">
        <v>215</v>
      </c>
      <c r="E76" t="s">
        <v>216</v>
      </c>
      <c r="F76" t="s">
        <v>29</v>
      </c>
      <c r="G76" t="s">
        <v>217</v>
      </c>
      <c r="H76">
        <v>300.416</v>
      </c>
      <c r="I76">
        <v>8</v>
      </c>
      <c r="J76">
        <v>78.859200000000001</v>
      </c>
      <c r="K76">
        <v>2011</v>
      </c>
      <c r="L76">
        <v>12</v>
      </c>
      <c r="M76" t="s">
        <v>41</v>
      </c>
      <c r="N76">
        <v>26</v>
      </c>
      <c r="O76">
        <v>2</v>
      </c>
      <c r="P76">
        <v>26.25</v>
      </c>
      <c r="Q76">
        <v>37.552</v>
      </c>
      <c r="R76" t="s">
        <v>26</v>
      </c>
      <c r="S76" t="b">
        <v>0</v>
      </c>
      <c r="T76" t="b">
        <v>1</v>
      </c>
    </row>
    <row r="77" spans="1:20" x14ac:dyDescent="0.3">
      <c r="A77" t="s">
        <v>214</v>
      </c>
      <c r="B77" s="1">
        <v>40903</v>
      </c>
      <c r="C77" s="1">
        <v>40905</v>
      </c>
      <c r="D77" t="s">
        <v>215</v>
      </c>
      <c r="E77" t="s">
        <v>216</v>
      </c>
      <c r="F77" t="s">
        <v>110</v>
      </c>
      <c r="G77" t="s">
        <v>218</v>
      </c>
      <c r="H77">
        <v>230.352</v>
      </c>
      <c r="I77">
        <v>3</v>
      </c>
      <c r="J77">
        <v>20.155799999999999</v>
      </c>
      <c r="K77">
        <v>2011</v>
      </c>
      <c r="L77">
        <v>12</v>
      </c>
      <c r="M77" t="s">
        <v>41</v>
      </c>
      <c r="N77">
        <v>26</v>
      </c>
      <c r="O77">
        <v>2</v>
      </c>
      <c r="P77">
        <v>8.75</v>
      </c>
      <c r="Q77">
        <v>76.784000000000006</v>
      </c>
      <c r="R77" t="s">
        <v>26</v>
      </c>
      <c r="S77" t="b">
        <v>0</v>
      </c>
      <c r="T77" t="b">
        <v>1</v>
      </c>
    </row>
    <row r="78" spans="1:20" x14ac:dyDescent="0.3">
      <c r="A78" t="s">
        <v>214</v>
      </c>
      <c r="B78" s="1">
        <v>40903</v>
      </c>
      <c r="C78" s="1">
        <v>40905</v>
      </c>
      <c r="D78" t="s">
        <v>215</v>
      </c>
      <c r="E78" t="s">
        <v>216</v>
      </c>
      <c r="F78" t="s">
        <v>29</v>
      </c>
      <c r="G78" t="s">
        <v>219</v>
      </c>
      <c r="H78">
        <v>218.352</v>
      </c>
      <c r="I78">
        <v>3</v>
      </c>
      <c r="J78">
        <v>-24.564599999999999</v>
      </c>
      <c r="K78">
        <v>2011</v>
      </c>
      <c r="L78">
        <v>12</v>
      </c>
      <c r="M78" t="s">
        <v>41</v>
      </c>
      <c r="N78">
        <v>26</v>
      </c>
      <c r="O78">
        <v>2</v>
      </c>
      <c r="P78">
        <v>-11.25</v>
      </c>
      <c r="Q78">
        <v>72.784000000000006</v>
      </c>
      <c r="R78" t="s">
        <v>26</v>
      </c>
      <c r="S78" t="b">
        <v>1</v>
      </c>
      <c r="T78" t="b">
        <v>1</v>
      </c>
    </row>
    <row r="79" spans="1:20" x14ac:dyDescent="0.3">
      <c r="A79" t="s">
        <v>214</v>
      </c>
      <c r="B79" s="1">
        <v>40903</v>
      </c>
      <c r="C79" s="1">
        <v>40905</v>
      </c>
      <c r="D79" t="s">
        <v>215</v>
      </c>
      <c r="E79" t="s">
        <v>216</v>
      </c>
      <c r="F79" t="s">
        <v>33</v>
      </c>
      <c r="G79" t="s">
        <v>220</v>
      </c>
      <c r="H79">
        <v>78.599999999999994</v>
      </c>
      <c r="I79">
        <v>5</v>
      </c>
      <c r="J79">
        <v>-62.88</v>
      </c>
      <c r="K79">
        <v>2011</v>
      </c>
      <c r="L79">
        <v>12</v>
      </c>
      <c r="M79" t="s">
        <v>41</v>
      </c>
      <c r="N79">
        <v>26</v>
      </c>
      <c r="O79">
        <v>2</v>
      </c>
      <c r="P79">
        <v>-80</v>
      </c>
      <c r="Q79">
        <v>15.72</v>
      </c>
      <c r="R79" t="s">
        <v>26</v>
      </c>
      <c r="S79" t="b">
        <v>1</v>
      </c>
      <c r="T79" t="b">
        <v>0</v>
      </c>
    </row>
    <row r="80" spans="1:20" x14ac:dyDescent="0.3">
      <c r="A80" t="s">
        <v>214</v>
      </c>
      <c r="B80" s="1">
        <v>40903</v>
      </c>
      <c r="C80" s="1">
        <v>40905</v>
      </c>
      <c r="D80" t="s">
        <v>215</v>
      </c>
      <c r="E80" t="s">
        <v>216</v>
      </c>
      <c r="F80" t="s">
        <v>119</v>
      </c>
      <c r="G80" t="s">
        <v>221</v>
      </c>
      <c r="H80">
        <v>27.552</v>
      </c>
      <c r="I80">
        <v>3</v>
      </c>
      <c r="J80">
        <v>9.2988</v>
      </c>
      <c r="K80">
        <v>2011</v>
      </c>
      <c r="L80">
        <v>12</v>
      </c>
      <c r="M80" t="s">
        <v>41</v>
      </c>
      <c r="N80">
        <v>26</v>
      </c>
      <c r="O80">
        <v>2</v>
      </c>
      <c r="P80">
        <v>33.75</v>
      </c>
      <c r="Q80">
        <v>9.1839999999999993</v>
      </c>
      <c r="R80" t="s">
        <v>26</v>
      </c>
      <c r="S80" t="b">
        <v>0</v>
      </c>
      <c r="T80" t="b">
        <v>0</v>
      </c>
    </row>
    <row r="81" spans="1:20" x14ac:dyDescent="0.3">
      <c r="A81" t="s">
        <v>222</v>
      </c>
      <c r="B81" s="1">
        <v>41530</v>
      </c>
      <c r="C81" s="1">
        <v>41532</v>
      </c>
      <c r="D81" t="s">
        <v>223</v>
      </c>
      <c r="E81" t="s">
        <v>224</v>
      </c>
      <c r="F81" t="s">
        <v>29</v>
      </c>
      <c r="G81" t="s">
        <v>225</v>
      </c>
      <c r="H81">
        <v>15.135999999999999</v>
      </c>
      <c r="I81">
        <v>4</v>
      </c>
      <c r="J81">
        <v>3.5948000000000002</v>
      </c>
      <c r="K81">
        <v>2013</v>
      </c>
      <c r="L81">
        <v>9</v>
      </c>
      <c r="M81" t="s">
        <v>87</v>
      </c>
      <c r="N81">
        <v>13</v>
      </c>
      <c r="O81">
        <v>2</v>
      </c>
      <c r="P81">
        <v>23.75</v>
      </c>
      <c r="Q81">
        <v>3.7839999999999998</v>
      </c>
      <c r="R81" t="s">
        <v>26</v>
      </c>
      <c r="S81" t="b">
        <v>0</v>
      </c>
      <c r="T81" t="b">
        <v>0</v>
      </c>
    </row>
    <row r="82" spans="1:20" x14ac:dyDescent="0.3">
      <c r="A82" t="s">
        <v>222</v>
      </c>
      <c r="B82" s="1">
        <v>41530</v>
      </c>
      <c r="C82" s="1">
        <v>41532</v>
      </c>
      <c r="D82" t="s">
        <v>223</v>
      </c>
      <c r="E82" t="s">
        <v>224</v>
      </c>
      <c r="F82" t="s">
        <v>110</v>
      </c>
      <c r="G82" t="s">
        <v>226</v>
      </c>
      <c r="H82">
        <v>466.76799999999997</v>
      </c>
      <c r="I82">
        <v>2</v>
      </c>
      <c r="J82">
        <v>52.511400000000002</v>
      </c>
      <c r="K82">
        <v>2013</v>
      </c>
      <c r="L82">
        <v>9</v>
      </c>
      <c r="M82" t="s">
        <v>87</v>
      </c>
      <c r="N82">
        <v>13</v>
      </c>
      <c r="O82">
        <v>2</v>
      </c>
      <c r="P82">
        <v>11.25</v>
      </c>
      <c r="Q82">
        <v>233.38399999999999</v>
      </c>
      <c r="R82" t="s">
        <v>26</v>
      </c>
      <c r="S82" t="b">
        <v>0</v>
      </c>
      <c r="T82" t="b">
        <v>1</v>
      </c>
    </row>
    <row r="83" spans="1:20" x14ac:dyDescent="0.3">
      <c r="A83" t="s">
        <v>222</v>
      </c>
      <c r="B83" s="1">
        <v>41530</v>
      </c>
      <c r="C83" s="1">
        <v>41532</v>
      </c>
      <c r="D83" t="s">
        <v>223</v>
      </c>
      <c r="E83" t="s">
        <v>224</v>
      </c>
      <c r="F83" t="s">
        <v>29</v>
      </c>
      <c r="G83" t="s">
        <v>227</v>
      </c>
      <c r="H83">
        <v>15.231999999999999</v>
      </c>
      <c r="I83">
        <v>1</v>
      </c>
      <c r="J83">
        <v>1.7136</v>
      </c>
      <c r="K83">
        <v>2013</v>
      </c>
      <c r="L83">
        <v>9</v>
      </c>
      <c r="M83" t="s">
        <v>87</v>
      </c>
      <c r="N83">
        <v>13</v>
      </c>
      <c r="O83">
        <v>2</v>
      </c>
      <c r="P83">
        <v>11.25</v>
      </c>
      <c r="Q83">
        <v>15.231999999999999</v>
      </c>
      <c r="R83" t="s">
        <v>26</v>
      </c>
      <c r="S83" t="b">
        <v>0</v>
      </c>
      <c r="T83" t="b">
        <v>0</v>
      </c>
    </row>
    <row r="84" spans="1:20" x14ac:dyDescent="0.3">
      <c r="A84" t="s">
        <v>222</v>
      </c>
      <c r="B84" s="1">
        <v>41530</v>
      </c>
      <c r="C84" s="1">
        <v>41532</v>
      </c>
      <c r="D84" t="s">
        <v>223</v>
      </c>
      <c r="E84" t="s">
        <v>224</v>
      </c>
      <c r="F84" t="s">
        <v>23</v>
      </c>
      <c r="G84" t="s">
        <v>228</v>
      </c>
      <c r="H84">
        <v>6.2640000000000002</v>
      </c>
      <c r="I84">
        <v>3</v>
      </c>
      <c r="J84">
        <v>2.0358000000000001</v>
      </c>
      <c r="K84">
        <v>2013</v>
      </c>
      <c r="L84">
        <v>9</v>
      </c>
      <c r="M84" t="s">
        <v>87</v>
      </c>
      <c r="N84">
        <v>13</v>
      </c>
      <c r="O84">
        <v>2</v>
      </c>
      <c r="P84">
        <v>32.5</v>
      </c>
      <c r="Q84">
        <v>2.0880000000000001</v>
      </c>
      <c r="R84" t="s">
        <v>26</v>
      </c>
      <c r="S84" t="b">
        <v>0</v>
      </c>
      <c r="T84" t="b">
        <v>0</v>
      </c>
    </row>
    <row r="85" spans="1:20" x14ac:dyDescent="0.3">
      <c r="A85" t="s">
        <v>229</v>
      </c>
      <c r="B85" s="1">
        <v>40805</v>
      </c>
      <c r="C85" s="1">
        <v>40810</v>
      </c>
      <c r="D85" t="s">
        <v>230</v>
      </c>
      <c r="E85" t="s">
        <v>231</v>
      </c>
      <c r="F85" t="s">
        <v>119</v>
      </c>
      <c r="G85" t="s">
        <v>232</v>
      </c>
      <c r="H85">
        <v>7.16</v>
      </c>
      <c r="I85">
        <v>2</v>
      </c>
      <c r="J85">
        <v>3.58</v>
      </c>
      <c r="K85">
        <v>2011</v>
      </c>
      <c r="L85">
        <v>9</v>
      </c>
      <c r="M85" t="s">
        <v>87</v>
      </c>
      <c r="N85">
        <v>19</v>
      </c>
      <c r="O85">
        <v>5</v>
      </c>
      <c r="P85">
        <v>50</v>
      </c>
      <c r="Q85">
        <v>3.58</v>
      </c>
      <c r="R85" t="s">
        <v>26</v>
      </c>
      <c r="S85" t="b">
        <v>0</v>
      </c>
      <c r="T85" t="b">
        <v>0</v>
      </c>
    </row>
    <row r="86" spans="1:20" x14ac:dyDescent="0.3">
      <c r="A86" t="s">
        <v>233</v>
      </c>
      <c r="B86" s="1">
        <v>41388</v>
      </c>
      <c r="C86" s="1">
        <v>41392</v>
      </c>
      <c r="D86" t="s">
        <v>234</v>
      </c>
      <c r="E86" t="s">
        <v>235</v>
      </c>
      <c r="F86" t="s">
        <v>33</v>
      </c>
      <c r="G86" t="s">
        <v>220</v>
      </c>
      <c r="H86">
        <v>251.52</v>
      </c>
      <c r="I86">
        <v>6</v>
      </c>
      <c r="J86">
        <v>81.744</v>
      </c>
      <c r="K86">
        <v>2013</v>
      </c>
      <c r="L86">
        <v>4</v>
      </c>
      <c r="M86" t="s">
        <v>236</v>
      </c>
      <c r="N86">
        <v>24</v>
      </c>
      <c r="O86">
        <v>4</v>
      </c>
      <c r="P86">
        <v>32.5</v>
      </c>
      <c r="Q86">
        <v>41.92</v>
      </c>
      <c r="R86" t="s">
        <v>26</v>
      </c>
      <c r="S86" t="b">
        <v>0</v>
      </c>
      <c r="T86" t="b">
        <v>1</v>
      </c>
    </row>
    <row r="87" spans="1:20" x14ac:dyDescent="0.3">
      <c r="A87" t="s">
        <v>233</v>
      </c>
      <c r="B87" s="1">
        <v>41388</v>
      </c>
      <c r="C87" s="1">
        <v>41392</v>
      </c>
      <c r="D87" t="s">
        <v>234</v>
      </c>
      <c r="E87" t="s">
        <v>235</v>
      </c>
      <c r="F87" t="s">
        <v>61</v>
      </c>
      <c r="G87" t="s">
        <v>237</v>
      </c>
      <c r="H87">
        <v>99.99</v>
      </c>
      <c r="I87">
        <v>1</v>
      </c>
      <c r="J87">
        <v>34.996499999999997</v>
      </c>
      <c r="K87">
        <v>2013</v>
      </c>
      <c r="L87">
        <v>4</v>
      </c>
      <c r="M87" t="s">
        <v>236</v>
      </c>
      <c r="N87">
        <v>24</v>
      </c>
      <c r="O87">
        <v>4</v>
      </c>
      <c r="P87">
        <v>35</v>
      </c>
      <c r="Q87">
        <v>99.99</v>
      </c>
      <c r="R87" t="s">
        <v>26</v>
      </c>
      <c r="S87" t="b">
        <v>0</v>
      </c>
      <c r="T87" t="b">
        <v>0</v>
      </c>
    </row>
    <row r="88" spans="1:20" x14ac:dyDescent="0.3">
      <c r="A88" t="s">
        <v>238</v>
      </c>
      <c r="B88" s="1">
        <v>41153</v>
      </c>
      <c r="C88" s="1">
        <v>41156</v>
      </c>
      <c r="D88" t="s">
        <v>239</v>
      </c>
      <c r="E88" t="s">
        <v>22</v>
      </c>
      <c r="F88" t="s">
        <v>33</v>
      </c>
      <c r="G88" t="s">
        <v>240</v>
      </c>
      <c r="H88">
        <v>4.7519999999999998</v>
      </c>
      <c r="I88">
        <v>1</v>
      </c>
      <c r="J88">
        <v>1.6037999999999999</v>
      </c>
      <c r="K88">
        <v>2012</v>
      </c>
      <c r="L88">
        <v>9</v>
      </c>
      <c r="M88" t="s">
        <v>87</v>
      </c>
      <c r="N88">
        <v>1</v>
      </c>
      <c r="O88">
        <v>3</v>
      </c>
      <c r="P88">
        <v>33.75</v>
      </c>
      <c r="Q88">
        <v>4.7519999999999998</v>
      </c>
      <c r="R88" t="s">
        <v>26</v>
      </c>
      <c r="S88" t="b">
        <v>0</v>
      </c>
      <c r="T88" t="b">
        <v>0</v>
      </c>
    </row>
    <row r="89" spans="1:20" x14ac:dyDescent="0.3">
      <c r="A89" t="s">
        <v>238</v>
      </c>
      <c r="B89" s="1">
        <v>41153</v>
      </c>
      <c r="C89" s="1">
        <v>41156</v>
      </c>
      <c r="D89" t="s">
        <v>239</v>
      </c>
      <c r="E89" t="s">
        <v>22</v>
      </c>
      <c r="F89" t="s">
        <v>33</v>
      </c>
      <c r="G89" t="s">
        <v>241</v>
      </c>
      <c r="H89">
        <v>14.368</v>
      </c>
      <c r="I89">
        <v>4</v>
      </c>
      <c r="J89">
        <v>4.49</v>
      </c>
      <c r="K89">
        <v>2012</v>
      </c>
      <c r="L89">
        <v>9</v>
      </c>
      <c r="M89" t="s">
        <v>87</v>
      </c>
      <c r="N89">
        <v>1</v>
      </c>
      <c r="O89">
        <v>3</v>
      </c>
      <c r="P89">
        <v>31.25</v>
      </c>
      <c r="Q89">
        <v>3.5920000000000001</v>
      </c>
      <c r="R89" t="s">
        <v>26</v>
      </c>
      <c r="S89" t="b">
        <v>0</v>
      </c>
      <c r="T89" t="b">
        <v>0</v>
      </c>
    </row>
    <row r="90" spans="1:20" x14ac:dyDescent="0.3">
      <c r="A90" t="s">
        <v>242</v>
      </c>
      <c r="B90" s="1">
        <v>40736</v>
      </c>
      <c r="C90" s="1">
        <v>40741</v>
      </c>
      <c r="D90" t="s">
        <v>243</v>
      </c>
      <c r="E90" t="s">
        <v>51</v>
      </c>
      <c r="F90" t="s">
        <v>33</v>
      </c>
      <c r="G90" t="s">
        <v>244</v>
      </c>
      <c r="H90">
        <v>7.7119999999999997</v>
      </c>
      <c r="I90">
        <v>2</v>
      </c>
      <c r="J90">
        <v>2.7955999999999999</v>
      </c>
      <c r="K90">
        <v>2011</v>
      </c>
      <c r="L90">
        <v>7</v>
      </c>
      <c r="M90" t="s">
        <v>66</v>
      </c>
      <c r="N90">
        <v>12</v>
      </c>
      <c r="O90">
        <v>5</v>
      </c>
      <c r="P90">
        <v>36.25</v>
      </c>
      <c r="Q90">
        <v>3.8559999999999999</v>
      </c>
      <c r="R90" t="s">
        <v>26</v>
      </c>
      <c r="S90" t="b">
        <v>0</v>
      </c>
      <c r="T90" t="b">
        <v>0</v>
      </c>
    </row>
    <row r="91" spans="1:20" x14ac:dyDescent="0.3">
      <c r="A91" t="s">
        <v>245</v>
      </c>
      <c r="B91" s="1">
        <v>41082</v>
      </c>
      <c r="C91" s="1">
        <v>41086</v>
      </c>
      <c r="D91" t="s">
        <v>246</v>
      </c>
      <c r="E91" t="s">
        <v>247</v>
      </c>
      <c r="F91" t="s">
        <v>119</v>
      </c>
      <c r="G91" t="s">
        <v>248</v>
      </c>
      <c r="H91">
        <v>4.96</v>
      </c>
      <c r="I91">
        <v>4</v>
      </c>
      <c r="J91">
        <v>2.3311999999999999</v>
      </c>
      <c r="K91">
        <v>2012</v>
      </c>
      <c r="L91">
        <v>6</v>
      </c>
      <c r="M91" t="s">
        <v>25</v>
      </c>
      <c r="N91">
        <v>22</v>
      </c>
      <c r="O91">
        <v>4</v>
      </c>
      <c r="P91">
        <v>47</v>
      </c>
      <c r="Q91">
        <v>1.24</v>
      </c>
      <c r="R91" t="s">
        <v>26</v>
      </c>
      <c r="S91" t="b">
        <v>0</v>
      </c>
      <c r="T91" t="b">
        <v>0</v>
      </c>
    </row>
    <row r="92" spans="1:20" x14ac:dyDescent="0.3">
      <c r="A92" t="s">
        <v>249</v>
      </c>
      <c r="B92" s="1">
        <v>41806</v>
      </c>
      <c r="C92" s="1">
        <v>41810</v>
      </c>
      <c r="D92" t="s">
        <v>250</v>
      </c>
      <c r="E92" t="s">
        <v>51</v>
      </c>
      <c r="F92" t="s">
        <v>54</v>
      </c>
      <c r="G92" t="s">
        <v>251</v>
      </c>
      <c r="H92">
        <v>47.975999999999999</v>
      </c>
      <c r="I92">
        <v>3</v>
      </c>
      <c r="J92">
        <v>4.7976000000000001</v>
      </c>
      <c r="K92">
        <v>2014</v>
      </c>
      <c r="L92">
        <v>6</v>
      </c>
      <c r="M92" t="s">
        <v>25</v>
      </c>
      <c r="N92">
        <v>16</v>
      </c>
      <c r="O92">
        <v>4</v>
      </c>
      <c r="P92">
        <v>10</v>
      </c>
      <c r="Q92">
        <v>15.992000000000001</v>
      </c>
      <c r="R92" t="s">
        <v>26</v>
      </c>
      <c r="S92" t="b">
        <v>0</v>
      </c>
      <c r="T92" t="b">
        <v>0</v>
      </c>
    </row>
    <row r="93" spans="1:20" x14ac:dyDescent="0.3">
      <c r="A93" t="s">
        <v>252</v>
      </c>
      <c r="B93" s="1">
        <v>40810</v>
      </c>
      <c r="C93" s="1">
        <v>40815</v>
      </c>
      <c r="D93" t="s">
        <v>253</v>
      </c>
      <c r="E93" t="s">
        <v>51</v>
      </c>
      <c r="F93" t="s">
        <v>45</v>
      </c>
      <c r="G93" t="s">
        <v>254</v>
      </c>
      <c r="H93">
        <v>211.96</v>
      </c>
      <c r="I93">
        <v>4</v>
      </c>
      <c r="J93">
        <v>8.4784000000000006</v>
      </c>
      <c r="K93">
        <v>2011</v>
      </c>
      <c r="L93">
        <v>9</v>
      </c>
      <c r="M93" t="s">
        <v>87</v>
      </c>
      <c r="N93">
        <v>24</v>
      </c>
      <c r="O93">
        <v>5</v>
      </c>
      <c r="P93">
        <v>4</v>
      </c>
      <c r="Q93">
        <v>52.99</v>
      </c>
      <c r="R93" t="s">
        <v>48</v>
      </c>
      <c r="S93" t="b">
        <v>0</v>
      </c>
      <c r="T93" t="b">
        <v>0</v>
      </c>
    </row>
    <row r="94" spans="1:20" x14ac:dyDescent="0.3">
      <c r="A94" t="s">
        <v>255</v>
      </c>
      <c r="B94" s="1">
        <v>40747</v>
      </c>
      <c r="C94" s="1">
        <v>40751</v>
      </c>
      <c r="D94" t="s">
        <v>256</v>
      </c>
      <c r="E94" t="s">
        <v>257</v>
      </c>
      <c r="F94" t="s">
        <v>33</v>
      </c>
      <c r="G94" t="s">
        <v>258</v>
      </c>
      <c r="H94">
        <v>8.16</v>
      </c>
      <c r="I94">
        <v>5</v>
      </c>
      <c r="J94">
        <v>-5.7119999999999997</v>
      </c>
      <c r="K94">
        <v>2011</v>
      </c>
      <c r="L94">
        <v>7</v>
      </c>
      <c r="M94" t="s">
        <v>66</v>
      </c>
      <c r="N94">
        <v>23</v>
      </c>
      <c r="O94">
        <v>4</v>
      </c>
      <c r="P94">
        <v>-70</v>
      </c>
      <c r="Q94">
        <v>1.6319999999999999</v>
      </c>
      <c r="R94" t="s">
        <v>26</v>
      </c>
      <c r="S94" t="b">
        <v>1</v>
      </c>
      <c r="T94" t="b">
        <v>0</v>
      </c>
    </row>
    <row r="95" spans="1:20" x14ac:dyDescent="0.3">
      <c r="A95" t="s">
        <v>255</v>
      </c>
      <c r="B95" s="1">
        <v>40747</v>
      </c>
      <c r="C95" s="1">
        <v>40751</v>
      </c>
      <c r="D95" t="s">
        <v>256</v>
      </c>
      <c r="E95" t="s">
        <v>257</v>
      </c>
      <c r="F95" t="s">
        <v>31</v>
      </c>
      <c r="G95" t="s">
        <v>259</v>
      </c>
      <c r="H95">
        <v>9.24</v>
      </c>
      <c r="I95">
        <v>1</v>
      </c>
      <c r="J95">
        <v>0.92400000000000004</v>
      </c>
      <c r="K95">
        <v>2011</v>
      </c>
      <c r="L95">
        <v>7</v>
      </c>
      <c r="M95" t="s">
        <v>66</v>
      </c>
      <c r="N95">
        <v>23</v>
      </c>
      <c r="O95">
        <v>4</v>
      </c>
      <c r="P95">
        <v>10</v>
      </c>
      <c r="Q95">
        <v>9.24</v>
      </c>
      <c r="R95" t="s">
        <v>26</v>
      </c>
      <c r="S95" t="b">
        <v>0</v>
      </c>
      <c r="T95" t="b">
        <v>0</v>
      </c>
    </row>
    <row r="96" spans="1:20" x14ac:dyDescent="0.3">
      <c r="A96" t="s">
        <v>255</v>
      </c>
      <c r="B96" s="1">
        <v>40747</v>
      </c>
      <c r="C96" s="1">
        <v>40751</v>
      </c>
      <c r="D96" t="s">
        <v>256</v>
      </c>
      <c r="E96" t="s">
        <v>257</v>
      </c>
      <c r="F96" t="s">
        <v>61</v>
      </c>
      <c r="G96" t="s">
        <v>260</v>
      </c>
      <c r="H96">
        <v>479.04</v>
      </c>
      <c r="I96">
        <v>10</v>
      </c>
      <c r="J96">
        <v>-29.94</v>
      </c>
      <c r="K96">
        <v>2011</v>
      </c>
      <c r="L96">
        <v>7</v>
      </c>
      <c r="M96" t="s">
        <v>66</v>
      </c>
      <c r="N96">
        <v>23</v>
      </c>
      <c r="O96">
        <v>4</v>
      </c>
      <c r="P96">
        <v>-6.25</v>
      </c>
      <c r="Q96">
        <v>47.904000000000003</v>
      </c>
      <c r="R96" t="s">
        <v>26</v>
      </c>
      <c r="S96" t="b">
        <v>1</v>
      </c>
      <c r="T96" t="b">
        <v>1</v>
      </c>
    </row>
    <row r="97" spans="1:20" x14ac:dyDescent="0.3">
      <c r="A97" t="s">
        <v>261</v>
      </c>
      <c r="B97" s="1">
        <v>41576</v>
      </c>
      <c r="C97" s="1">
        <v>41577</v>
      </c>
      <c r="D97" t="s">
        <v>262</v>
      </c>
      <c r="E97" t="s">
        <v>51</v>
      </c>
      <c r="F97" t="s">
        <v>72</v>
      </c>
      <c r="G97" t="s">
        <v>263</v>
      </c>
      <c r="H97">
        <v>50.96</v>
      </c>
      <c r="I97">
        <v>7</v>
      </c>
      <c r="J97">
        <v>25.48</v>
      </c>
      <c r="K97">
        <v>2013</v>
      </c>
      <c r="L97">
        <v>10</v>
      </c>
      <c r="M97" t="s">
        <v>82</v>
      </c>
      <c r="N97">
        <v>29</v>
      </c>
      <c r="O97">
        <v>1</v>
      </c>
      <c r="P97">
        <v>50</v>
      </c>
      <c r="Q97">
        <v>7.28</v>
      </c>
      <c r="R97" t="s">
        <v>26</v>
      </c>
      <c r="S97" t="b">
        <v>0</v>
      </c>
      <c r="T97" t="b">
        <v>0</v>
      </c>
    </row>
    <row r="98" spans="1:20" x14ac:dyDescent="0.3">
      <c r="A98" t="s">
        <v>261</v>
      </c>
      <c r="B98" s="1">
        <v>41576</v>
      </c>
      <c r="C98" s="1">
        <v>41577</v>
      </c>
      <c r="D98" t="s">
        <v>262</v>
      </c>
      <c r="E98" t="s">
        <v>51</v>
      </c>
      <c r="F98" t="s">
        <v>33</v>
      </c>
      <c r="G98" t="s">
        <v>264</v>
      </c>
      <c r="H98">
        <v>49.536000000000001</v>
      </c>
      <c r="I98">
        <v>3</v>
      </c>
      <c r="J98">
        <v>17.337599999999998</v>
      </c>
      <c r="K98">
        <v>2013</v>
      </c>
      <c r="L98">
        <v>10</v>
      </c>
      <c r="M98" t="s">
        <v>82</v>
      </c>
      <c r="N98">
        <v>29</v>
      </c>
      <c r="O98">
        <v>1</v>
      </c>
      <c r="P98">
        <v>35</v>
      </c>
      <c r="Q98">
        <v>16.512</v>
      </c>
      <c r="R98" t="s">
        <v>26</v>
      </c>
      <c r="S98" t="b">
        <v>0</v>
      </c>
      <c r="T98" t="b">
        <v>0</v>
      </c>
    </row>
    <row r="99" spans="1:20" x14ac:dyDescent="0.3">
      <c r="A99" t="s">
        <v>265</v>
      </c>
      <c r="B99" s="1">
        <v>40807</v>
      </c>
      <c r="C99" s="1">
        <v>40809</v>
      </c>
      <c r="D99" t="s">
        <v>266</v>
      </c>
      <c r="E99" t="s">
        <v>267</v>
      </c>
      <c r="F99" t="s">
        <v>54</v>
      </c>
      <c r="G99" t="s">
        <v>268</v>
      </c>
      <c r="H99">
        <v>246.38399999999999</v>
      </c>
      <c r="I99">
        <v>2</v>
      </c>
      <c r="J99">
        <v>27.7182</v>
      </c>
      <c r="K99">
        <v>2011</v>
      </c>
      <c r="L99">
        <v>9</v>
      </c>
      <c r="M99" t="s">
        <v>87</v>
      </c>
      <c r="N99">
        <v>21</v>
      </c>
      <c r="O99">
        <v>2</v>
      </c>
      <c r="P99">
        <v>11.25</v>
      </c>
      <c r="Q99">
        <v>123.19199999999999</v>
      </c>
      <c r="R99" t="s">
        <v>26</v>
      </c>
      <c r="S99" t="b">
        <v>0</v>
      </c>
      <c r="T99" t="b">
        <v>1</v>
      </c>
    </row>
    <row r="100" spans="1:20" x14ac:dyDescent="0.3">
      <c r="A100" t="s">
        <v>269</v>
      </c>
      <c r="B100" s="1">
        <v>41821</v>
      </c>
      <c r="C100" s="1">
        <v>41826</v>
      </c>
      <c r="D100" t="s">
        <v>270</v>
      </c>
      <c r="E100" t="s">
        <v>271</v>
      </c>
      <c r="F100" t="s">
        <v>33</v>
      </c>
      <c r="G100" t="s">
        <v>272</v>
      </c>
      <c r="H100">
        <v>75.792000000000002</v>
      </c>
      <c r="I100">
        <v>3</v>
      </c>
      <c r="J100">
        <v>25.579799999999999</v>
      </c>
      <c r="K100">
        <v>2014</v>
      </c>
      <c r="L100">
        <v>7</v>
      </c>
      <c r="M100" t="s">
        <v>66</v>
      </c>
      <c r="N100">
        <v>1</v>
      </c>
      <c r="O100">
        <v>5</v>
      </c>
      <c r="P100">
        <v>33.75</v>
      </c>
      <c r="Q100">
        <v>25.263999999999999</v>
      </c>
      <c r="R100" t="s">
        <v>48</v>
      </c>
      <c r="S100" t="b">
        <v>0</v>
      </c>
      <c r="T100" t="b">
        <v>0</v>
      </c>
    </row>
    <row r="101" spans="1:20" x14ac:dyDescent="0.3">
      <c r="A101" t="s">
        <v>273</v>
      </c>
      <c r="B101" s="1">
        <v>41982</v>
      </c>
      <c r="C101" s="1">
        <v>41986</v>
      </c>
      <c r="D101" t="s">
        <v>274</v>
      </c>
      <c r="E101" t="s">
        <v>51</v>
      </c>
      <c r="F101" t="s">
        <v>61</v>
      </c>
      <c r="G101" t="s">
        <v>275</v>
      </c>
      <c r="H101">
        <v>179.95</v>
      </c>
      <c r="I101">
        <v>5</v>
      </c>
      <c r="J101">
        <v>37.789499999999997</v>
      </c>
      <c r="K101">
        <v>2014</v>
      </c>
      <c r="L101">
        <v>12</v>
      </c>
      <c r="M101" t="s">
        <v>41</v>
      </c>
      <c r="N101">
        <v>9</v>
      </c>
      <c r="O101">
        <v>4</v>
      </c>
      <c r="P101">
        <v>21</v>
      </c>
      <c r="Q101">
        <v>35.989999999999988</v>
      </c>
      <c r="R101" t="s">
        <v>26</v>
      </c>
      <c r="S101" t="b">
        <v>0</v>
      </c>
      <c r="T101" t="b">
        <v>0</v>
      </c>
    </row>
    <row r="102" spans="1:20" x14ac:dyDescent="0.3">
      <c r="A102" t="s">
        <v>273</v>
      </c>
      <c r="B102" s="1">
        <v>41982</v>
      </c>
      <c r="C102" s="1">
        <v>41986</v>
      </c>
      <c r="D102" t="s">
        <v>274</v>
      </c>
      <c r="E102" t="s">
        <v>51</v>
      </c>
      <c r="F102" t="s">
        <v>72</v>
      </c>
      <c r="G102" t="s">
        <v>276</v>
      </c>
      <c r="H102">
        <v>27.15</v>
      </c>
      <c r="I102">
        <v>5</v>
      </c>
      <c r="J102">
        <v>13.3035</v>
      </c>
      <c r="K102">
        <v>2014</v>
      </c>
      <c r="L102">
        <v>12</v>
      </c>
      <c r="M102" t="s">
        <v>41</v>
      </c>
      <c r="N102">
        <v>9</v>
      </c>
      <c r="O102">
        <v>4</v>
      </c>
      <c r="P102">
        <v>49</v>
      </c>
      <c r="Q102">
        <v>5.43</v>
      </c>
      <c r="R102" t="s">
        <v>26</v>
      </c>
      <c r="S102" t="b">
        <v>0</v>
      </c>
      <c r="T102" t="b">
        <v>0</v>
      </c>
    </row>
    <row r="103" spans="1:20" x14ac:dyDescent="0.3">
      <c r="A103" t="s">
        <v>273</v>
      </c>
      <c r="B103" s="1">
        <v>41982</v>
      </c>
      <c r="C103" s="1">
        <v>41986</v>
      </c>
      <c r="D103" t="s">
        <v>274</v>
      </c>
      <c r="E103" t="s">
        <v>51</v>
      </c>
      <c r="F103" t="s">
        <v>72</v>
      </c>
      <c r="G103" t="s">
        <v>277</v>
      </c>
      <c r="H103">
        <v>9.68</v>
      </c>
      <c r="I103">
        <v>1</v>
      </c>
      <c r="J103">
        <v>4.6463999999999999</v>
      </c>
      <c r="K103">
        <v>2014</v>
      </c>
      <c r="L103">
        <v>12</v>
      </c>
      <c r="M103" t="s">
        <v>41</v>
      </c>
      <c r="N103">
        <v>9</v>
      </c>
      <c r="O103">
        <v>4</v>
      </c>
      <c r="P103">
        <v>48</v>
      </c>
      <c r="Q103">
        <v>9.68</v>
      </c>
      <c r="R103" t="s">
        <v>26</v>
      </c>
      <c r="S103" t="b">
        <v>0</v>
      </c>
      <c r="T103" t="b">
        <v>0</v>
      </c>
    </row>
    <row r="104" spans="1:20" x14ac:dyDescent="0.3">
      <c r="A104" t="s">
        <v>273</v>
      </c>
      <c r="B104" s="1">
        <v>41982</v>
      </c>
      <c r="C104" s="1">
        <v>41986</v>
      </c>
      <c r="D104" t="s">
        <v>274</v>
      </c>
      <c r="E104" t="s">
        <v>51</v>
      </c>
      <c r="F104" t="s">
        <v>23</v>
      </c>
      <c r="G104" t="s">
        <v>278</v>
      </c>
      <c r="H104">
        <v>28.35</v>
      </c>
      <c r="I104">
        <v>9</v>
      </c>
      <c r="J104">
        <v>13.608000000000001</v>
      </c>
      <c r="K104">
        <v>2014</v>
      </c>
      <c r="L104">
        <v>12</v>
      </c>
      <c r="M104" t="s">
        <v>41</v>
      </c>
      <c r="N104">
        <v>9</v>
      </c>
      <c r="O104">
        <v>4</v>
      </c>
      <c r="P104">
        <v>48</v>
      </c>
      <c r="Q104">
        <v>3.15</v>
      </c>
      <c r="R104" t="s">
        <v>26</v>
      </c>
      <c r="S104" t="b">
        <v>0</v>
      </c>
      <c r="T104" t="b">
        <v>0</v>
      </c>
    </row>
    <row r="105" spans="1:20" x14ac:dyDescent="0.3">
      <c r="A105" t="s">
        <v>273</v>
      </c>
      <c r="B105" s="1">
        <v>41982</v>
      </c>
      <c r="C105" s="1">
        <v>41986</v>
      </c>
      <c r="D105" t="s">
        <v>274</v>
      </c>
      <c r="E105" t="s">
        <v>51</v>
      </c>
      <c r="F105" t="s">
        <v>72</v>
      </c>
      <c r="G105" t="s">
        <v>279</v>
      </c>
      <c r="H105">
        <v>55.98</v>
      </c>
      <c r="I105">
        <v>1</v>
      </c>
      <c r="J105">
        <v>27.430199999999999</v>
      </c>
      <c r="K105">
        <v>2014</v>
      </c>
      <c r="L105">
        <v>12</v>
      </c>
      <c r="M105" t="s">
        <v>41</v>
      </c>
      <c r="N105">
        <v>9</v>
      </c>
      <c r="O105">
        <v>4</v>
      </c>
      <c r="P105">
        <v>49</v>
      </c>
      <c r="Q105">
        <v>55.98</v>
      </c>
      <c r="R105" t="s">
        <v>26</v>
      </c>
      <c r="S105" t="b">
        <v>0</v>
      </c>
      <c r="T105" t="b">
        <v>0</v>
      </c>
    </row>
    <row r="106" spans="1:20" x14ac:dyDescent="0.3">
      <c r="A106" t="s">
        <v>273</v>
      </c>
      <c r="B106" s="1">
        <v>41982</v>
      </c>
      <c r="C106" s="1">
        <v>41986</v>
      </c>
      <c r="D106" t="s">
        <v>274</v>
      </c>
      <c r="E106" t="s">
        <v>51</v>
      </c>
      <c r="F106" t="s">
        <v>110</v>
      </c>
      <c r="G106" t="s">
        <v>280</v>
      </c>
      <c r="H106">
        <v>113.568</v>
      </c>
      <c r="I106">
        <v>2</v>
      </c>
      <c r="J106">
        <v>-18.454799999999999</v>
      </c>
      <c r="K106">
        <v>2014</v>
      </c>
      <c r="L106">
        <v>12</v>
      </c>
      <c r="M106" t="s">
        <v>41</v>
      </c>
      <c r="N106">
        <v>9</v>
      </c>
      <c r="O106">
        <v>4</v>
      </c>
      <c r="P106">
        <v>-16.25</v>
      </c>
      <c r="Q106">
        <v>56.783999999999999</v>
      </c>
      <c r="R106" t="s">
        <v>26</v>
      </c>
      <c r="S106" t="b">
        <v>1</v>
      </c>
      <c r="T106" t="b">
        <v>0</v>
      </c>
    </row>
    <row r="107" spans="1:20" x14ac:dyDescent="0.3">
      <c r="A107" t="s">
        <v>281</v>
      </c>
      <c r="B107" s="1">
        <v>41947</v>
      </c>
      <c r="C107" s="1">
        <v>41951</v>
      </c>
      <c r="D107" t="s">
        <v>282</v>
      </c>
      <c r="E107" t="s">
        <v>39</v>
      </c>
      <c r="F107" t="s">
        <v>72</v>
      </c>
      <c r="G107" t="s">
        <v>283</v>
      </c>
      <c r="H107">
        <v>139.86000000000001</v>
      </c>
      <c r="I107">
        <v>7</v>
      </c>
      <c r="J107">
        <v>65.734200000000001</v>
      </c>
      <c r="K107">
        <v>2014</v>
      </c>
      <c r="L107">
        <v>11</v>
      </c>
      <c r="M107" t="s">
        <v>70</v>
      </c>
      <c r="N107">
        <v>4</v>
      </c>
      <c r="O107">
        <v>4</v>
      </c>
      <c r="P107">
        <v>47</v>
      </c>
      <c r="Q107">
        <v>19.98</v>
      </c>
      <c r="R107" t="s">
        <v>26</v>
      </c>
      <c r="S107" t="b">
        <v>0</v>
      </c>
      <c r="T107" t="b">
        <v>0</v>
      </c>
    </row>
    <row r="108" spans="1:20" x14ac:dyDescent="0.3">
      <c r="A108" t="s">
        <v>281</v>
      </c>
      <c r="B108" s="1">
        <v>41947</v>
      </c>
      <c r="C108" s="1">
        <v>41951</v>
      </c>
      <c r="D108" t="s">
        <v>282</v>
      </c>
      <c r="E108" t="s">
        <v>39</v>
      </c>
      <c r="F108" t="s">
        <v>110</v>
      </c>
      <c r="G108" t="s">
        <v>218</v>
      </c>
      <c r="H108">
        <v>307.13600000000002</v>
      </c>
      <c r="I108">
        <v>4</v>
      </c>
      <c r="J108">
        <v>26.874400000000001</v>
      </c>
      <c r="K108">
        <v>2014</v>
      </c>
      <c r="L108">
        <v>11</v>
      </c>
      <c r="M108" t="s">
        <v>70</v>
      </c>
      <c r="N108">
        <v>4</v>
      </c>
      <c r="O108">
        <v>4</v>
      </c>
      <c r="P108">
        <v>8.75</v>
      </c>
      <c r="Q108">
        <v>76.784000000000006</v>
      </c>
      <c r="R108" t="s">
        <v>26</v>
      </c>
      <c r="S108" t="b">
        <v>0</v>
      </c>
      <c r="T108" t="b">
        <v>1</v>
      </c>
    </row>
    <row r="109" spans="1:20" x14ac:dyDescent="0.3">
      <c r="A109" t="s">
        <v>284</v>
      </c>
      <c r="B109" s="1">
        <v>41815</v>
      </c>
      <c r="C109" s="1">
        <v>41819</v>
      </c>
      <c r="D109" t="s">
        <v>285</v>
      </c>
      <c r="E109" t="s">
        <v>286</v>
      </c>
      <c r="F109" t="s">
        <v>31</v>
      </c>
      <c r="G109" t="s">
        <v>287</v>
      </c>
      <c r="H109">
        <v>95.92</v>
      </c>
      <c r="I109">
        <v>8</v>
      </c>
      <c r="J109">
        <v>25.898399999999999</v>
      </c>
      <c r="K109">
        <v>2014</v>
      </c>
      <c r="L109">
        <v>6</v>
      </c>
      <c r="M109" t="s">
        <v>25</v>
      </c>
      <c r="N109">
        <v>25</v>
      </c>
      <c r="O109">
        <v>4</v>
      </c>
      <c r="P109">
        <v>27</v>
      </c>
      <c r="Q109">
        <v>11.99</v>
      </c>
      <c r="R109" t="s">
        <v>26</v>
      </c>
      <c r="S109" t="b">
        <v>0</v>
      </c>
      <c r="T109" t="b">
        <v>0</v>
      </c>
    </row>
    <row r="110" spans="1:20" x14ac:dyDescent="0.3">
      <c r="A110" t="s">
        <v>288</v>
      </c>
      <c r="B110" s="1">
        <v>41379</v>
      </c>
      <c r="C110" s="1">
        <v>41383</v>
      </c>
      <c r="D110" t="s">
        <v>289</v>
      </c>
      <c r="E110" t="s">
        <v>22</v>
      </c>
      <c r="F110" t="s">
        <v>110</v>
      </c>
      <c r="G110" t="s">
        <v>290</v>
      </c>
      <c r="H110">
        <v>383.8</v>
      </c>
      <c r="I110">
        <v>5</v>
      </c>
      <c r="J110">
        <v>38.380000000000003</v>
      </c>
      <c r="K110">
        <v>2013</v>
      </c>
      <c r="L110">
        <v>4</v>
      </c>
      <c r="M110" t="s">
        <v>236</v>
      </c>
      <c r="N110">
        <v>15</v>
      </c>
      <c r="O110">
        <v>4</v>
      </c>
      <c r="P110">
        <v>10</v>
      </c>
      <c r="Q110">
        <v>76.760000000000005</v>
      </c>
      <c r="R110" t="s">
        <v>26</v>
      </c>
      <c r="S110" t="b">
        <v>0</v>
      </c>
      <c r="T110" t="b">
        <v>1</v>
      </c>
    </row>
    <row r="111" spans="1:20" x14ac:dyDescent="0.3">
      <c r="A111" t="s">
        <v>291</v>
      </c>
      <c r="B111" s="1">
        <v>41703</v>
      </c>
      <c r="C111" s="1">
        <v>41708</v>
      </c>
      <c r="D111" t="s">
        <v>292</v>
      </c>
      <c r="E111" t="s">
        <v>22</v>
      </c>
      <c r="F111" t="s">
        <v>31</v>
      </c>
      <c r="G111" t="s">
        <v>293</v>
      </c>
      <c r="H111">
        <v>9.32</v>
      </c>
      <c r="I111">
        <v>4</v>
      </c>
      <c r="J111">
        <v>2.7027999999999999</v>
      </c>
      <c r="K111">
        <v>2014</v>
      </c>
      <c r="L111">
        <v>3</v>
      </c>
      <c r="M111" t="s">
        <v>135</v>
      </c>
      <c r="N111">
        <v>5</v>
      </c>
      <c r="O111">
        <v>5</v>
      </c>
      <c r="P111">
        <v>29</v>
      </c>
      <c r="Q111">
        <v>2.33</v>
      </c>
      <c r="R111" t="s">
        <v>26</v>
      </c>
      <c r="S111" t="b">
        <v>0</v>
      </c>
      <c r="T111" t="b">
        <v>0</v>
      </c>
    </row>
    <row r="112" spans="1:20" x14ac:dyDescent="0.3">
      <c r="A112" t="s">
        <v>291</v>
      </c>
      <c r="B112" s="1">
        <v>41703</v>
      </c>
      <c r="C112" s="1">
        <v>41708</v>
      </c>
      <c r="D112" t="s">
        <v>292</v>
      </c>
      <c r="E112" t="s">
        <v>22</v>
      </c>
      <c r="F112" t="s">
        <v>128</v>
      </c>
      <c r="G112" t="s">
        <v>294</v>
      </c>
      <c r="H112">
        <v>15.25</v>
      </c>
      <c r="I112">
        <v>1</v>
      </c>
      <c r="J112">
        <v>7.0149999999999997</v>
      </c>
      <c r="K112">
        <v>2014</v>
      </c>
      <c r="L112">
        <v>3</v>
      </c>
      <c r="M112" t="s">
        <v>135</v>
      </c>
      <c r="N112">
        <v>5</v>
      </c>
      <c r="O112">
        <v>5</v>
      </c>
      <c r="P112">
        <v>46</v>
      </c>
      <c r="Q112">
        <v>15.25</v>
      </c>
      <c r="R112" t="s">
        <v>26</v>
      </c>
      <c r="S112" t="b">
        <v>0</v>
      </c>
      <c r="T112" t="b">
        <v>0</v>
      </c>
    </row>
    <row r="113" spans="1:20" x14ac:dyDescent="0.3">
      <c r="A113" t="s">
        <v>295</v>
      </c>
      <c r="B113" s="1">
        <v>40716</v>
      </c>
      <c r="C113" s="1">
        <v>40719</v>
      </c>
      <c r="D113" t="s">
        <v>296</v>
      </c>
      <c r="E113" t="s">
        <v>297</v>
      </c>
      <c r="F113" t="s">
        <v>61</v>
      </c>
      <c r="G113" t="s">
        <v>298</v>
      </c>
      <c r="H113">
        <v>196.75200000000001</v>
      </c>
      <c r="I113">
        <v>6</v>
      </c>
      <c r="J113">
        <v>56.566200000000002</v>
      </c>
      <c r="K113">
        <v>2011</v>
      </c>
      <c r="L113">
        <v>6</v>
      </c>
      <c r="M113" t="s">
        <v>25</v>
      </c>
      <c r="N113">
        <v>22</v>
      </c>
      <c r="O113">
        <v>3</v>
      </c>
      <c r="P113">
        <v>28.75</v>
      </c>
      <c r="Q113">
        <v>32.792000000000002</v>
      </c>
      <c r="R113" t="s">
        <v>26</v>
      </c>
      <c r="S113" t="b">
        <v>0</v>
      </c>
      <c r="T113" t="b">
        <v>0</v>
      </c>
    </row>
    <row r="114" spans="1:20" x14ac:dyDescent="0.3">
      <c r="A114" t="s">
        <v>299</v>
      </c>
      <c r="B114" s="1">
        <v>40587</v>
      </c>
      <c r="C114" s="1">
        <v>40593</v>
      </c>
      <c r="D114" t="s">
        <v>300</v>
      </c>
      <c r="E114" t="s">
        <v>301</v>
      </c>
      <c r="F114" t="s">
        <v>110</v>
      </c>
      <c r="G114" t="s">
        <v>302</v>
      </c>
      <c r="H114">
        <v>129.56800000000001</v>
      </c>
      <c r="I114">
        <v>2</v>
      </c>
      <c r="J114">
        <v>-24.294</v>
      </c>
      <c r="K114">
        <v>2011</v>
      </c>
      <c r="L114">
        <v>2</v>
      </c>
      <c r="M114" t="s">
        <v>303</v>
      </c>
      <c r="N114">
        <v>13</v>
      </c>
      <c r="O114">
        <v>6</v>
      </c>
      <c r="P114">
        <v>-18.75</v>
      </c>
      <c r="Q114">
        <v>64.784000000000006</v>
      </c>
      <c r="R114" t="s">
        <v>26</v>
      </c>
      <c r="S114" t="b">
        <v>1</v>
      </c>
      <c r="T114" t="b">
        <v>0</v>
      </c>
    </row>
    <row r="115" spans="1:20" x14ac:dyDescent="0.3">
      <c r="A115" t="s">
        <v>304</v>
      </c>
      <c r="B115" s="1">
        <v>41258</v>
      </c>
      <c r="C115" s="1">
        <v>41265</v>
      </c>
      <c r="D115" t="s">
        <v>305</v>
      </c>
      <c r="E115" t="s">
        <v>39</v>
      </c>
      <c r="F115" t="s">
        <v>35</v>
      </c>
      <c r="G115" t="s">
        <v>306</v>
      </c>
      <c r="H115">
        <v>103.92</v>
      </c>
      <c r="I115">
        <v>4</v>
      </c>
      <c r="J115">
        <v>36.372</v>
      </c>
      <c r="K115">
        <v>2012</v>
      </c>
      <c r="L115">
        <v>12</v>
      </c>
      <c r="M115" t="s">
        <v>41</v>
      </c>
      <c r="N115">
        <v>15</v>
      </c>
      <c r="O115">
        <v>7</v>
      </c>
      <c r="P115">
        <v>35</v>
      </c>
      <c r="Q115">
        <v>25.98</v>
      </c>
      <c r="R115" t="s">
        <v>26</v>
      </c>
      <c r="S115" t="b">
        <v>0</v>
      </c>
      <c r="T115" t="b">
        <v>0</v>
      </c>
    </row>
    <row r="116" spans="1:20" x14ac:dyDescent="0.3">
      <c r="A116" t="s">
        <v>304</v>
      </c>
      <c r="B116" s="1">
        <v>41258</v>
      </c>
      <c r="C116" s="1">
        <v>41265</v>
      </c>
      <c r="D116" t="s">
        <v>305</v>
      </c>
      <c r="E116" t="s">
        <v>39</v>
      </c>
      <c r="F116" t="s">
        <v>33</v>
      </c>
      <c r="G116" t="s">
        <v>307</v>
      </c>
      <c r="H116">
        <v>51.311999999999998</v>
      </c>
      <c r="I116">
        <v>3</v>
      </c>
      <c r="J116">
        <v>18.6006</v>
      </c>
      <c r="K116">
        <v>2012</v>
      </c>
      <c r="L116">
        <v>12</v>
      </c>
      <c r="M116" t="s">
        <v>41</v>
      </c>
      <c r="N116">
        <v>15</v>
      </c>
      <c r="O116">
        <v>7</v>
      </c>
      <c r="P116">
        <v>36.25</v>
      </c>
      <c r="Q116">
        <v>17.103999999999999</v>
      </c>
      <c r="R116" t="s">
        <v>26</v>
      </c>
      <c r="S116" t="b">
        <v>0</v>
      </c>
      <c r="T116" t="b">
        <v>0</v>
      </c>
    </row>
    <row r="117" spans="1:20" x14ac:dyDescent="0.3">
      <c r="A117" t="s">
        <v>308</v>
      </c>
      <c r="B117" s="1">
        <v>41387</v>
      </c>
      <c r="C117" s="1">
        <v>41394</v>
      </c>
      <c r="D117" t="s">
        <v>309</v>
      </c>
      <c r="E117" t="s">
        <v>105</v>
      </c>
      <c r="F117" t="s">
        <v>29</v>
      </c>
      <c r="G117" t="s">
        <v>310</v>
      </c>
      <c r="H117">
        <v>23.56</v>
      </c>
      <c r="I117">
        <v>5</v>
      </c>
      <c r="J117">
        <v>7.0679999999999996</v>
      </c>
      <c r="K117">
        <v>2013</v>
      </c>
      <c r="L117">
        <v>4</v>
      </c>
      <c r="M117" t="s">
        <v>236</v>
      </c>
      <c r="N117">
        <v>23</v>
      </c>
      <c r="O117">
        <v>7</v>
      </c>
      <c r="P117">
        <v>30</v>
      </c>
      <c r="Q117">
        <v>4.7119999999999997</v>
      </c>
      <c r="R117" t="s">
        <v>26</v>
      </c>
      <c r="S117" t="b">
        <v>0</v>
      </c>
      <c r="T117" t="b">
        <v>0</v>
      </c>
    </row>
    <row r="118" spans="1:20" x14ac:dyDescent="0.3">
      <c r="A118" t="s">
        <v>308</v>
      </c>
      <c r="B118" s="1">
        <v>41387</v>
      </c>
      <c r="C118" s="1">
        <v>41394</v>
      </c>
      <c r="D118" t="s">
        <v>309</v>
      </c>
      <c r="E118" t="s">
        <v>105</v>
      </c>
      <c r="F118" t="s">
        <v>33</v>
      </c>
      <c r="G118" t="s">
        <v>311</v>
      </c>
      <c r="H118">
        <v>28.484999999999999</v>
      </c>
      <c r="I118">
        <v>5</v>
      </c>
      <c r="J118">
        <v>-20.888999999999999</v>
      </c>
      <c r="K118">
        <v>2013</v>
      </c>
      <c r="L118">
        <v>4</v>
      </c>
      <c r="M118" t="s">
        <v>236</v>
      </c>
      <c r="N118">
        <v>23</v>
      </c>
      <c r="O118">
        <v>7</v>
      </c>
      <c r="P118">
        <v>-73.33</v>
      </c>
      <c r="Q118">
        <v>5.6970000000000001</v>
      </c>
      <c r="R118" t="s">
        <v>26</v>
      </c>
      <c r="S118" t="b">
        <v>1</v>
      </c>
      <c r="T118" t="b">
        <v>0</v>
      </c>
    </row>
    <row r="119" spans="1:20" x14ac:dyDescent="0.3">
      <c r="A119" t="s">
        <v>308</v>
      </c>
      <c r="B119" s="1">
        <v>41387</v>
      </c>
      <c r="C119" s="1">
        <v>41394</v>
      </c>
      <c r="D119" t="s">
        <v>309</v>
      </c>
      <c r="E119" t="s">
        <v>105</v>
      </c>
      <c r="F119" t="s">
        <v>122</v>
      </c>
      <c r="G119" t="s">
        <v>312</v>
      </c>
      <c r="H119">
        <v>185.376</v>
      </c>
      <c r="I119">
        <v>2</v>
      </c>
      <c r="J119">
        <v>-34.758000000000003</v>
      </c>
      <c r="K119">
        <v>2013</v>
      </c>
      <c r="L119">
        <v>4</v>
      </c>
      <c r="M119" t="s">
        <v>236</v>
      </c>
      <c r="N119">
        <v>23</v>
      </c>
      <c r="O119">
        <v>7</v>
      </c>
      <c r="P119">
        <v>-18.75</v>
      </c>
      <c r="Q119">
        <v>92.688000000000002</v>
      </c>
      <c r="R119" t="s">
        <v>26</v>
      </c>
      <c r="S119" t="b">
        <v>1</v>
      </c>
      <c r="T119" t="b">
        <v>0</v>
      </c>
    </row>
    <row r="120" spans="1:20" x14ac:dyDescent="0.3">
      <c r="A120" t="s">
        <v>308</v>
      </c>
      <c r="B120" s="1">
        <v>41387</v>
      </c>
      <c r="C120" s="1">
        <v>41394</v>
      </c>
      <c r="D120" t="s">
        <v>309</v>
      </c>
      <c r="E120" t="s">
        <v>105</v>
      </c>
      <c r="F120" t="s">
        <v>35</v>
      </c>
      <c r="G120" t="s">
        <v>313</v>
      </c>
      <c r="H120">
        <v>78.272000000000006</v>
      </c>
      <c r="I120">
        <v>2</v>
      </c>
      <c r="J120">
        <v>5.8704000000000001</v>
      </c>
      <c r="K120">
        <v>2013</v>
      </c>
      <c r="L120">
        <v>4</v>
      </c>
      <c r="M120" t="s">
        <v>236</v>
      </c>
      <c r="N120">
        <v>23</v>
      </c>
      <c r="O120">
        <v>7</v>
      </c>
      <c r="P120">
        <v>7.5</v>
      </c>
      <c r="Q120">
        <v>39.136000000000003</v>
      </c>
      <c r="R120" t="s">
        <v>26</v>
      </c>
      <c r="S120" t="b">
        <v>0</v>
      </c>
      <c r="T120" t="b">
        <v>0</v>
      </c>
    </row>
    <row r="121" spans="1:20" x14ac:dyDescent="0.3">
      <c r="A121" t="s">
        <v>314</v>
      </c>
      <c r="B121" s="1">
        <v>40856</v>
      </c>
      <c r="C121" s="1">
        <v>40858</v>
      </c>
      <c r="D121" t="s">
        <v>315</v>
      </c>
      <c r="E121" t="s">
        <v>51</v>
      </c>
      <c r="F121" t="s">
        <v>45</v>
      </c>
      <c r="G121" t="s">
        <v>316</v>
      </c>
      <c r="H121">
        <v>340.92</v>
      </c>
      <c r="I121">
        <v>3</v>
      </c>
      <c r="J121">
        <v>3.4091999999999998</v>
      </c>
      <c r="K121">
        <v>2011</v>
      </c>
      <c r="L121">
        <v>11</v>
      </c>
      <c r="M121" t="s">
        <v>70</v>
      </c>
      <c r="N121">
        <v>9</v>
      </c>
      <c r="O121">
        <v>2</v>
      </c>
      <c r="P121">
        <v>1</v>
      </c>
      <c r="Q121">
        <v>113.64</v>
      </c>
      <c r="R121" t="s">
        <v>26</v>
      </c>
      <c r="S121" t="b">
        <v>0</v>
      </c>
      <c r="T121" t="b">
        <v>1</v>
      </c>
    </row>
    <row r="122" spans="1:20" x14ac:dyDescent="0.3">
      <c r="A122" t="s">
        <v>314</v>
      </c>
      <c r="B122" s="1">
        <v>40856</v>
      </c>
      <c r="C122" s="1">
        <v>40858</v>
      </c>
      <c r="D122" t="s">
        <v>315</v>
      </c>
      <c r="E122" t="s">
        <v>51</v>
      </c>
      <c r="F122" t="s">
        <v>317</v>
      </c>
      <c r="G122" t="s">
        <v>318</v>
      </c>
      <c r="H122">
        <v>222.666</v>
      </c>
      <c r="I122">
        <v>2</v>
      </c>
      <c r="J122">
        <v>10.478400000000001</v>
      </c>
      <c r="K122">
        <v>2011</v>
      </c>
      <c r="L122">
        <v>11</v>
      </c>
      <c r="M122" t="s">
        <v>70</v>
      </c>
      <c r="N122">
        <v>9</v>
      </c>
      <c r="O122">
        <v>2</v>
      </c>
      <c r="P122">
        <v>4.71</v>
      </c>
      <c r="Q122">
        <v>111.333</v>
      </c>
      <c r="R122" t="s">
        <v>26</v>
      </c>
      <c r="S122" t="b">
        <v>0</v>
      </c>
      <c r="T122" t="b">
        <v>1</v>
      </c>
    </row>
    <row r="123" spans="1:20" x14ac:dyDescent="0.3">
      <c r="A123" t="s">
        <v>314</v>
      </c>
      <c r="B123" s="1">
        <v>40856</v>
      </c>
      <c r="C123" s="1">
        <v>40858</v>
      </c>
      <c r="D123" t="s">
        <v>315</v>
      </c>
      <c r="E123" t="s">
        <v>51</v>
      </c>
      <c r="F123" t="s">
        <v>45</v>
      </c>
      <c r="G123" t="s">
        <v>319</v>
      </c>
      <c r="H123">
        <v>92.52</v>
      </c>
      <c r="I123">
        <v>6</v>
      </c>
      <c r="J123">
        <v>24.980399999999999</v>
      </c>
      <c r="K123">
        <v>2011</v>
      </c>
      <c r="L123">
        <v>11</v>
      </c>
      <c r="M123" t="s">
        <v>70</v>
      </c>
      <c r="N123">
        <v>9</v>
      </c>
      <c r="O123">
        <v>2</v>
      </c>
      <c r="P123">
        <v>27</v>
      </c>
      <c r="Q123">
        <v>15.42</v>
      </c>
      <c r="R123" t="s">
        <v>26</v>
      </c>
      <c r="S123" t="b">
        <v>0</v>
      </c>
      <c r="T123" t="b">
        <v>0</v>
      </c>
    </row>
    <row r="124" spans="1:20" x14ac:dyDescent="0.3">
      <c r="A124" t="s">
        <v>314</v>
      </c>
      <c r="B124" s="1">
        <v>40856</v>
      </c>
      <c r="C124" s="1">
        <v>40858</v>
      </c>
      <c r="D124" t="s">
        <v>315</v>
      </c>
      <c r="E124" t="s">
        <v>51</v>
      </c>
      <c r="F124" t="s">
        <v>72</v>
      </c>
      <c r="G124" t="s">
        <v>320</v>
      </c>
      <c r="H124">
        <v>62.65</v>
      </c>
      <c r="I124">
        <v>7</v>
      </c>
      <c r="J124">
        <v>28.818999999999999</v>
      </c>
      <c r="K124">
        <v>2011</v>
      </c>
      <c r="L124">
        <v>11</v>
      </c>
      <c r="M124" t="s">
        <v>70</v>
      </c>
      <c r="N124">
        <v>9</v>
      </c>
      <c r="O124">
        <v>2</v>
      </c>
      <c r="P124">
        <v>46</v>
      </c>
      <c r="Q124">
        <v>8.9499999999999993</v>
      </c>
      <c r="R124" t="s">
        <v>26</v>
      </c>
      <c r="S124" t="b">
        <v>0</v>
      </c>
      <c r="T124" t="b">
        <v>0</v>
      </c>
    </row>
    <row r="125" spans="1:20" x14ac:dyDescent="0.3">
      <c r="A125" t="s">
        <v>314</v>
      </c>
      <c r="B125" s="1">
        <v>40856</v>
      </c>
      <c r="C125" s="1">
        <v>40858</v>
      </c>
      <c r="D125" t="s">
        <v>315</v>
      </c>
      <c r="E125" t="s">
        <v>51</v>
      </c>
      <c r="F125" t="s">
        <v>72</v>
      </c>
      <c r="G125" t="s">
        <v>321</v>
      </c>
      <c r="H125">
        <v>94.85</v>
      </c>
      <c r="I125">
        <v>5</v>
      </c>
      <c r="J125">
        <v>45.527999999999999</v>
      </c>
      <c r="K125">
        <v>2011</v>
      </c>
      <c r="L125">
        <v>11</v>
      </c>
      <c r="M125" t="s">
        <v>70</v>
      </c>
      <c r="N125">
        <v>9</v>
      </c>
      <c r="O125">
        <v>2</v>
      </c>
      <c r="P125">
        <v>48</v>
      </c>
      <c r="Q125">
        <v>18.97</v>
      </c>
      <c r="R125" t="s">
        <v>26</v>
      </c>
      <c r="S125" t="b">
        <v>0</v>
      </c>
      <c r="T125" t="b">
        <v>0</v>
      </c>
    </row>
    <row r="126" spans="1:20" x14ac:dyDescent="0.3">
      <c r="A126" t="s">
        <v>322</v>
      </c>
      <c r="B126" s="1">
        <v>41468</v>
      </c>
      <c r="C126" s="1">
        <v>41475</v>
      </c>
      <c r="D126" t="s">
        <v>323</v>
      </c>
      <c r="E126" t="s">
        <v>22</v>
      </c>
      <c r="F126" t="s">
        <v>54</v>
      </c>
      <c r="G126" t="s">
        <v>324</v>
      </c>
      <c r="H126">
        <v>95.76</v>
      </c>
      <c r="I126">
        <v>6</v>
      </c>
      <c r="J126">
        <v>7.1820000000000004</v>
      </c>
      <c r="K126">
        <v>2013</v>
      </c>
      <c r="L126">
        <v>7</v>
      </c>
      <c r="M126" t="s">
        <v>66</v>
      </c>
      <c r="N126">
        <v>13</v>
      </c>
      <c r="O126">
        <v>7</v>
      </c>
      <c r="P126">
        <v>7.5</v>
      </c>
      <c r="Q126">
        <v>15.96</v>
      </c>
      <c r="R126" t="s">
        <v>26</v>
      </c>
      <c r="S126" t="b">
        <v>0</v>
      </c>
      <c r="T126" t="b">
        <v>0</v>
      </c>
    </row>
    <row r="127" spans="1:20" x14ac:dyDescent="0.3">
      <c r="A127" t="s">
        <v>325</v>
      </c>
      <c r="B127" s="1">
        <v>40822</v>
      </c>
      <c r="C127" s="1">
        <v>40826</v>
      </c>
      <c r="D127" t="s">
        <v>326</v>
      </c>
      <c r="E127" t="s">
        <v>194</v>
      </c>
      <c r="F127" t="s">
        <v>61</v>
      </c>
      <c r="G127" t="s">
        <v>327</v>
      </c>
      <c r="H127">
        <v>9.09</v>
      </c>
      <c r="I127">
        <v>3</v>
      </c>
      <c r="J127">
        <v>1.9089</v>
      </c>
      <c r="K127">
        <v>2011</v>
      </c>
      <c r="L127">
        <v>10</v>
      </c>
      <c r="M127" t="s">
        <v>82</v>
      </c>
      <c r="N127">
        <v>6</v>
      </c>
      <c r="O127">
        <v>4</v>
      </c>
      <c r="P127">
        <v>21</v>
      </c>
      <c r="Q127">
        <v>3.03</v>
      </c>
      <c r="R127" t="s">
        <v>26</v>
      </c>
      <c r="S127" t="b">
        <v>0</v>
      </c>
      <c r="T127" t="b">
        <v>0</v>
      </c>
    </row>
    <row r="128" spans="1:20" x14ac:dyDescent="0.3">
      <c r="A128" t="s">
        <v>328</v>
      </c>
      <c r="B128" s="1">
        <v>41801</v>
      </c>
      <c r="C128" s="1">
        <v>41804</v>
      </c>
      <c r="D128" t="s">
        <v>329</v>
      </c>
      <c r="E128" t="s">
        <v>22</v>
      </c>
      <c r="F128" t="s">
        <v>23</v>
      </c>
      <c r="G128" t="s">
        <v>330</v>
      </c>
      <c r="H128">
        <v>29.6</v>
      </c>
      <c r="I128">
        <v>2</v>
      </c>
      <c r="J128">
        <v>14.8</v>
      </c>
      <c r="K128">
        <v>2014</v>
      </c>
      <c r="L128">
        <v>6</v>
      </c>
      <c r="M128" t="s">
        <v>25</v>
      </c>
      <c r="N128">
        <v>11</v>
      </c>
      <c r="O128">
        <v>3</v>
      </c>
      <c r="P128">
        <v>50</v>
      </c>
      <c r="Q128">
        <v>14.8</v>
      </c>
      <c r="R128" t="s">
        <v>26</v>
      </c>
      <c r="S128" t="b">
        <v>0</v>
      </c>
      <c r="T128" t="b">
        <v>0</v>
      </c>
    </row>
    <row r="129" spans="1:20" x14ac:dyDescent="0.3">
      <c r="A129" t="s">
        <v>328</v>
      </c>
      <c r="B129" s="1">
        <v>41801</v>
      </c>
      <c r="C129" s="1">
        <v>41804</v>
      </c>
      <c r="D129" t="s">
        <v>329</v>
      </c>
      <c r="E129" t="s">
        <v>22</v>
      </c>
      <c r="F129" t="s">
        <v>54</v>
      </c>
      <c r="G129" t="s">
        <v>331</v>
      </c>
      <c r="H129">
        <v>279.95999999999998</v>
      </c>
      <c r="I129">
        <v>5</v>
      </c>
      <c r="J129">
        <v>17.497499999999999</v>
      </c>
      <c r="K129">
        <v>2014</v>
      </c>
      <c r="L129">
        <v>6</v>
      </c>
      <c r="M129" t="s">
        <v>25</v>
      </c>
      <c r="N129">
        <v>11</v>
      </c>
      <c r="O129">
        <v>3</v>
      </c>
      <c r="P129">
        <v>6.25</v>
      </c>
      <c r="Q129">
        <v>55.991999999999997</v>
      </c>
      <c r="R129" t="s">
        <v>26</v>
      </c>
      <c r="S129" t="b">
        <v>0</v>
      </c>
      <c r="T129" t="b">
        <v>1</v>
      </c>
    </row>
    <row r="130" spans="1:20" x14ac:dyDescent="0.3">
      <c r="A130" t="s">
        <v>332</v>
      </c>
      <c r="B130" s="1">
        <v>41404</v>
      </c>
      <c r="C130" s="1">
        <v>41409</v>
      </c>
      <c r="D130" t="s">
        <v>333</v>
      </c>
      <c r="E130" t="s">
        <v>39</v>
      </c>
      <c r="F130" t="s">
        <v>61</v>
      </c>
      <c r="G130" t="s">
        <v>334</v>
      </c>
      <c r="H130">
        <v>93.98</v>
      </c>
      <c r="I130">
        <v>2</v>
      </c>
      <c r="J130">
        <v>13.1572</v>
      </c>
      <c r="K130">
        <v>2013</v>
      </c>
      <c r="L130">
        <v>5</v>
      </c>
      <c r="M130" t="s">
        <v>47</v>
      </c>
      <c r="N130">
        <v>10</v>
      </c>
      <c r="O130">
        <v>5</v>
      </c>
      <c r="P130">
        <v>14</v>
      </c>
      <c r="Q130">
        <v>46.99</v>
      </c>
      <c r="R130" t="s">
        <v>26</v>
      </c>
      <c r="S130" t="b">
        <v>0</v>
      </c>
      <c r="T130" t="b">
        <v>0</v>
      </c>
    </row>
    <row r="131" spans="1:20" x14ac:dyDescent="0.3">
      <c r="A131" t="s">
        <v>335</v>
      </c>
      <c r="B131" s="1">
        <v>41481</v>
      </c>
      <c r="C131" s="1">
        <v>41487</v>
      </c>
      <c r="D131" t="s">
        <v>300</v>
      </c>
      <c r="E131" t="s">
        <v>336</v>
      </c>
      <c r="F131" t="s">
        <v>33</v>
      </c>
      <c r="G131" t="s">
        <v>337</v>
      </c>
      <c r="H131">
        <v>119.616</v>
      </c>
      <c r="I131">
        <v>8</v>
      </c>
      <c r="J131">
        <v>40.370399999999997</v>
      </c>
      <c r="K131">
        <v>2013</v>
      </c>
      <c r="L131">
        <v>7</v>
      </c>
      <c r="M131" t="s">
        <v>66</v>
      </c>
      <c r="N131">
        <v>26</v>
      </c>
      <c r="O131">
        <v>6</v>
      </c>
      <c r="P131">
        <v>33.75</v>
      </c>
      <c r="Q131">
        <v>14.952</v>
      </c>
      <c r="R131" t="s">
        <v>26</v>
      </c>
      <c r="S131" t="b">
        <v>0</v>
      </c>
      <c r="T131" t="b">
        <v>0</v>
      </c>
    </row>
    <row r="132" spans="1:20" x14ac:dyDescent="0.3">
      <c r="A132" t="s">
        <v>335</v>
      </c>
      <c r="B132" s="1">
        <v>41481</v>
      </c>
      <c r="C132" s="1">
        <v>41487</v>
      </c>
      <c r="D132" t="s">
        <v>300</v>
      </c>
      <c r="E132" t="s">
        <v>336</v>
      </c>
      <c r="F132" t="s">
        <v>29</v>
      </c>
      <c r="G132" t="s">
        <v>338</v>
      </c>
      <c r="H132">
        <v>255.76</v>
      </c>
      <c r="I132">
        <v>4</v>
      </c>
      <c r="J132">
        <v>81.843199999999996</v>
      </c>
      <c r="K132">
        <v>2013</v>
      </c>
      <c r="L132">
        <v>7</v>
      </c>
      <c r="M132" t="s">
        <v>66</v>
      </c>
      <c r="N132">
        <v>26</v>
      </c>
      <c r="O132">
        <v>6</v>
      </c>
      <c r="P132">
        <v>32</v>
      </c>
      <c r="Q132">
        <v>63.94</v>
      </c>
      <c r="R132" t="s">
        <v>26</v>
      </c>
      <c r="S132" t="b">
        <v>0</v>
      </c>
      <c r="T132" t="b">
        <v>1</v>
      </c>
    </row>
    <row r="133" spans="1:20" x14ac:dyDescent="0.3">
      <c r="A133" t="s">
        <v>335</v>
      </c>
      <c r="B133" s="1">
        <v>41481</v>
      </c>
      <c r="C133" s="1">
        <v>41487</v>
      </c>
      <c r="D133" t="s">
        <v>300</v>
      </c>
      <c r="E133" t="s">
        <v>336</v>
      </c>
      <c r="F133" t="s">
        <v>110</v>
      </c>
      <c r="G133" t="s">
        <v>339</v>
      </c>
      <c r="H133">
        <v>241.56800000000001</v>
      </c>
      <c r="I133">
        <v>2</v>
      </c>
      <c r="J133">
        <v>18.117599999999999</v>
      </c>
      <c r="K133">
        <v>2013</v>
      </c>
      <c r="L133">
        <v>7</v>
      </c>
      <c r="M133" t="s">
        <v>66</v>
      </c>
      <c r="N133">
        <v>26</v>
      </c>
      <c r="O133">
        <v>6</v>
      </c>
      <c r="P133">
        <v>7.5</v>
      </c>
      <c r="Q133">
        <v>120.78400000000001</v>
      </c>
      <c r="R133" t="s">
        <v>26</v>
      </c>
      <c r="S133" t="b">
        <v>0</v>
      </c>
      <c r="T133" t="b">
        <v>1</v>
      </c>
    </row>
    <row r="134" spans="1:20" x14ac:dyDescent="0.3">
      <c r="A134" t="s">
        <v>335</v>
      </c>
      <c r="B134" s="1">
        <v>41481</v>
      </c>
      <c r="C134" s="1">
        <v>41487</v>
      </c>
      <c r="D134" t="s">
        <v>300</v>
      </c>
      <c r="E134" t="s">
        <v>336</v>
      </c>
      <c r="F134" t="s">
        <v>29</v>
      </c>
      <c r="G134" t="s">
        <v>340</v>
      </c>
      <c r="H134">
        <v>69.3</v>
      </c>
      <c r="I134">
        <v>9</v>
      </c>
      <c r="J134">
        <v>22.869</v>
      </c>
      <c r="K134">
        <v>2013</v>
      </c>
      <c r="L134">
        <v>7</v>
      </c>
      <c r="M134" t="s">
        <v>66</v>
      </c>
      <c r="N134">
        <v>26</v>
      </c>
      <c r="O134">
        <v>6</v>
      </c>
      <c r="P134">
        <v>33</v>
      </c>
      <c r="Q134">
        <v>7.6999999999999993</v>
      </c>
      <c r="R134" t="s">
        <v>26</v>
      </c>
      <c r="S134" t="b">
        <v>0</v>
      </c>
      <c r="T134" t="b">
        <v>0</v>
      </c>
    </row>
    <row r="135" spans="1:20" x14ac:dyDescent="0.3">
      <c r="A135" t="s">
        <v>341</v>
      </c>
      <c r="B135" s="1">
        <v>41425</v>
      </c>
      <c r="C135" s="1">
        <v>41430</v>
      </c>
      <c r="D135" t="s">
        <v>342</v>
      </c>
      <c r="E135" t="s">
        <v>343</v>
      </c>
      <c r="F135" t="s">
        <v>33</v>
      </c>
      <c r="G135" t="s">
        <v>344</v>
      </c>
      <c r="H135">
        <v>22.62</v>
      </c>
      <c r="I135">
        <v>2</v>
      </c>
      <c r="J135">
        <v>-15.08</v>
      </c>
      <c r="K135">
        <v>2013</v>
      </c>
      <c r="L135">
        <v>5</v>
      </c>
      <c r="M135" t="s">
        <v>47</v>
      </c>
      <c r="N135">
        <v>31</v>
      </c>
      <c r="O135">
        <v>5</v>
      </c>
      <c r="P135">
        <v>-66.67</v>
      </c>
      <c r="Q135">
        <v>11.31</v>
      </c>
      <c r="R135" t="s">
        <v>26</v>
      </c>
      <c r="S135" t="b">
        <v>1</v>
      </c>
      <c r="T135" t="b">
        <v>0</v>
      </c>
    </row>
    <row r="136" spans="1:20" x14ac:dyDescent="0.3">
      <c r="A136" t="s">
        <v>341</v>
      </c>
      <c r="B136" s="1">
        <v>41425</v>
      </c>
      <c r="C136" s="1">
        <v>41430</v>
      </c>
      <c r="D136" t="s">
        <v>342</v>
      </c>
      <c r="E136" t="s">
        <v>343</v>
      </c>
      <c r="F136" t="s">
        <v>33</v>
      </c>
      <c r="G136" t="s">
        <v>345</v>
      </c>
      <c r="H136">
        <v>14.952</v>
      </c>
      <c r="I136">
        <v>2</v>
      </c>
      <c r="J136">
        <v>-11.961600000000001</v>
      </c>
      <c r="K136">
        <v>2013</v>
      </c>
      <c r="L136">
        <v>5</v>
      </c>
      <c r="M136" t="s">
        <v>47</v>
      </c>
      <c r="N136">
        <v>31</v>
      </c>
      <c r="O136">
        <v>5</v>
      </c>
      <c r="P136">
        <v>-80</v>
      </c>
      <c r="Q136">
        <v>7.476</v>
      </c>
      <c r="R136" t="s">
        <v>26</v>
      </c>
      <c r="S136" t="b">
        <v>1</v>
      </c>
      <c r="T136" t="b">
        <v>0</v>
      </c>
    </row>
    <row r="137" spans="1:20" x14ac:dyDescent="0.3">
      <c r="A137" t="s">
        <v>341</v>
      </c>
      <c r="B137" s="1">
        <v>41425</v>
      </c>
      <c r="C137" s="1">
        <v>41430</v>
      </c>
      <c r="D137" t="s">
        <v>342</v>
      </c>
      <c r="E137" t="s">
        <v>343</v>
      </c>
      <c r="F137" t="s">
        <v>33</v>
      </c>
      <c r="G137" t="s">
        <v>346</v>
      </c>
      <c r="H137">
        <v>2.3759999999999999</v>
      </c>
      <c r="I137">
        <v>3</v>
      </c>
      <c r="J137">
        <v>-1.9008</v>
      </c>
      <c r="K137">
        <v>2013</v>
      </c>
      <c r="L137">
        <v>5</v>
      </c>
      <c r="M137" t="s">
        <v>47</v>
      </c>
      <c r="N137">
        <v>31</v>
      </c>
      <c r="O137">
        <v>5</v>
      </c>
      <c r="P137">
        <v>-80</v>
      </c>
      <c r="Q137">
        <v>0.79199999999999993</v>
      </c>
      <c r="R137" t="s">
        <v>26</v>
      </c>
      <c r="S137" t="b">
        <v>1</v>
      </c>
      <c r="T137" t="b">
        <v>0</v>
      </c>
    </row>
    <row r="138" spans="1:20" x14ac:dyDescent="0.3">
      <c r="A138" t="s">
        <v>341</v>
      </c>
      <c r="B138" s="1">
        <v>41425</v>
      </c>
      <c r="C138" s="1">
        <v>41430</v>
      </c>
      <c r="D138" t="s">
        <v>342</v>
      </c>
      <c r="E138" t="s">
        <v>343</v>
      </c>
      <c r="F138" t="s">
        <v>72</v>
      </c>
      <c r="G138" t="s">
        <v>347</v>
      </c>
      <c r="H138">
        <v>32.792000000000002</v>
      </c>
      <c r="I138">
        <v>1</v>
      </c>
      <c r="J138">
        <v>11.8871</v>
      </c>
      <c r="K138">
        <v>2013</v>
      </c>
      <c r="L138">
        <v>5</v>
      </c>
      <c r="M138" t="s">
        <v>47</v>
      </c>
      <c r="N138">
        <v>31</v>
      </c>
      <c r="O138">
        <v>5</v>
      </c>
      <c r="P138">
        <v>36.25</v>
      </c>
      <c r="Q138">
        <v>32.792000000000002</v>
      </c>
      <c r="R138" t="s">
        <v>26</v>
      </c>
      <c r="S138" t="b">
        <v>0</v>
      </c>
      <c r="T138" t="b">
        <v>0</v>
      </c>
    </row>
    <row r="139" spans="1:20" x14ac:dyDescent="0.3">
      <c r="A139" t="s">
        <v>348</v>
      </c>
      <c r="B139" s="1">
        <v>41995</v>
      </c>
      <c r="C139" s="1">
        <v>41999</v>
      </c>
      <c r="D139" t="s">
        <v>349</v>
      </c>
      <c r="E139" t="s">
        <v>22</v>
      </c>
      <c r="F139" t="s">
        <v>31</v>
      </c>
      <c r="G139" t="s">
        <v>350</v>
      </c>
      <c r="H139">
        <v>6.63</v>
      </c>
      <c r="I139">
        <v>3</v>
      </c>
      <c r="J139">
        <v>1.7901</v>
      </c>
      <c r="K139">
        <v>2014</v>
      </c>
      <c r="L139">
        <v>12</v>
      </c>
      <c r="M139" t="s">
        <v>41</v>
      </c>
      <c r="N139">
        <v>22</v>
      </c>
      <c r="O139">
        <v>4</v>
      </c>
      <c r="P139">
        <v>27</v>
      </c>
      <c r="Q139">
        <v>2.21</v>
      </c>
      <c r="R139" t="s">
        <v>26</v>
      </c>
      <c r="S139" t="b">
        <v>0</v>
      </c>
      <c r="T139" t="b">
        <v>0</v>
      </c>
    </row>
    <row r="140" spans="1:20" x14ac:dyDescent="0.3">
      <c r="A140" t="s">
        <v>348</v>
      </c>
      <c r="B140" s="1">
        <v>41995</v>
      </c>
      <c r="C140" s="1">
        <v>41999</v>
      </c>
      <c r="D140" t="s">
        <v>349</v>
      </c>
      <c r="E140" t="s">
        <v>22</v>
      </c>
      <c r="F140" t="s">
        <v>31</v>
      </c>
      <c r="G140" t="s">
        <v>351</v>
      </c>
      <c r="H140">
        <v>5.88</v>
      </c>
      <c r="I140">
        <v>2</v>
      </c>
      <c r="J140">
        <v>1.7052</v>
      </c>
      <c r="K140">
        <v>2014</v>
      </c>
      <c r="L140">
        <v>12</v>
      </c>
      <c r="M140" t="s">
        <v>41</v>
      </c>
      <c r="N140">
        <v>22</v>
      </c>
      <c r="O140">
        <v>4</v>
      </c>
      <c r="P140">
        <v>29</v>
      </c>
      <c r="Q140">
        <v>2.94</v>
      </c>
      <c r="R140" t="s">
        <v>26</v>
      </c>
      <c r="S140" t="b">
        <v>0</v>
      </c>
      <c r="T140" t="b">
        <v>0</v>
      </c>
    </row>
    <row r="141" spans="1:20" x14ac:dyDescent="0.3">
      <c r="A141" t="s">
        <v>352</v>
      </c>
      <c r="B141" s="1">
        <v>41662</v>
      </c>
      <c r="C141" s="1">
        <v>41667</v>
      </c>
      <c r="D141" t="s">
        <v>353</v>
      </c>
      <c r="E141" t="s">
        <v>354</v>
      </c>
      <c r="F141" t="s">
        <v>45</v>
      </c>
      <c r="G141" t="s">
        <v>355</v>
      </c>
      <c r="H141">
        <v>51.45</v>
      </c>
      <c r="I141">
        <v>3</v>
      </c>
      <c r="J141">
        <v>13.891500000000001</v>
      </c>
      <c r="K141">
        <v>2014</v>
      </c>
      <c r="L141">
        <v>1</v>
      </c>
      <c r="M141" t="s">
        <v>60</v>
      </c>
      <c r="N141">
        <v>23</v>
      </c>
      <c r="O141">
        <v>5</v>
      </c>
      <c r="P141">
        <v>27</v>
      </c>
      <c r="Q141">
        <v>17.149999999999999</v>
      </c>
      <c r="R141" t="s">
        <v>26</v>
      </c>
      <c r="S141" t="b">
        <v>0</v>
      </c>
      <c r="T141" t="b">
        <v>0</v>
      </c>
    </row>
    <row r="142" spans="1:20" x14ac:dyDescent="0.3">
      <c r="A142" t="s">
        <v>352</v>
      </c>
      <c r="B142" s="1">
        <v>41662</v>
      </c>
      <c r="C142" s="1">
        <v>41667</v>
      </c>
      <c r="D142" t="s">
        <v>353</v>
      </c>
      <c r="E142" t="s">
        <v>354</v>
      </c>
      <c r="F142" t="s">
        <v>72</v>
      </c>
      <c r="G142" t="s">
        <v>356</v>
      </c>
      <c r="H142">
        <v>11.96</v>
      </c>
      <c r="I142">
        <v>2</v>
      </c>
      <c r="J142">
        <v>5.3819999999999997</v>
      </c>
      <c r="K142">
        <v>2014</v>
      </c>
      <c r="L142">
        <v>1</v>
      </c>
      <c r="M142" t="s">
        <v>60</v>
      </c>
      <c r="N142">
        <v>23</v>
      </c>
      <c r="O142">
        <v>5</v>
      </c>
      <c r="P142">
        <v>45</v>
      </c>
      <c r="Q142">
        <v>5.98</v>
      </c>
      <c r="R142" t="s">
        <v>26</v>
      </c>
      <c r="S142" t="b">
        <v>0</v>
      </c>
      <c r="T142" t="b">
        <v>0</v>
      </c>
    </row>
    <row r="143" spans="1:20" x14ac:dyDescent="0.3">
      <c r="A143" t="s">
        <v>357</v>
      </c>
      <c r="B143" s="1">
        <v>41416</v>
      </c>
      <c r="C143" s="1">
        <v>41418</v>
      </c>
      <c r="D143" t="s">
        <v>190</v>
      </c>
      <c r="E143" t="s">
        <v>22</v>
      </c>
      <c r="F143" t="s">
        <v>54</v>
      </c>
      <c r="G143" t="s">
        <v>358</v>
      </c>
      <c r="H143">
        <v>55.176000000000002</v>
      </c>
      <c r="I143">
        <v>3</v>
      </c>
      <c r="J143">
        <v>-12.4146</v>
      </c>
      <c r="K143">
        <v>2013</v>
      </c>
      <c r="L143">
        <v>5</v>
      </c>
      <c r="M143" t="s">
        <v>47</v>
      </c>
      <c r="N143">
        <v>22</v>
      </c>
      <c r="O143">
        <v>2</v>
      </c>
      <c r="P143">
        <v>-22.5</v>
      </c>
      <c r="Q143">
        <v>18.391999999999999</v>
      </c>
      <c r="R143" t="s">
        <v>26</v>
      </c>
      <c r="S143" t="b">
        <v>1</v>
      </c>
      <c r="T143" t="b">
        <v>0</v>
      </c>
    </row>
    <row r="144" spans="1:20" x14ac:dyDescent="0.3">
      <c r="A144" t="s">
        <v>357</v>
      </c>
      <c r="B144" s="1">
        <v>41416</v>
      </c>
      <c r="C144" s="1">
        <v>41418</v>
      </c>
      <c r="D144" t="s">
        <v>190</v>
      </c>
      <c r="E144" t="s">
        <v>22</v>
      </c>
      <c r="F144" t="s">
        <v>61</v>
      </c>
      <c r="G144" t="s">
        <v>359</v>
      </c>
      <c r="H144">
        <v>66.260000000000005</v>
      </c>
      <c r="I144">
        <v>2</v>
      </c>
      <c r="J144">
        <v>27.166599999999999</v>
      </c>
      <c r="K144">
        <v>2013</v>
      </c>
      <c r="L144">
        <v>5</v>
      </c>
      <c r="M144" t="s">
        <v>47</v>
      </c>
      <c r="N144">
        <v>22</v>
      </c>
      <c r="O144">
        <v>2</v>
      </c>
      <c r="P144">
        <v>41</v>
      </c>
      <c r="Q144">
        <v>33.130000000000003</v>
      </c>
      <c r="R144" t="s">
        <v>26</v>
      </c>
      <c r="S144" t="b">
        <v>0</v>
      </c>
      <c r="T144" t="b">
        <v>0</v>
      </c>
    </row>
    <row r="145" spans="1:20" x14ac:dyDescent="0.3">
      <c r="A145" t="s">
        <v>360</v>
      </c>
      <c r="B145" s="1">
        <v>41220</v>
      </c>
      <c r="C145" s="1">
        <v>41222</v>
      </c>
      <c r="D145" t="s">
        <v>361</v>
      </c>
      <c r="E145" t="s">
        <v>22</v>
      </c>
      <c r="F145" t="s">
        <v>110</v>
      </c>
      <c r="G145" t="s">
        <v>362</v>
      </c>
      <c r="H145">
        <v>190.72</v>
      </c>
      <c r="I145">
        <v>1</v>
      </c>
      <c r="J145">
        <v>11.92</v>
      </c>
      <c r="K145">
        <v>2012</v>
      </c>
      <c r="L145">
        <v>11</v>
      </c>
      <c r="M145" t="s">
        <v>70</v>
      </c>
      <c r="N145">
        <v>7</v>
      </c>
      <c r="O145">
        <v>2</v>
      </c>
      <c r="P145">
        <v>6.25</v>
      </c>
      <c r="Q145">
        <v>190.72</v>
      </c>
      <c r="R145" t="s">
        <v>26</v>
      </c>
      <c r="S145" t="b">
        <v>0</v>
      </c>
      <c r="T145" t="b">
        <v>0</v>
      </c>
    </row>
    <row r="146" spans="1:20" x14ac:dyDescent="0.3">
      <c r="A146" t="s">
        <v>363</v>
      </c>
      <c r="B146" s="1">
        <v>41890</v>
      </c>
      <c r="C146" s="1">
        <v>41894</v>
      </c>
      <c r="D146" t="s">
        <v>364</v>
      </c>
      <c r="E146" t="s">
        <v>22</v>
      </c>
      <c r="F146" t="s">
        <v>29</v>
      </c>
      <c r="G146" t="s">
        <v>365</v>
      </c>
      <c r="H146">
        <v>47.94</v>
      </c>
      <c r="I146">
        <v>3</v>
      </c>
      <c r="J146">
        <v>2.3969999999999998</v>
      </c>
      <c r="K146">
        <v>2014</v>
      </c>
      <c r="L146">
        <v>9</v>
      </c>
      <c r="M146" t="s">
        <v>87</v>
      </c>
      <c r="N146">
        <v>8</v>
      </c>
      <c r="O146">
        <v>4</v>
      </c>
      <c r="P146">
        <v>5</v>
      </c>
      <c r="Q146">
        <v>15.98</v>
      </c>
      <c r="R146" t="s">
        <v>26</v>
      </c>
      <c r="S146" t="b">
        <v>0</v>
      </c>
      <c r="T146" t="b">
        <v>0</v>
      </c>
    </row>
    <row r="147" spans="1:20" x14ac:dyDescent="0.3">
      <c r="A147" t="s">
        <v>366</v>
      </c>
      <c r="B147" s="1">
        <v>41466</v>
      </c>
      <c r="C147" s="1">
        <v>41472</v>
      </c>
      <c r="D147" t="s">
        <v>367</v>
      </c>
      <c r="E147" t="s">
        <v>368</v>
      </c>
      <c r="F147" t="s">
        <v>45</v>
      </c>
      <c r="G147" t="s">
        <v>369</v>
      </c>
      <c r="H147">
        <v>16.768000000000001</v>
      </c>
      <c r="I147">
        <v>2</v>
      </c>
      <c r="J147">
        <v>1.4672000000000001</v>
      </c>
      <c r="K147">
        <v>2013</v>
      </c>
      <c r="L147">
        <v>7</v>
      </c>
      <c r="M147" t="s">
        <v>66</v>
      </c>
      <c r="N147">
        <v>11</v>
      </c>
      <c r="O147">
        <v>6</v>
      </c>
      <c r="P147">
        <v>8.75</v>
      </c>
      <c r="Q147">
        <v>8.3840000000000003</v>
      </c>
      <c r="R147" t="s">
        <v>26</v>
      </c>
      <c r="S147" t="b">
        <v>0</v>
      </c>
      <c r="T147" t="b">
        <v>0</v>
      </c>
    </row>
    <row r="148" spans="1:20" x14ac:dyDescent="0.3">
      <c r="A148" t="s">
        <v>370</v>
      </c>
      <c r="B148" s="1">
        <v>41470</v>
      </c>
      <c r="C148" s="1">
        <v>41473</v>
      </c>
      <c r="D148" t="s">
        <v>371</v>
      </c>
      <c r="E148" t="s">
        <v>257</v>
      </c>
      <c r="F148" t="s">
        <v>54</v>
      </c>
      <c r="G148" t="s">
        <v>372</v>
      </c>
      <c r="H148">
        <v>380.86399999999998</v>
      </c>
      <c r="I148">
        <v>8</v>
      </c>
      <c r="J148">
        <v>38.086399999999998</v>
      </c>
      <c r="K148">
        <v>2013</v>
      </c>
      <c r="L148">
        <v>7</v>
      </c>
      <c r="M148" t="s">
        <v>66</v>
      </c>
      <c r="N148">
        <v>15</v>
      </c>
      <c r="O148">
        <v>3</v>
      </c>
      <c r="P148">
        <v>10</v>
      </c>
      <c r="Q148">
        <v>47.607999999999997</v>
      </c>
      <c r="R148" t="s">
        <v>26</v>
      </c>
      <c r="S148" t="b">
        <v>0</v>
      </c>
      <c r="T148" t="b">
        <v>1</v>
      </c>
    </row>
    <row r="149" spans="1:20" x14ac:dyDescent="0.3">
      <c r="A149" t="s">
        <v>373</v>
      </c>
      <c r="B149" s="1">
        <v>41436</v>
      </c>
      <c r="C149" s="1">
        <v>41441</v>
      </c>
      <c r="D149" t="s">
        <v>374</v>
      </c>
      <c r="E149" t="s">
        <v>22</v>
      </c>
      <c r="F149" t="s">
        <v>23</v>
      </c>
      <c r="G149" t="s">
        <v>375</v>
      </c>
      <c r="H149">
        <v>20.7</v>
      </c>
      <c r="I149">
        <v>2</v>
      </c>
      <c r="J149">
        <v>9.9359999999999999</v>
      </c>
      <c r="K149">
        <v>2013</v>
      </c>
      <c r="L149">
        <v>6</v>
      </c>
      <c r="M149" t="s">
        <v>25</v>
      </c>
      <c r="N149">
        <v>11</v>
      </c>
      <c r="O149">
        <v>5</v>
      </c>
      <c r="P149">
        <v>48</v>
      </c>
      <c r="Q149">
        <v>10.35</v>
      </c>
      <c r="R149" t="s">
        <v>26</v>
      </c>
      <c r="S149" t="b">
        <v>0</v>
      </c>
      <c r="T149" t="b">
        <v>0</v>
      </c>
    </row>
    <row r="150" spans="1:20" x14ac:dyDescent="0.3">
      <c r="A150" t="s">
        <v>373</v>
      </c>
      <c r="B150" s="1">
        <v>41436</v>
      </c>
      <c r="C150" s="1">
        <v>41441</v>
      </c>
      <c r="D150" t="s">
        <v>374</v>
      </c>
      <c r="E150" t="s">
        <v>22</v>
      </c>
      <c r="F150" t="s">
        <v>72</v>
      </c>
      <c r="G150" t="s">
        <v>376</v>
      </c>
      <c r="H150">
        <v>32.4</v>
      </c>
      <c r="I150">
        <v>5</v>
      </c>
      <c r="J150">
        <v>15.552</v>
      </c>
      <c r="K150">
        <v>2013</v>
      </c>
      <c r="L150">
        <v>6</v>
      </c>
      <c r="M150" t="s">
        <v>25</v>
      </c>
      <c r="N150">
        <v>11</v>
      </c>
      <c r="O150">
        <v>5</v>
      </c>
      <c r="P150">
        <v>48</v>
      </c>
      <c r="Q150">
        <v>6.48</v>
      </c>
      <c r="R150" t="s">
        <v>26</v>
      </c>
      <c r="S150" t="b">
        <v>0</v>
      </c>
      <c r="T150" t="b">
        <v>0</v>
      </c>
    </row>
    <row r="151" spans="1:20" x14ac:dyDescent="0.3">
      <c r="A151" t="s">
        <v>377</v>
      </c>
      <c r="B151" s="1">
        <v>41964</v>
      </c>
      <c r="C151" s="1">
        <v>41966</v>
      </c>
      <c r="D151" t="s">
        <v>378</v>
      </c>
      <c r="E151" t="s">
        <v>51</v>
      </c>
      <c r="F151" t="s">
        <v>29</v>
      </c>
      <c r="G151" t="s">
        <v>379</v>
      </c>
      <c r="H151">
        <v>42.6</v>
      </c>
      <c r="I151">
        <v>3</v>
      </c>
      <c r="J151">
        <v>16.614000000000001</v>
      </c>
      <c r="K151">
        <v>2014</v>
      </c>
      <c r="L151">
        <v>11</v>
      </c>
      <c r="M151" t="s">
        <v>70</v>
      </c>
      <c r="N151">
        <v>21</v>
      </c>
      <c r="O151">
        <v>2</v>
      </c>
      <c r="P151">
        <v>39</v>
      </c>
      <c r="Q151">
        <v>14.2</v>
      </c>
      <c r="R151" t="s">
        <v>26</v>
      </c>
      <c r="S151" t="b">
        <v>0</v>
      </c>
      <c r="T151" t="b">
        <v>0</v>
      </c>
    </row>
    <row r="152" spans="1:20" x14ac:dyDescent="0.3">
      <c r="A152" t="s">
        <v>377</v>
      </c>
      <c r="B152" s="1">
        <v>41964</v>
      </c>
      <c r="C152" s="1">
        <v>41966</v>
      </c>
      <c r="D152" t="s">
        <v>378</v>
      </c>
      <c r="E152" t="s">
        <v>51</v>
      </c>
      <c r="F152" t="s">
        <v>33</v>
      </c>
      <c r="G152" t="s">
        <v>380</v>
      </c>
      <c r="H152">
        <v>84.055999999999997</v>
      </c>
      <c r="I152">
        <v>7</v>
      </c>
      <c r="J152">
        <v>27.318200000000001</v>
      </c>
      <c r="K152">
        <v>2014</v>
      </c>
      <c r="L152">
        <v>11</v>
      </c>
      <c r="M152" t="s">
        <v>70</v>
      </c>
      <c r="N152">
        <v>21</v>
      </c>
      <c r="O152">
        <v>2</v>
      </c>
      <c r="P152">
        <v>32.5</v>
      </c>
      <c r="Q152">
        <v>12.007999999999999</v>
      </c>
      <c r="R152" t="s">
        <v>26</v>
      </c>
      <c r="S152" t="b">
        <v>0</v>
      </c>
      <c r="T152" t="b">
        <v>0</v>
      </c>
    </row>
    <row r="153" spans="1:20" x14ac:dyDescent="0.3">
      <c r="A153" t="s">
        <v>381</v>
      </c>
      <c r="B153" s="1">
        <v>41250</v>
      </c>
      <c r="C153" s="1">
        <v>41252</v>
      </c>
      <c r="D153" t="s">
        <v>382</v>
      </c>
      <c r="E153" t="s">
        <v>39</v>
      </c>
      <c r="F153" t="s">
        <v>119</v>
      </c>
      <c r="G153" t="s">
        <v>383</v>
      </c>
      <c r="H153">
        <v>3.96</v>
      </c>
      <c r="I153">
        <v>2</v>
      </c>
      <c r="J153">
        <v>0</v>
      </c>
      <c r="K153">
        <v>2012</v>
      </c>
      <c r="L153">
        <v>12</v>
      </c>
      <c r="M153" t="s">
        <v>41</v>
      </c>
      <c r="N153">
        <v>7</v>
      </c>
      <c r="O153">
        <v>2</v>
      </c>
      <c r="P153">
        <v>0</v>
      </c>
      <c r="Q153">
        <v>1.98</v>
      </c>
      <c r="R153" t="s">
        <v>26</v>
      </c>
      <c r="S153" t="b">
        <v>0</v>
      </c>
      <c r="T153" t="b">
        <v>0</v>
      </c>
    </row>
    <row r="154" spans="1:20" x14ac:dyDescent="0.3">
      <c r="A154" t="s">
        <v>381</v>
      </c>
      <c r="B154" s="1">
        <v>41250</v>
      </c>
      <c r="C154" s="1">
        <v>41252</v>
      </c>
      <c r="D154" t="s">
        <v>382</v>
      </c>
      <c r="E154" t="s">
        <v>39</v>
      </c>
      <c r="F154" t="s">
        <v>23</v>
      </c>
      <c r="G154" t="s">
        <v>228</v>
      </c>
      <c r="H154">
        <v>2.61</v>
      </c>
      <c r="I154">
        <v>1</v>
      </c>
      <c r="J154">
        <v>1.2005999999999999</v>
      </c>
      <c r="K154">
        <v>2012</v>
      </c>
      <c r="L154">
        <v>12</v>
      </c>
      <c r="M154" t="s">
        <v>41</v>
      </c>
      <c r="N154">
        <v>7</v>
      </c>
      <c r="O154">
        <v>2</v>
      </c>
      <c r="P154">
        <v>46</v>
      </c>
      <c r="Q154">
        <v>2.61</v>
      </c>
      <c r="R154" t="s">
        <v>26</v>
      </c>
      <c r="S154" t="b">
        <v>0</v>
      </c>
      <c r="T154" t="b">
        <v>0</v>
      </c>
    </row>
    <row r="155" spans="1:20" x14ac:dyDescent="0.3">
      <c r="A155" t="s">
        <v>384</v>
      </c>
      <c r="B155" s="1">
        <v>41981</v>
      </c>
      <c r="C155" s="1">
        <v>41984</v>
      </c>
      <c r="D155" t="s">
        <v>385</v>
      </c>
      <c r="E155" t="s">
        <v>22</v>
      </c>
      <c r="F155" t="s">
        <v>54</v>
      </c>
      <c r="G155" t="s">
        <v>386</v>
      </c>
      <c r="H155">
        <v>374.37599999999998</v>
      </c>
      <c r="I155">
        <v>3</v>
      </c>
      <c r="J155">
        <v>46.796999999999997</v>
      </c>
      <c r="K155">
        <v>2014</v>
      </c>
      <c r="L155">
        <v>12</v>
      </c>
      <c r="M155" t="s">
        <v>41</v>
      </c>
      <c r="N155">
        <v>8</v>
      </c>
      <c r="O155">
        <v>3</v>
      </c>
      <c r="P155">
        <v>12.5</v>
      </c>
      <c r="Q155">
        <v>124.792</v>
      </c>
      <c r="R155" t="s">
        <v>26</v>
      </c>
      <c r="S155" t="b">
        <v>0</v>
      </c>
      <c r="T155" t="b">
        <v>1</v>
      </c>
    </row>
    <row r="156" spans="1:20" x14ac:dyDescent="0.3">
      <c r="A156" t="s">
        <v>387</v>
      </c>
      <c r="B156" s="1">
        <v>41914</v>
      </c>
      <c r="C156" s="1">
        <v>41921</v>
      </c>
      <c r="D156" t="s">
        <v>388</v>
      </c>
      <c r="E156" t="s">
        <v>39</v>
      </c>
      <c r="F156" t="s">
        <v>72</v>
      </c>
      <c r="G156" t="s">
        <v>389</v>
      </c>
      <c r="H156">
        <v>91.84</v>
      </c>
      <c r="I156">
        <v>8</v>
      </c>
      <c r="J156">
        <v>45.001600000000003</v>
      </c>
      <c r="K156">
        <v>2014</v>
      </c>
      <c r="L156">
        <v>10</v>
      </c>
      <c r="M156" t="s">
        <v>82</v>
      </c>
      <c r="N156">
        <v>2</v>
      </c>
      <c r="O156">
        <v>7</v>
      </c>
      <c r="P156">
        <v>49</v>
      </c>
      <c r="Q156">
        <v>11.48</v>
      </c>
      <c r="R156" t="s">
        <v>26</v>
      </c>
      <c r="S156" t="b">
        <v>0</v>
      </c>
      <c r="T156" t="b">
        <v>0</v>
      </c>
    </row>
    <row r="157" spans="1:20" x14ac:dyDescent="0.3">
      <c r="A157" t="s">
        <v>387</v>
      </c>
      <c r="B157" s="1">
        <v>41914</v>
      </c>
      <c r="C157" s="1">
        <v>41921</v>
      </c>
      <c r="D157" t="s">
        <v>388</v>
      </c>
      <c r="E157" t="s">
        <v>39</v>
      </c>
      <c r="F157" t="s">
        <v>33</v>
      </c>
      <c r="G157" t="s">
        <v>390</v>
      </c>
      <c r="H157">
        <v>81.087999999999994</v>
      </c>
      <c r="I157">
        <v>7</v>
      </c>
      <c r="J157">
        <v>27.3672</v>
      </c>
      <c r="K157">
        <v>2014</v>
      </c>
      <c r="L157">
        <v>10</v>
      </c>
      <c r="M157" t="s">
        <v>82</v>
      </c>
      <c r="N157">
        <v>2</v>
      </c>
      <c r="O157">
        <v>7</v>
      </c>
      <c r="P157">
        <v>33.75</v>
      </c>
      <c r="Q157">
        <v>11.584</v>
      </c>
      <c r="R157" t="s">
        <v>26</v>
      </c>
      <c r="S157" t="b">
        <v>0</v>
      </c>
      <c r="T157" t="b">
        <v>0</v>
      </c>
    </row>
    <row r="158" spans="1:20" x14ac:dyDescent="0.3">
      <c r="A158" t="s">
        <v>387</v>
      </c>
      <c r="B158" s="1">
        <v>41914</v>
      </c>
      <c r="C158" s="1">
        <v>41921</v>
      </c>
      <c r="D158" t="s">
        <v>388</v>
      </c>
      <c r="E158" t="s">
        <v>39</v>
      </c>
      <c r="F158" t="s">
        <v>72</v>
      </c>
      <c r="G158" t="s">
        <v>391</v>
      </c>
      <c r="H158">
        <v>19.440000000000001</v>
      </c>
      <c r="I158">
        <v>3</v>
      </c>
      <c r="J158">
        <v>9.3312000000000008</v>
      </c>
      <c r="K158">
        <v>2014</v>
      </c>
      <c r="L158">
        <v>10</v>
      </c>
      <c r="M158" t="s">
        <v>82</v>
      </c>
      <c r="N158">
        <v>2</v>
      </c>
      <c r="O158">
        <v>7</v>
      </c>
      <c r="P158">
        <v>48</v>
      </c>
      <c r="Q158">
        <v>6.48</v>
      </c>
      <c r="R158" t="s">
        <v>26</v>
      </c>
      <c r="S158" t="b">
        <v>0</v>
      </c>
      <c r="T158" t="b">
        <v>0</v>
      </c>
    </row>
    <row r="159" spans="1:20" x14ac:dyDescent="0.3">
      <c r="A159" t="s">
        <v>387</v>
      </c>
      <c r="B159" s="1">
        <v>41914</v>
      </c>
      <c r="C159" s="1">
        <v>41921</v>
      </c>
      <c r="D159" t="s">
        <v>388</v>
      </c>
      <c r="E159" t="s">
        <v>39</v>
      </c>
      <c r="F159" t="s">
        <v>110</v>
      </c>
      <c r="G159" t="s">
        <v>392</v>
      </c>
      <c r="H159">
        <v>451.15199999999999</v>
      </c>
      <c r="I159">
        <v>3</v>
      </c>
      <c r="J159">
        <v>0</v>
      </c>
      <c r="K159">
        <v>2014</v>
      </c>
      <c r="L159">
        <v>10</v>
      </c>
      <c r="M159" t="s">
        <v>82</v>
      </c>
      <c r="N159">
        <v>2</v>
      </c>
      <c r="O159">
        <v>7</v>
      </c>
      <c r="P159">
        <v>0</v>
      </c>
      <c r="Q159">
        <v>150.38399999999999</v>
      </c>
      <c r="R159" t="s">
        <v>26</v>
      </c>
      <c r="S159" t="b">
        <v>0</v>
      </c>
      <c r="T159" t="b">
        <v>1</v>
      </c>
    </row>
    <row r="160" spans="1:20" x14ac:dyDescent="0.3">
      <c r="A160" t="s">
        <v>393</v>
      </c>
      <c r="B160" s="1">
        <v>41582</v>
      </c>
      <c r="C160" s="1">
        <v>41586</v>
      </c>
      <c r="D160" t="s">
        <v>394</v>
      </c>
      <c r="E160" t="s">
        <v>395</v>
      </c>
      <c r="F160" t="s">
        <v>31</v>
      </c>
      <c r="G160" t="s">
        <v>396</v>
      </c>
      <c r="H160">
        <v>8.82</v>
      </c>
      <c r="I160">
        <v>3</v>
      </c>
      <c r="J160">
        <v>2.3814000000000002</v>
      </c>
      <c r="K160">
        <v>2013</v>
      </c>
      <c r="L160">
        <v>11</v>
      </c>
      <c r="M160" t="s">
        <v>70</v>
      </c>
      <c r="N160">
        <v>4</v>
      </c>
      <c r="O160">
        <v>4</v>
      </c>
      <c r="P160">
        <v>27</v>
      </c>
      <c r="Q160">
        <v>2.94</v>
      </c>
      <c r="R160" t="s">
        <v>26</v>
      </c>
      <c r="S160" t="b">
        <v>0</v>
      </c>
      <c r="T160" t="b">
        <v>0</v>
      </c>
    </row>
    <row r="161" spans="1:20" x14ac:dyDescent="0.3">
      <c r="A161" t="s">
        <v>397</v>
      </c>
      <c r="B161" s="1">
        <v>41170</v>
      </c>
      <c r="C161" s="1">
        <v>41174</v>
      </c>
      <c r="D161" t="s">
        <v>398</v>
      </c>
      <c r="E161" t="s">
        <v>231</v>
      </c>
      <c r="F161" t="s">
        <v>72</v>
      </c>
      <c r="G161" t="s">
        <v>389</v>
      </c>
      <c r="H161">
        <v>160.72</v>
      </c>
      <c r="I161">
        <v>14</v>
      </c>
      <c r="J161">
        <v>78.752799999999993</v>
      </c>
      <c r="K161">
        <v>2012</v>
      </c>
      <c r="L161">
        <v>9</v>
      </c>
      <c r="M161" t="s">
        <v>87</v>
      </c>
      <c r="N161">
        <v>18</v>
      </c>
      <c r="O161">
        <v>4</v>
      </c>
      <c r="P161">
        <v>49</v>
      </c>
      <c r="Q161">
        <v>11.48</v>
      </c>
      <c r="R161" t="s">
        <v>26</v>
      </c>
      <c r="S161" t="b">
        <v>0</v>
      </c>
      <c r="T161" t="b">
        <v>0</v>
      </c>
    </row>
    <row r="162" spans="1:20" x14ac:dyDescent="0.3">
      <c r="A162" t="s">
        <v>397</v>
      </c>
      <c r="B162" s="1">
        <v>41170</v>
      </c>
      <c r="C162" s="1">
        <v>41174</v>
      </c>
      <c r="D162" t="s">
        <v>398</v>
      </c>
      <c r="E162" t="s">
        <v>231</v>
      </c>
      <c r="F162" t="s">
        <v>72</v>
      </c>
      <c r="G162" t="s">
        <v>399</v>
      </c>
      <c r="H162">
        <v>19.920000000000002</v>
      </c>
      <c r="I162">
        <v>4</v>
      </c>
      <c r="J162">
        <v>9.7607999999999997</v>
      </c>
      <c r="K162">
        <v>2012</v>
      </c>
      <c r="L162">
        <v>9</v>
      </c>
      <c r="M162" t="s">
        <v>87</v>
      </c>
      <c r="N162">
        <v>18</v>
      </c>
      <c r="O162">
        <v>4</v>
      </c>
      <c r="P162">
        <v>49</v>
      </c>
      <c r="Q162">
        <v>4.9800000000000004</v>
      </c>
      <c r="R162" t="s">
        <v>26</v>
      </c>
      <c r="S162" t="b">
        <v>0</v>
      </c>
      <c r="T162" t="b">
        <v>0</v>
      </c>
    </row>
    <row r="163" spans="1:20" x14ac:dyDescent="0.3">
      <c r="A163" t="s">
        <v>397</v>
      </c>
      <c r="B163" s="1">
        <v>41170</v>
      </c>
      <c r="C163" s="1">
        <v>41174</v>
      </c>
      <c r="D163" t="s">
        <v>398</v>
      </c>
      <c r="E163" t="s">
        <v>231</v>
      </c>
      <c r="F163" t="s">
        <v>122</v>
      </c>
      <c r="G163" t="s">
        <v>400</v>
      </c>
      <c r="H163">
        <v>7.3</v>
      </c>
      <c r="I163">
        <v>2</v>
      </c>
      <c r="J163">
        <v>2.19</v>
      </c>
      <c r="K163">
        <v>2012</v>
      </c>
      <c r="L163">
        <v>9</v>
      </c>
      <c r="M163" t="s">
        <v>87</v>
      </c>
      <c r="N163">
        <v>18</v>
      </c>
      <c r="O163">
        <v>4</v>
      </c>
      <c r="P163">
        <v>30</v>
      </c>
      <c r="Q163">
        <v>3.65</v>
      </c>
      <c r="R163" t="s">
        <v>26</v>
      </c>
      <c r="S163" t="b">
        <v>0</v>
      </c>
      <c r="T163" t="b">
        <v>0</v>
      </c>
    </row>
    <row r="164" spans="1:20" x14ac:dyDescent="0.3">
      <c r="A164" t="s">
        <v>401</v>
      </c>
      <c r="B164" s="1">
        <v>41162</v>
      </c>
      <c r="C164" s="1">
        <v>41166</v>
      </c>
      <c r="D164" t="s">
        <v>402</v>
      </c>
      <c r="E164" t="s">
        <v>22</v>
      </c>
      <c r="F164" t="s">
        <v>122</v>
      </c>
      <c r="G164" t="s">
        <v>403</v>
      </c>
      <c r="H164">
        <v>51.52</v>
      </c>
      <c r="I164">
        <v>4</v>
      </c>
      <c r="J164">
        <v>1.5456000000000001</v>
      </c>
      <c r="K164">
        <v>2012</v>
      </c>
      <c r="L164">
        <v>9</v>
      </c>
      <c r="M164" t="s">
        <v>87</v>
      </c>
      <c r="N164">
        <v>10</v>
      </c>
      <c r="O164">
        <v>4</v>
      </c>
      <c r="P164">
        <v>3</v>
      </c>
      <c r="Q164">
        <v>12.88</v>
      </c>
      <c r="R164" t="s">
        <v>26</v>
      </c>
      <c r="S164" t="b">
        <v>0</v>
      </c>
      <c r="T164" t="b">
        <v>0</v>
      </c>
    </row>
    <row r="165" spans="1:20" x14ac:dyDescent="0.3">
      <c r="A165" t="s">
        <v>404</v>
      </c>
      <c r="B165" s="1">
        <v>41975</v>
      </c>
      <c r="C165" s="1">
        <v>41979</v>
      </c>
      <c r="D165" t="s">
        <v>405</v>
      </c>
      <c r="E165" t="s">
        <v>173</v>
      </c>
      <c r="F165" t="s">
        <v>54</v>
      </c>
      <c r="G165" t="s">
        <v>406</v>
      </c>
      <c r="H165">
        <v>470.37599999999998</v>
      </c>
      <c r="I165">
        <v>3</v>
      </c>
      <c r="J165">
        <v>52.917299999999997</v>
      </c>
      <c r="K165">
        <v>2014</v>
      </c>
      <c r="L165">
        <v>12</v>
      </c>
      <c r="M165" t="s">
        <v>41</v>
      </c>
      <c r="N165">
        <v>2</v>
      </c>
      <c r="O165">
        <v>4</v>
      </c>
      <c r="P165">
        <v>11.25</v>
      </c>
      <c r="Q165">
        <v>156.792</v>
      </c>
      <c r="R165" t="s">
        <v>26</v>
      </c>
      <c r="S165" t="b">
        <v>0</v>
      </c>
      <c r="T165" t="b">
        <v>1</v>
      </c>
    </row>
    <row r="166" spans="1:20" x14ac:dyDescent="0.3">
      <c r="A166" t="s">
        <v>404</v>
      </c>
      <c r="B166" s="1">
        <v>41975</v>
      </c>
      <c r="C166" s="1">
        <v>41979</v>
      </c>
      <c r="D166" t="s">
        <v>405</v>
      </c>
      <c r="E166" t="s">
        <v>173</v>
      </c>
      <c r="F166" t="s">
        <v>54</v>
      </c>
      <c r="G166" t="s">
        <v>407</v>
      </c>
      <c r="H166">
        <v>105.584</v>
      </c>
      <c r="I166">
        <v>2</v>
      </c>
      <c r="J166">
        <v>9.2385999999999999</v>
      </c>
      <c r="K166">
        <v>2014</v>
      </c>
      <c r="L166">
        <v>12</v>
      </c>
      <c r="M166" t="s">
        <v>41</v>
      </c>
      <c r="N166">
        <v>2</v>
      </c>
      <c r="O166">
        <v>4</v>
      </c>
      <c r="P166">
        <v>8.75</v>
      </c>
      <c r="Q166">
        <v>52.792000000000002</v>
      </c>
      <c r="R166" t="s">
        <v>26</v>
      </c>
      <c r="S166" t="b">
        <v>0</v>
      </c>
      <c r="T166" t="b">
        <v>0</v>
      </c>
    </row>
    <row r="167" spans="1:20" x14ac:dyDescent="0.3">
      <c r="A167" t="s">
        <v>404</v>
      </c>
      <c r="B167" s="1">
        <v>41975</v>
      </c>
      <c r="C167" s="1">
        <v>41979</v>
      </c>
      <c r="D167" t="s">
        <v>405</v>
      </c>
      <c r="E167" t="s">
        <v>173</v>
      </c>
      <c r="F167" t="s">
        <v>35</v>
      </c>
      <c r="G167" t="s">
        <v>408</v>
      </c>
      <c r="H167">
        <v>31.152000000000001</v>
      </c>
      <c r="I167">
        <v>3</v>
      </c>
      <c r="J167">
        <v>3.5045999999999999</v>
      </c>
      <c r="K167">
        <v>2014</v>
      </c>
      <c r="L167">
        <v>12</v>
      </c>
      <c r="M167" t="s">
        <v>41</v>
      </c>
      <c r="N167">
        <v>2</v>
      </c>
      <c r="O167">
        <v>4</v>
      </c>
      <c r="P167">
        <v>11.25</v>
      </c>
      <c r="Q167">
        <v>10.384</v>
      </c>
      <c r="R167" t="s">
        <v>26</v>
      </c>
      <c r="S167" t="b">
        <v>0</v>
      </c>
      <c r="T167" t="b">
        <v>0</v>
      </c>
    </row>
    <row r="168" spans="1:20" x14ac:dyDescent="0.3">
      <c r="A168" t="s">
        <v>404</v>
      </c>
      <c r="B168" s="1">
        <v>41975</v>
      </c>
      <c r="C168" s="1">
        <v>41979</v>
      </c>
      <c r="D168" t="s">
        <v>405</v>
      </c>
      <c r="E168" t="s">
        <v>173</v>
      </c>
      <c r="F168" t="s">
        <v>33</v>
      </c>
      <c r="G168" t="s">
        <v>409</v>
      </c>
      <c r="H168">
        <v>6.7830000000000004</v>
      </c>
      <c r="I168">
        <v>7</v>
      </c>
      <c r="J168">
        <v>-4.7481</v>
      </c>
      <c r="K168">
        <v>2014</v>
      </c>
      <c r="L168">
        <v>12</v>
      </c>
      <c r="M168" t="s">
        <v>41</v>
      </c>
      <c r="N168">
        <v>2</v>
      </c>
      <c r="O168">
        <v>4</v>
      </c>
      <c r="P168">
        <v>-70</v>
      </c>
      <c r="Q168">
        <v>0.96900000000000008</v>
      </c>
      <c r="R168" t="s">
        <v>26</v>
      </c>
      <c r="S168" t="b">
        <v>1</v>
      </c>
      <c r="T168" t="b">
        <v>0</v>
      </c>
    </row>
    <row r="169" spans="1:20" x14ac:dyDescent="0.3">
      <c r="A169" t="s">
        <v>404</v>
      </c>
      <c r="B169" s="1">
        <v>41975</v>
      </c>
      <c r="C169" s="1">
        <v>41979</v>
      </c>
      <c r="D169" t="s">
        <v>405</v>
      </c>
      <c r="E169" t="s">
        <v>173</v>
      </c>
      <c r="F169" t="s">
        <v>54</v>
      </c>
      <c r="G169" t="s">
        <v>136</v>
      </c>
      <c r="H169">
        <v>406.36799999999999</v>
      </c>
      <c r="I169">
        <v>4</v>
      </c>
      <c r="J169">
        <v>30.477599999999999</v>
      </c>
      <c r="K169">
        <v>2014</v>
      </c>
      <c r="L169">
        <v>12</v>
      </c>
      <c r="M169" t="s">
        <v>41</v>
      </c>
      <c r="N169">
        <v>2</v>
      </c>
      <c r="O169">
        <v>4</v>
      </c>
      <c r="P169">
        <v>7.5</v>
      </c>
      <c r="Q169">
        <v>101.592</v>
      </c>
      <c r="R169" t="s">
        <v>26</v>
      </c>
      <c r="S169" t="b">
        <v>0</v>
      </c>
      <c r="T169" t="b">
        <v>1</v>
      </c>
    </row>
    <row r="170" spans="1:20" x14ac:dyDescent="0.3">
      <c r="A170" t="s">
        <v>410</v>
      </c>
      <c r="B170" s="1">
        <v>41354</v>
      </c>
      <c r="C170" s="1">
        <v>41358</v>
      </c>
      <c r="D170" t="s">
        <v>411</v>
      </c>
      <c r="E170" t="s">
        <v>412</v>
      </c>
      <c r="F170" t="s">
        <v>54</v>
      </c>
      <c r="G170" t="s">
        <v>413</v>
      </c>
      <c r="H170">
        <v>84.784000000000006</v>
      </c>
      <c r="I170">
        <v>2</v>
      </c>
      <c r="J170">
        <v>-20.136199999999999</v>
      </c>
      <c r="K170">
        <v>2013</v>
      </c>
      <c r="L170">
        <v>3</v>
      </c>
      <c r="M170" t="s">
        <v>135</v>
      </c>
      <c r="N170">
        <v>21</v>
      </c>
      <c r="O170">
        <v>4</v>
      </c>
      <c r="P170">
        <v>-23.75</v>
      </c>
      <c r="Q170">
        <v>42.392000000000003</v>
      </c>
      <c r="R170" t="s">
        <v>26</v>
      </c>
      <c r="S170" t="b">
        <v>1</v>
      </c>
      <c r="T170" t="b">
        <v>0</v>
      </c>
    </row>
    <row r="171" spans="1:20" x14ac:dyDescent="0.3">
      <c r="A171" t="s">
        <v>410</v>
      </c>
      <c r="B171" s="1">
        <v>41354</v>
      </c>
      <c r="C171" s="1">
        <v>41358</v>
      </c>
      <c r="D171" t="s">
        <v>411</v>
      </c>
      <c r="E171" t="s">
        <v>412</v>
      </c>
      <c r="F171" t="s">
        <v>72</v>
      </c>
      <c r="G171" t="s">
        <v>414</v>
      </c>
      <c r="H171">
        <v>20.736000000000001</v>
      </c>
      <c r="I171">
        <v>4</v>
      </c>
      <c r="J171">
        <v>7.2576000000000001</v>
      </c>
      <c r="K171">
        <v>2013</v>
      </c>
      <c r="L171">
        <v>3</v>
      </c>
      <c r="M171" t="s">
        <v>135</v>
      </c>
      <c r="N171">
        <v>21</v>
      </c>
      <c r="O171">
        <v>4</v>
      </c>
      <c r="P171">
        <v>35</v>
      </c>
      <c r="Q171">
        <v>5.1840000000000002</v>
      </c>
      <c r="R171" t="s">
        <v>26</v>
      </c>
      <c r="S171" t="b">
        <v>0</v>
      </c>
      <c r="T171" t="b">
        <v>0</v>
      </c>
    </row>
    <row r="172" spans="1:20" x14ac:dyDescent="0.3">
      <c r="A172" t="s">
        <v>410</v>
      </c>
      <c r="B172" s="1">
        <v>41354</v>
      </c>
      <c r="C172" s="1">
        <v>41358</v>
      </c>
      <c r="D172" t="s">
        <v>411</v>
      </c>
      <c r="E172" t="s">
        <v>412</v>
      </c>
      <c r="F172" t="s">
        <v>33</v>
      </c>
      <c r="G172" t="s">
        <v>337</v>
      </c>
      <c r="H172">
        <v>16.821000000000002</v>
      </c>
      <c r="I172">
        <v>3</v>
      </c>
      <c r="J172">
        <v>-12.896100000000001</v>
      </c>
      <c r="K172">
        <v>2013</v>
      </c>
      <c r="L172">
        <v>3</v>
      </c>
      <c r="M172" t="s">
        <v>135</v>
      </c>
      <c r="N172">
        <v>21</v>
      </c>
      <c r="O172">
        <v>4</v>
      </c>
      <c r="P172">
        <v>-76.67</v>
      </c>
      <c r="Q172">
        <v>5.6070000000000002</v>
      </c>
      <c r="R172" t="s">
        <v>26</v>
      </c>
      <c r="S172" t="b">
        <v>1</v>
      </c>
      <c r="T172" t="b">
        <v>0</v>
      </c>
    </row>
    <row r="173" spans="1:20" x14ac:dyDescent="0.3">
      <c r="A173" t="s">
        <v>410</v>
      </c>
      <c r="B173" s="1">
        <v>41354</v>
      </c>
      <c r="C173" s="1">
        <v>41358</v>
      </c>
      <c r="D173" t="s">
        <v>411</v>
      </c>
      <c r="E173" t="s">
        <v>412</v>
      </c>
      <c r="F173" t="s">
        <v>72</v>
      </c>
      <c r="G173" t="s">
        <v>415</v>
      </c>
      <c r="H173">
        <v>10.368</v>
      </c>
      <c r="I173">
        <v>2</v>
      </c>
      <c r="J173">
        <v>3.6288</v>
      </c>
      <c r="K173">
        <v>2013</v>
      </c>
      <c r="L173">
        <v>3</v>
      </c>
      <c r="M173" t="s">
        <v>135</v>
      </c>
      <c r="N173">
        <v>21</v>
      </c>
      <c r="O173">
        <v>4</v>
      </c>
      <c r="P173">
        <v>35</v>
      </c>
      <c r="Q173">
        <v>5.1840000000000002</v>
      </c>
      <c r="R173" t="s">
        <v>26</v>
      </c>
      <c r="S173" t="b">
        <v>0</v>
      </c>
      <c r="T173" t="b">
        <v>0</v>
      </c>
    </row>
    <row r="174" spans="1:20" x14ac:dyDescent="0.3">
      <c r="A174" t="s">
        <v>416</v>
      </c>
      <c r="B174" s="1">
        <v>40763</v>
      </c>
      <c r="C174" s="1">
        <v>40770</v>
      </c>
      <c r="D174" t="s">
        <v>417</v>
      </c>
      <c r="E174" t="s">
        <v>194</v>
      </c>
      <c r="F174" t="s">
        <v>35</v>
      </c>
      <c r="G174" t="s">
        <v>418</v>
      </c>
      <c r="H174">
        <v>76.12</v>
      </c>
      <c r="I174">
        <v>2</v>
      </c>
      <c r="J174">
        <v>22.0748</v>
      </c>
      <c r="K174">
        <v>2011</v>
      </c>
      <c r="L174">
        <v>8</v>
      </c>
      <c r="M174" t="s">
        <v>53</v>
      </c>
      <c r="N174">
        <v>8</v>
      </c>
      <c r="O174">
        <v>7</v>
      </c>
      <c r="P174">
        <v>29</v>
      </c>
      <c r="Q174">
        <v>38.06</v>
      </c>
      <c r="R174" t="s">
        <v>26</v>
      </c>
      <c r="S174" t="b">
        <v>0</v>
      </c>
      <c r="T174" t="b">
        <v>0</v>
      </c>
    </row>
    <row r="175" spans="1:20" x14ac:dyDescent="0.3">
      <c r="A175" t="s">
        <v>416</v>
      </c>
      <c r="B175" s="1">
        <v>40763</v>
      </c>
      <c r="C175" s="1">
        <v>40770</v>
      </c>
      <c r="D175" t="s">
        <v>417</v>
      </c>
      <c r="E175" t="s">
        <v>194</v>
      </c>
      <c r="F175" t="s">
        <v>54</v>
      </c>
      <c r="G175" t="s">
        <v>419</v>
      </c>
      <c r="H175">
        <v>445.96</v>
      </c>
      <c r="I175">
        <v>5</v>
      </c>
      <c r="J175">
        <v>55.744999999999997</v>
      </c>
      <c r="K175">
        <v>2011</v>
      </c>
      <c r="L175">
        <v>8</v>
      </c>
      <c r="M175" t="s">
        <v>53</v>
      </c>
      <c r="N175">
        <v>8</v>
      </c>
      <c r="O175">
        <v>7</v>
      </c>
      <c r="P175">
        <v>12.5</v>
      </c>
      <c r="Q175">
        <v>89.191999999999993</v>
      </c>
      <c r="R175" t="s">
        <v>26</v>
      </c>
      <c r="S175" t="b">
        <v>0</v>
      </c>
      <c r="T175" t="b">
        <v>1</v>
      </c>
    </row>
    <row r="176" spans="1:20" x14ac:dyDescent="0.3">
      <c r="A176" t="s">
        <v>416</v>
      </c>
      <c r="B176" s="1">
        <v>40763</v>
      </c>
      <c r="C176" s="1">
        <v>40770</v>
      </c>
      <c r="D176" t="s">
        <v>417</v>
      </c>
      <c r="E176" t="s">
        <v>194</v>
      </c>
      <c r="F176" t="s">
        <v>29</v>
      </c>
      <c r="G176" t="s">
        <v>420</v>
      </c>
      <c r="H176">
        <v>327.76</v>
      </c>
      <c r="I176">
        <v>8</v>
      </c>
      <c r="J176">
        <v>91.772800000000004</v>
      </c>
      <c r="K176">
        <v>2011</v>
      </c>
      <c r="L176">
        <v>8</v>
      </c>
      <c r="M176" t="s">
        <v>53</v>
      </c>
      <c r="N176">
        <v>8</v>
      </c>
      <c r="O176">
        <v>7</v>
      </c>
      <c r="P176">
        <v>28</v>
      </c>
      <c r="Q176">
        <v>40.97</v>
      </c>
      <c r="R176" t="s">
        <v>26</v>
      </c>
      <c r="S176" t="b">
        <v>0</v>
      </c>
      <c r="T176" t="b">
        <v>1</v>
      </c>
    </row>
    <row r="177" spans="1:20" x14ac:dyDescent="0.3">
      <c r="A177" t="s">
        <v>421</v>
      </c>
      <c r="B177" s="1">
        <v>41779</v>
      </c>
      <c r="C177" s="1">
        <v>41783</v>
      </c>
      <c r="D177" t="s">
        <v>422</v>
      </c>
      <c r="E177" t="s">
        <v>39</v>
      </c>
      <c r="F177" t="s">
        <v>35</v>
      </c>
      <c r="G177" t="s">
        <v>423</v>
      </c>
      <c r="H177">
        <v>97.16</v>
      </c>
      <c r="I177">
        <v>2</v>
      </c>
      <c r="J177">
        <v>28.176400000000001</v>
      </c>
      <c r="K177">
        <v>2014</v>
      </c>
      <c r="L177">
        <v>5</v>
      </c>
      <c r="M177" t="s">
        <v>47</v>
      </c>
      <c r="N177">
        <v>20</v>
      </c>
      <c r="O177">
        <v>4</v>
      </c>
      <c r="P177">
        <v>29</v>
      </c>
      <c r="Q177">
        <v>48.58</v>
      </c>
      <c r="R177" t="s">
        <v>26</v>
      </c>
      <c r="S177" t="b">
        <v>0</v>
      </c>
      <c r="T177" t="b">
        <v>0</v>
      </c>
    </row>
    <row r="178" spans="1:20" x14ac:dyDescent="0.3">
      <c r="A178" t="s">
        <v>424</v>
      </c>
      <c r="B178" s="1">
        <v>41991</v>
      </c>
      <c r="C178" s="1">
        <v>41995</v>
      </c>
      <c r="D178" t="s">
        <v>425</v>
      </c>
      <c r="E178" t="s">
        <v>51</v>
      </c>
      <c r="F178" t="s">
        <v>33</v>
      </c>
      <c r="G178" t="s">
        <v>426</v>
      </c>
      <c r="H178">
        <v>15.24</v>
      </c>
      <c r="I178">
        <v>5</v>
      </c>
      <c r="J178">
        <v>5.1435000000000004</v>
      </c>
      <c r="K178">
        <v>2014</v>
      </c>
      <c r="L178">
        <v>12</v>
      </c>
      <c r="M178" t="s">
        <v>41</v>
      </c>
      <c r="N178">
        <v>18</v>
      </c>
      <c r="O178">
        <v>4</v>
      </c>
      <c r="P178">
        <v>33.75</v>
      </c>
      <c r="Q178">
        <v>3.048</v>
      </c>
      <c r="R178" t="s">
        <v>26</v>
      </c>
      <c r="S178" t="b">
        <v>0</v>
      </c>
      <c r="T178" t="b">
        <v>0</v>
      </c>
    </row>
    <row r="179" spans="1:20" x14ac:dyDescent="0.3">
      <c r="A179" t="s">
        <v>424</v>
      </c>
      <c r="B179" s="1">
        <v>41991</v>
      </c>
      <c r="C179" s="1">
        <v>41995</v>
      </c>
      <c r="D179" t="s">
        <v>425</v>
      </c>
      <c r="E179" t="s">
        <v>51</v>
      </c>
      <c r="F179" t="s">
        <v>72</v>
      </c>
      <c r="G179" t="s">
        <v>208</v>
      </c>
      <c r="H179">
        <v>13.23</v>
      </c>
      <c r="I179">
        <v>3</v>
      </c>
      <c r="J179">
        <v>6.0857999999999999</v>
      </c>
      <c r="K179">
        <v>2014</v>
      </c>
      <c r="L179">
        <v>12</v>
      </c>
      <c r="M179" t="s">
        <v>41</v>
      </c>
      <c r="N179">
        <v>18</v>
      </c>
      <c r="O179">
        <v>4</v>
      </c>
      <c r="P179">
        <v>46</v>
      </c>
      <c r="Q179">
        <v>4.41</v>
      </c>
      <c r="R179" t="s">
        <v>26</v>
      </c>
      <c r="S179" t="b">
        <v>0</v>
      </c>
      <c r="T179" t="b">
        <v>0</v>
      </c>
    </row>
    <row r="180" spans="1:20" x14ac:dyDescent="0.3">
      <c r="A180" t="s">
        <v>427</v>
      </c>
      <c r="B180" s="1">
        <v>41620</v>
      </c>
      <c r="C180" s="1">
        <v>41622</v>
      </c>
      <c r="D180" t="s">
        <v>428</v>
      </c>
      <c r="E180" t="s">
        <v>99</v>
      </c>
      <c r="F180" t="s">
        <v>45</v>
      </c>
      <c r="G180" t="s">
        <v>429</v>
      </c>
      <c r="H180">
        <v>243.38399999999999</v>
      </c>
      <c r="I180">
        <v>3</v>
      </c>
      <c r="J180">
        <v>-51.719099999999997</v>
      </c>
      <c r="K180">
        <v>2013</v>
      </c>
      <c r="L180">
        <v>12</v>
      </c>
      <c r="M180" t="s">
        <v>41</v>
      </c>
      <c r="N180">
        <v>12</v>
      </c>
      <c r="O180">
        <v>2</v>
      </c>
      <c r="P180">
        <v>-21.25</v>
      </c>
      <c r="Q180">
        <v>81.128</v>
      </c>
      <c r="R180" t="s">
        <v>26</v>
      </c>
      <c r="S180" t="b">
        <v>1</v>
      </c>
      <c r="T180" t="b">
        <v>1</v>
      </c>
    </row>
    <row r="181" spans="1:20" x14ac:dyDescent="0.3">
      <c r="A181" t="s">
        <v>427</v>
      </c>
      <c r="B181" s="1">
        <v>41620</v>
      </c>
      <c r="C181" s="1">
        <v>41622</v>
      </c>
      <c r="D181" t="s">
        <v>428</v>
      </c>
      <c r="E181" t="s">
        <v>99</v>
      </c>
      <c r="F181" t="s">
        <v>61</v>
      </c>
      <c r="G181" t="s">
        <v>430</v>
      </c>
      <c r="H181">
        <v>119.8</v>
      </c>
      <c r="I181">
        <v>5</v>
      </c>
      <c r="J181">
        <v>29.95</v>
      </c>
      <c r="K181">
        <v>2013</v>
      </c>
      <c r="L181">
        <v>12</v>
      </c>
      <c r="M181" t="s">
        <v>41</v>
      </c>
      <c r="N181">
        <v>12</v>
      </c>
      <c r="O181">
        <v>2</v>
      </c>
      <c r="P181">
        <v>25</v>
      </c>
      <c r="Q181">
        <v>23.96</v>
      </c>
      <c r="R181" t="s">
        <v>26</v>
      </c>
      <c r="S181" t="b">
        <v>0</v>
      </c>
      <c r="T181" t="b">
        <v>0</v>
      </c>
    </row>
    <row r="182" spans="1:20" x14ac:dyDescent="0.3">
      <c r="A182" t="s">
        <v>427</v>
      </c>
      <c r="B182" s="1">
        <v>41620</v>
      </c>
      <c r="C182" s="1">
        <v>41622</v>
      </c>
      <c r="D182" t="s">
        <v>428</v>
      </c>
      <c r="E182" t="s">
        <v>99</v>
      </c>
      <c r="F182" t="s">
        <v>54</v>
      </c>
      <c r="G182" t="s">
        <v>431</v>
      </c>
      <c r="H182">
        <v>300.76799999999997</v>
      </c>
      <c r="I182">
        <v>4</v>
      </c>
      <c r="J182">
        <v>30.076799999999999</v>
      </c>
      <c r="K182">
        <v>2013</v>
      </c>
      <c r="L182">
        <v>12</v>
      </c>
      <c r="M182" t="s">
        <v>41</v>
      </c>
      <c r="N182">
        <v>12</v>
      </c>
      <c r="O182">
        <v>2</v>
      </c>
      <c r="P182">
        <v>10</v>
      </c>
      <c r="Q182">
        <v>75.191999999999993</v>
      </c>
      <c r="R182" t="s">
        <v>26</v>
      </c>
      <c r="S182" t="b">
        <v>0</v>
      </c>
      <c r="T182" t="b">
        <v>1</v>
      </c>
    </row>
    <row r="183" spans="1:20" x14ac:dyDescent="0.3">
      <c r="A183" t="s">
        <v>432</v>
      </c>
      <c r="B183" s="1">
        <v>41502</v>
      </c>
      <c r="C183" s="1">
        <v>41508</v>
      </c>
      <c r="D183" t="s">
        <v>433</v>
      </c>
      <c r="E183" t="s">
        <v>99</v>
      </c>
      <c r="F183" t="s">
        <v>33</v>
      </c>
      <c r="G183" t="s">
        <v>434</v>
      </c>
      <c r="H183">
        <v>18.882000000000001</v>
      </c>
      <c r="I183">
        <v>3</v>
      </c>
      <c r="J183">
        <v>-13.8468</v>
      </c>
      <c r="K183">
        <v>2013</v>
      </c>
      <c r="L183">
        <v>8</v>
      </c>
      <c r="M183" t="s">
        <v>53</v>
      </c>
      <c r="N183">
        <v>16</v>
      </c>
      <c r="O183">
        <v>6</v>
      </c>
      <c r="P183">
        <v>-73.33</v>
      </c>
      <c r="Q183">
        <v>6.2939999999999996</v>
      </c>
      <c r="R183" t="s">
        <v>26</v>
      </c>
      <c r="S183" t="b">
        <v>1</v>
      </c>
      <c r="T183" t="b">
        <v>0</v>
      </c>
    </row>
    <row r="184" spans="1:20" x14ac:dyDescent="0.3">
      <c r="A184" t="s">
        <v>432</v>
      </c>
      <c r="B184" s="1">
        <v>41502</v>
      </c>
      <c r="C184" s="1">
        <v>41508</v>
      </c>
      <c r="D184" t="s">
        <v>433</v>
      </c>
      <c r="E184" t="s">
        <v>99</v>
      </c>
      <c r="F184" t="s">
        <v>35</v>
      </c>
      <c r="G184" t="s">
        <v>435</v>
      </c>
      <c r="H184">
        <v>122.328</v>
      </c>
      <c r="I184">
        <v>3</v>
      </c>
      <c r="J184">
        <v>12.232799999999999</v>
      </c>
      <c r="K184">
        <v>2013</v>
      </c>
      <c r="L184">
        <v>8</v>
      </c>
      <c r="M184" t="s">
        <v>53</v>
      </c>
      <c r="N184">
        <v>16</v>
      </c>
      <c r="O184">
        <v>6</v>
      </c>
      <c r="P184">
        <v>10</v>
      </c>
      <c r="Q184">
        <v>40.776000000000003</v>
      </c>
      <c r="R184" t="s">
        <v>26</v>
      </c>
      <c r="S184" t="b">
        <v>0</v>
      </c>
      <c r="T184" t="b">
        <v>0</v>
      </c>
    </row>
    <row r="185" spans="1:20" x14ac:dyDescent="0.3">
      <c r="A185" t="s">
        <v>436</v>
      </c>
      <c r="B185" s="1">
        <v>41415</v>
      </c>
      <c r="C185" s="1">
        <v>41420</v>
      </c>
      <c r="D185" t="s">
        <v>437</v>
      </c>
      <c r="E185" t="s">
        <v>438</v>
      </c>
      <c r="F185" t="s">
        <v>33</v>
      </c>
      <c r="G185" t="s">
        <v>439</v>
      </c>
      <c r="H185">
        <v>15.423999999999999</v>
      </c>
      <c r="I185">
        <v>4</v>
      </c>
      <c r="J185">
        <v>5.0128000000000004</v>
      </c>
      <c r="K185">
        <v>2013</v>
      </c>
      <c r="L185">
        <v>5</v>
      </c>
      <c r="M185" t="s">
        <v>47</v>
      </c>
      <c r="N185">
        <v>21</v>
      </c>
      <c r="O185">
        <v>5</v>
      </c>
      <c r="P185">
        <v>32.5</v>
      </c>
      <c r="Q185">
        <v>3.8559999999999999</v>
      </c>
      <c r="R185" t="s">
        <v>26</v>
      </c>
      <c r="S185" t="b">
        <v>0</v>
      </c>
      <c r="T185" t="b">
        <v>0</v>
      </c>
    </row>
    <row r="186" spans="1:20" x14ac:dyDescent="0.3">
      <c r="A186" t="s">
        <v>440</v>
      </c>
      <c r="B186" s="1">
        <v>41851</v>
      </c>
      <c r="C186" s="1">
        <v>41855</v>
      </c>
      <c r="D186" t="s">
        <v>441</v>
      </c>
      <c r="E186" t="s">
        <v>442</v>
      </c>
      <c r="F186" t="s">
        <v>45</v>
      </c>
      <c r="G186" t="s">
        <v>443</v>
      </c>
      <c r="H186">
        <v>330.4</v>
      </c>
      <c r="I186">
        <v>2</v>
      </c>
      <c r="J186">
        <v>85.903999999999996</v>
      </c>
      <c r="K186">
        <v>2014</v>
      </c>
      <c r="L186">
        <v>7</v>
      </c>
      <c r="M186" t="s">
        <v>66</v>
      </c>
      <c r="N186">
        <v>31</v>
      </c>
      <c r="O186">
        <v>4</v>
      </c>
      <c r="P186">
        <v>26</v>
      </c>
      <c r="Q186">
        <v>165.2</v>
      </c>
      <c r="R186" t="s">
        <v>26</v>
      </c>
      <c r="S186" t="b">
        <v>0</v>
      </c>
      <c r="T186" t="b">
        <v>1</v>
      </c>
    </row>
    <row r="187" spans="1:20" x14ac:dyDescent="0.3">
      <c r="A187" t="s">
        <v>440</v>
      </c>
      <c r="B187" s="1">
        <v>41851</v>
      </c>
      <c r="C187" s="1">
        <v>41855</v>
      </c>
      <c r="D187" t="s">
        <v>441</v>
      </c>
      <c r="E187" t="s">
        <v>442</v>
      </c>
      <c r="F187" t="s">
        <v>23</v>
      </c>
      <c r="G187" t="s">
        <v>444</v>
      </c>
      <c r="H187">
        <v>26.25</v>
      </c>
      <c r="I187">
        <v>7</v>
      </c>
      <c r="J187">
        <v>12.6</v>
      </c>
      <c r="K187">
        <v>2014</v>
      </c>
      <c r="L187">
        <v>7</v>
      </c>
      <c r="M187" t="s">
        <v>66</v>
      </c>
      <c r="N187">
        <v>31</v>
      </c>
      <c r="O187">
        <v>4</v>
      </c>
      <c r="P187">
        <v>48</v>
      </c>
      <c r="Q187">
        <v>3.75</v>
      </c>
      <c r="R187" t="s">
        <v>26</v>
      </c>
      <c r="S187" t="b">
        <v>0</v>
      </c>
      <c r="T187" t="b">
        <v>0</v>
      </c>
    </row>
    <row r="188" spans="1:20" x14ac:dyDescent="0.3">
      <c r="A188" t="s">
        <v>445</v>
      </c>
      <c r="B188" s="1">
        <v>41366</v>
      </c>
      <c r="C188" s="1">
        <v>41373</v>
      </c>
      <c r="D188" t="s">
        <v>206</v>
      </c>
      <c r="E188" t="s">
        <v>446</v>
      </c>
      <c r="F188" t="s">
        <v>119</v>
      </c>
      <c r="G188" t="s">
        <v>155</v>
      </c>
      <c r="H188">
        <v>31.56</v>
      </c>
      <c r="I188">
        <v>5</v>
      </c>
      <c r="J188">
        <v>9.8625000000000007</v>
      </c>
      <c r="K188">
        <v>2013</v>
      </c>
      <c r="L188">
        <v>4</v>
      </c>
      <c r="M188" t="s">
        <v>236</v>
      </c>
      <c r="N188">
        <v>2</v>
      </c>
      <c r="O188">
        <v>7</v>
      </c>
      <c r="P188">
        <v>31.25</v>
      </c>
      <c r="Q188">
        <v>6.3119999999999994</v>
      </c>
      <c r="R188" t="s">
        <v>26</v>
      </c>
      <c r="S188" t="b">
        <v>0</v>
      </c>
      <c r="T188" t="b">
        <v>0</v>
      </c>
    </row>
    <row r="189" spans="1:20" x14ac:dyDescent="0.3">
      <c r="A189" t="s">
        <v>445</v>
      </c>
      <c r="B189" s="1">
        <v>41366</v>
      </c>
      <c r="C189" s="1">
        <v>41373</v>
      </c>
      <c r="D189" t="s">
        <v>206</v>
      </c>
      <c r="E189" t="s">
        <v>446</v>
      </c>
      <c r="F189" t="s">
        <v>35</v>
      </c>
      <c r="G189" t="s">
        <v>447</v>
      </c>
      <c r="H189">
        <v>30.143999999999998</v>
      </c>
      <c r="I189">
        <v>2</v>
      </c>
      <c r="J189">
        <v>3.0144000000000002</v>
      </c>
      <c r="K189">
        <v>2013</v>
      </c>
      <c r="L189">
        <v>4</v>
      </c>
      <c r="M189" t="s">
        <v>236</v>
      </c>
      <c r="N189">
        <v>2</v>
      </c>
      <c r="O189">
        <v>7</v>
      </c>
      <c r="P189">
        <v>10</v>
      </c>
      <c r="Q189">
        <v>15.071999999999999</v>
      </c>
      <c r="R189" t="s">
        <v>26</v>
      </c>
      <c r="S189" t="b">
        <v>0</v>
      </c>
      <c r="T189" t="b">
        <v>0</v>
      </c>
    </row>
    <row r="190" spans="1:20" x14ac:dyDescent="0.3">
      <c r="A190" t="s">
        <v>448</v>
      </c>
      <c r="B190" s="1">
        <v>41620</v>
      </c>
      <c r="C190" s="1">
        <v>41625</v>
      </c>
      <c r="D190" t="s">
        <v>449</v>
      </c>
      <c r="E190" t="s">
        <v>450</v>
      </c>
      <c r="F190" t="s">
        <v>29</v>
      </c>
      <c r="G190" t="s">
        <v>451</v>
      </c>
      <c r="H190">
        <v>14.8</v>
      </c>
      <c r="I190">
        <v>4</v>
      </c>
      <c r="J190">
        <v>6.0679999999999996</v>
      </c>
      <c r="K190">
        <v>2013</v>
      </c>
      <c r="L190">
        <v>12</v>
      </c>
      <c r="M190" t="s">
        <v>41</v>
      </c>
      <c r="N190">
        <v>12</v>
      </c>
      <c r="O190">
        <v>5</v>
      </c>
      <c r="P190">
        <v>41</v>
      </c>
      <c r="Q190">
        <v>3.7</v>
      </c>
      <c r="R190" t="s">
        <v>26</v>
      </c>
      <c r="S190" t="b">
        <v>0</v>
      </c>
      <c r="T190" t="b">
        <v>0</v>
      </c>
    </row>
    <row r="191" spans="1:20" x14ac:dyDescent="0.3">
      <c r="A191" t="s">
        <v>448</v>
      </c>
      <c r="B191" s="1">
        <v>41620</v>
      </c>
      <c r="C191" s="1">
        <v>41625</v>
      </c>
      <c r="D191" t="s">
        <v>449</v>
      </c>
      <c r="E191" t="s">
        <v>450</v>
      </c>
      <c r="F191" t="s">
        <v>54</v>
      </c>
      <c r="G191" t="s">
        <v>452</v>
      </c>
      <c r="H191">
        <v>302.37599999999998</v>
      </c>
      <c r="I191">
        <v>3</v>
      </c>
      <c r="J191">
        <v>22.6782</v>
      </c>
      <c r="K191">
        <v>2013</v>
      </c>
      <c r="L191">
        <v>12</v>
      </c>
      <c r="M191" t="s">
        <v>41</v>
      </c>
      <c r="N191">
        <v>12</v>
      </c>
      <c r="O191">
        <v>5</v>
      </c>
      <c r="P191">
        <v>7.5</v>
      </c>
      <c r="Q191">
        <v>100.792</v>
      </c>
      <c r="R191" t="s">
        <v>26</v>
      </c>
      <c r="S191" t="b">
        <v>0</v>
      </c>
      <c r="T191" t="b">
        <v>1</v>
      </c>
    </row>
    <row r="192" spans="1:20" x14ac:dyDescent="0.3">
      <c r="A192" t="s">
        <v>448</v>
      </c>
      <c r="B192" s="1">
        <v>41620</v>
      </c>
      <c r="C192" s="1">
        <v>41625</v>
      </c>
      <c r="D192" t="s">
        <v>449</v>
      </c>
      <c r="E192" t="s">
        <v>450</v>
      </c>
      <c r="F192" t="s">
        <v>61</v>
      </c>
      <c r="G192" t="s">
        <v>453</v>
      </c>
      <c r="H192">
        <v>316</v>
      </c>
      <c r="I192">
        <v>4</v>
      </c>
      <c r="J192">
        <v>31.6</v>
      </c>
      <c r="K192">
        <v>2013</v>
      </c>
      <c r="L192">
        <v>12</v>
      </c>
      <c r="M192" t="s">
        <v>41</v>
      </c>
      <c r="N192">
        <v>12</v>
      </c>
      <c r="O192">
        <v>5</v>
      </c>
      <c r="P192">
        <v>10</v>
      </c>
      <c r="Q192">
        <v>79</v>
      </c>
      <c r="R192" t="s">
        <v>26</v>
      </c>
      <c r="S192" t="b">
        <v>0</v>
      </c>
      <c r="T192" t="b">
        <v>1</v>
      </c>
    </row>
    <row r="193" spans="1:20" x14ac:dyDescent="0.3">
      <c r="A193" t="s">
        <v>454</v>
      </c>
      <c r="B193" s="1">
        <v>40996</v>
      </c>
      <c r="C193" s="1">
        <v>41001</v>
      </c>
      <c r="D193" t="s">
        <v>455</v>
      </c>
      <c r="E193" t="s">
        <v>22</v>
      </c>
      <c r="F193" t="s">
        <v>61</v>
      </c>
      <c r="G193" t="s">
        <v>456</v>
      </c>
      <c r="H193">
        <v>166.24</v>
      </c>
      <c r="I193">
        <v>1</v>
      </c>
      <c r="J193">
        <v>24.936</v>
      </c>
      <c r="K193">
        <v>2012</v>
      </c>
      <c r="L193">
        <v>3</v>
      </c>
      <c r="M193" t="s">
        <v>135</v>
      </c>
      <c r="N193">
        <v>28</v>
      </c>
      <c r="O193">
        <v>5</v>
      </c>
      <c r="P193">
        <v>15</v>
      </c>
      <c r="Q193">
        <v>166.24</v>
      </c>
      <c r="R193" t="s">
        <v>26</v>
      </c>
      <c r="S193" t="b">
        <v>0</v>
      </c>
      <c r="T193" t="b">
        <v>0</v>
      </c>
    </row>
    <row r="194" spans="1:20" x14ac:dyDescent="0.3">
      <c r="A194" t="s">
        <v>454</v>
      </c>
      <c r="B194" s="1">
        <v>40996</v>
      </c>
      <c r="C194" s="1">
        <v>41001</v>
      </c>
      <c r="D194" t="s">
        <v>455</v>
      </c>
      <c r="E194" t="s">
        <v>22</v>
      </c>
      <c r="F194" t="s">
        <v>72</v>
      </c>
      <c r="G194" t="s">
        <v>457</v>
      </c>
      <c r="H194">
        <v>33.4</v>
      </c>
      <c r="I194">
        <v>5</v>
      </c>
      <c r="J194">
        <v>16.032</v>
      </c>
      <c r="K194">
        <v>2012</v>
      </c>
      <c r="L194">
        <v>3</v>
      </c>
      <c r="M194" t="s">
        <v>135</v>
      </c>
      <c r="N194">
        <v>28</v>
      </c>
      <c r="O194">
        <v>5</v>
      </c>
      <c r="P194">
        <v>48</v>
      </c>
      <c r="Q194">
        <v>6.68</v>
      </c>
      <c r="R194" t="s">
        <v>26</v>
      </c>
      <c r="S194" t="b">
        <v>0</v>
      </c>
      <c r="T194" t="b">
        <v>0</v>
      </c>
    </row>
    <row r="195" spans="1:20" x14ac:dyDescent="0.3">
      <c r="A195" t="s">
        <v>458</v>
      </c>
      <c r="B195" s="1">
        <v>41583</v>
      </c>
      <c r="C195" s="1">
        <v>41587</v>
      </c>
      <c r="D195" t="s">
        <v>262</v>
      </c>
      <c r="E195" t="s">
        <v>39</v>
      </c>
      <c r="F195" t="s">
        <v>29</v>
      </c>
      <c r="G195" t="s">
        <v>459</v>
      </c>
      <c r="H195">
        <v>209.88</v>
      </c>
      <c r="I195">
        <v>3</v>
      </c>
      <c r="J195">
        <v>35.679600000000001</v>
      </c>
      <c r="K195">
        <v>2013</v>
      </c>
      <c r="L195">
        <v>11</v>
      </c>
      <c r="M195" t="s">
        <v>70</v>
      </c>
      <c r="N195">
        <v>5</v>
      </c>
      <c r="O195">
        <v>4</v>
      </c>
      <c r="P195">
        <v>17</v>
      </c>
      <c r="Q195">
        <v>69.959999999999994</v>
      </c>
      <c r="R195" t="s">
        <v>26</v>
      </c>
      <c r="S195" t="b">
        <v>0</v>
      </c>
      <c r="T195" t="b">
        <v>0</v>
      </c>
    </row>
    <row r="196" spans="1:20" x14ac:dyDescent="0.3">
      <c r="A196" t="s">
        <v>460</v>
      </c>
      <c r="B196" s="1">
        <v>41008</v>
      </c>
      <c r="C196" s="1">
        <v>41013</v>
      </c>
      <c r="D196" t="s">
        <v>461</v>
      </c>
      <c r="E196" t="s">
        <v>231</v>
      </c>
      <c r="F196" t="s">
        <v>174</v>
      </c>
      <c r="G196" t="s">
        <v>462</v>
      </c>
      <c r="H196">
        <v>369.91199999999998</v>
      </c>
      <c r="I196">
        <v>3</v>
      </c>
      <c r="J196">
        <v>-13.871700000000001</v>
      </c>
      <c r="K196">
        <v>2012</v>
      </c>
      <c r="L196">
        <v>4</v>
      </c>
      <c r="M196" t="s">
        <v>236</v>
      </c>
      <c r="N196">
        <v>9</v>
      </c>
      <c r="O196">
        <v>5</v>
      </c>
      <c r="P196">
        <v>-3.75</v>
      </c>
      <c r="Q196">
        <v>123.304</v>
      </c>
      <c r="R196" t="s">
        <v>26</v>
      </c>
      <c r="S196" t="b">
        <v>1</v>
      </c>
      <c r="T196" t="b">
        <v>1</v>
      </c>
    </row>
    <row r="197" spans="1:20" x14ac:dyDescent="0.3">
      <c r="A197" t="s">
        <v>463</v>
      </c>
      <c r="B197" s="1">
        <v>40725</v>
      </c>
      <c r="C197" s="1">
        <v>40730</v>
      </c>
      <c r="D197" t="s">
        <v>464</v>
      </c>
      <c r="E197" t="s">
        <v>39</v>
      </c>
      <c r="F197" t="s">
        <v>33</v>
      </c>
      <c r="G197" t="s">
        <v>465</v>
      </c>
      <c r="H197">
        <v>19.920000000000002</v>
      </c>
      <c r="I197">
        <v>5</v>
      </c>
      <c r="J197">
        <v>6.9720000000000004</v>
      </c>
      <c r="K197">
        <v>2011</v>
      </c>
      <c r="L197">
        <v>7</v>
      </c>
      <c r="M197" t="s">
        <v>66</v>
      </c>
      <c r="N197">
        <v>1</v>
      </c>
      <c r="O197">
        <v>5</v>
      </c>
      <c r="P197">
        <v>35</v>
      </c>
      <c r="Q197">
        <v>3.984</v>
      </c>
      <c r="R197" t="s">
        <v>26</v>
      </c>
      <c r="S197" t="b">
        <v>0</v>
      </c>
      <c r="T197" t="b">
        <v>0</v>
      </c>
    </row>
    <row r="198" spans="1:20" x14ac:dyDescent="0.3">
      <c r="A198" t="s">
        <v>466</v>
      </c>
      <c r="B198" s="1">
        <v>40696</v>
      </c>
      <c r="C198" s="1">
        <v>40701</v>
      </c>
      <c r="D198" t="s">
        <v>467</v>
      </c>
      <c r="E198" t="s">
        <v>468</v>
      </c>
      <c r="F198" t="s">
        <v>33</v>
      </c>
      <c r="G198" t="s">
        <v>345</v>
      </c>
      <c r="H198">
        <v>59.808</v>
      </c>
      <c r="I198">
        <v>3</v>
      </c>
      <c r="J198">
        <v>19.4376</v>
      </c>
      <c r="K198">
        <v>2011</v>
      </c>
      <c r="L198">
        <v>6</v>
      </c>
      <c r="M198" t="s">
        <v>25</v>
      </c>
      <c r="N198">
        <v>2</v>
      </c>
      <c r="O198">
        <v>5</v>
      </c>
      <c r="P198">
        <v>32.5</v>
      </c>
      <c r="Q198">
        <v>19.936</v>
      </c>
      <c r="R198" t="s">
        <v>26</v>
      </c>
      <c r="S198" t="b">
        <v>0</v>
      </c>
      <c r="T198" t="b">
        <v>0</v>
      </c>
    </row>
    <row r="199" spans="1:20" x14ac:dyDescent="0.3">
      <c r="A199" t="s">
        <v>466</v>
      </c>
      <c r="B199" s="1">
        <v>40696</v>
      </c>
      <c r="C199" s="1">
        <v>40701</v>
      </c>
      <c r="D199" t="s">
        <v>467</v>
      </c>
      <c r="E199" t="s">
        <v>468</v>
      </c>
      <c r="F199" t="s">
        <v>29</v>
      </c>
      <c r="G199" t="s">
        <v>469</v>
      </c>
      <c r="H199">
        <v>73.319999999999993</v>
      </c>
      <c r="I199">
        <v>6</v>
      </c>
      <c r="J199">
        <v>21.995999999999999</v>
      </c>
      <c r="K199">
        <v>2011</v>
      </c>
      <c r="L199">
        <v>6</v>
      </c>
      <c r="M199" t="s">
        <v>25</v>
      </c>
      <c r="N199">
        <v>2</v>
      </c>
      <c r="O199">
        <v>5</v>
      </c>
      <c r="P199">
        <v>30</v>
      </c>
      <c r="Q199">
        <v>12.22</v>
      </c>
      <c r="R199" t="s">
        <v>26</v>
      </c>
      <c r="S199" t="b">
        <v>0</v>
      </c>
      <c r="T199" t="b">
        <v>0</v>
      </c>
    </row>
    <row r="200" spans="1:20" x14ac:dyDescent="0.3">
      <c r="A200" t="s">
        <v>470</v>
      </c>
      <c r="B200" s="1">
        <v>41318</v>
      </c>
      <c r="C200" s="1">
        <v>41323</v>
      </c>
      <c r="D200" t="s">
        <v>471</v>
      </c>
      <c r="E200" t="s">
        <v>22</v>
      </c>
      <c r="F200" t="s">
        <v>72</v>
      </c>
      <c r="G200" t="s">
        <v>472</v>
      </c>
      <c r="H200">
        <v>146.82</v>
      </c>
      <c r="I200">
        <v>3</v>
      </c>
      <c r="J200">
        <v>73.41</v>
      </c>
      <c r="K200">
        <v>2013</v>
      </c>
      <c r="L200">
        <v>2</v>
      </c>
      <c r="M200" t="s">
        <v>303</v>
      </c>
      <c r="N200">
        <v>13</v>
      </c>
      <c r="O200">
        <v>5</v>
      </c>
      <c r="P200">
        <v>50</v>
      </c>
      <c r="Q200">
        <v>48.94</v>
      </c>
      <c r="R200" t="s">
        <v>48</v>
      </c>
      <c r="S200" t="b">
        <v>0</v>
      </c>
      <c r="T200" t="b">
        <v>0</v>
      </c>
    </row>
    <row r="201" spans="1:20" x14ac:dyDescent="0.3">
      <c r="A201" t="s">
        <v>473</v>
      </c>
      <c r="B201" s="1">
        <v>41661</v>
      </c>
      <c r="C201" s="1">
        <v>41665</v>
      </c>
      <c r="D201" t="s">
        <v>474</v>
      </c>
      <c r="E201" t="s">
        <v>39</v>
      </c>
      <c r="F201" t="s">
        <v>45</v>
      </c>
      <c r="G201" t="s">
        <v>475</v>
      </c>
      <c r="H201">
        <v>242.94</v>
      </c>
      <c r="I201">
        <v>3</v>
      </c>
      <c r="J201">
        <v>9.7175999999999991</v>
      </c>
      <c r="K201">
        <v>2014</v>
      </c>
      <c r="L201">
        <v>1</v>
      </c>
      <c r="M201" t="s">
        <v>60</v>
      </c>
      <c r="N201">
        <v>22</v>
      </c>
      <c r="O201">
        <v>4</v>
      </c>
      <c r="P201">
        <v>4</v>
      </c>
      <c r="Q201">
        <v>80.98</v>
      </c>
      <c r="R201" t="s">
        <v>26</v>
      </c>
      <c r="S201" t="b">
        <v>0</v>
      </c>
      <c r="T201" t="b">
        <v>1</v>
      </c>
    </row>
    <row r="202" spans="1:20" x14ac:dyDescent="0.3">
      <c r="A202" t="s">
        <v>473</v>
      </c>
      <c r="B202" s="1">
        <v>41661</v>
      </c>
      <c r="C202" s="1">
        <v>41665</v>
      </c>
      <c r="D202" t="s">
        <v>474</v>
      </c>
      <c r="E202" t="s">
        <v>39</v>
      </c>
      <c r="F202" t="s">
        <v>61</v>
      </c>
      <c r="G202" t="s">
        <v>476</v>
      </c>
      <c r="H202">
        <v>179.97</v>
      </c>
      <c r="I202">
        <v>3</v>
      </c>
      <c r="J202">
        <v>86.385599999999997</v>
      </c>
      <c r="K202">
        <v>2014</v>
      </c>
      <c r="L202">
        <v>1</v>
      </c>
      <c r="M202" t="s">
        <v>60</v>
      </c>
      <c r="N202">
        <v>22</v>
      </c>
      <c r="O202">
        <v>4</v>
      </c>
      <c r="P202">
        <v>48</v>
      </c>
      <c r="Q202">
        <v>59.99</v>
      </c>
      <c r="R202" t="s">
        <v>26</v>
      </c>
      <c r="S202" t="b">
        <v>0</v>
      </c>
      <c r="T202" t="b">
        <v>0</v>
      </c>
    </row>
    <row r="203" spans="1:20" x14ac:dyDescent="0.3">
      <c r="A203" t="s">
        <v>473</v>
      </c>
      <c r="B203" s="1">
        <v>41661</v>
      </c>
      <c r="C203" s="1">
        <v>41665</v>
      </c>
      <c r="D203" t="s">
        <v>474</v>
      </c>
      <c r="E203" t="s">
        <v>39</v>
      </c>
      <c r="F203" t="s">
        <v>33</v>
      </c>
      <c r="G203" t="s">
        <v>477</v>
      </c>
      <c r="H203">
        <v>99.695999999999998</v>
      </c>
      <c r="I203">
        <v>6</v>
      </c>
      <c r="J203">
        <v>33.647399999999998</v>
      </c>
      <c r="K203">
        <v>2014</v>
      </c>
      <c r="L203">
        <v>1</v>
      </c>
      <c r="M203" t="s">
        <v>60</v>
      </c>
      <c r="N203">
        <v>22</v>
      </c>
      <c r="O203">
        <v>4</v>
      </c>
      <c r="P203">
        <v>33.75</v>
      </c>
      <c r="Q203">
        <v>16.616</v>
      </c>
      <c r="R203" t="s">
        <v>26</v>
      </c>
      <c r="S203" t="b">
        <v>0</v>
      </c>
      <c r="T203" t="b">
        <v>0</v>
      </c>
    </row>
    <row r="204" spans="1:20" x14ac:dyDescent="0.3">
      <c r="A204" t="s">
        <v>473</v>
      </c>
      <c r="B204" s="1">
        <v>41661</v>
      </c>
      <c r="C204" s="1">
        <v>41665</v>
      </c>
      <c r="D204" t="s">
        <v>474</v>
      </c>
      <c r="E204" t="s">
        <v>39</v>
      </c>
      <c r="F204" t="s">
        <v>33</v>
      </c>
      <c r="G204" t="s">
        <v>478</v>
      </c>
      <c r="H204">
        <v>27.936</v>
      </c>
      <c r="I204">
        <v>4</v>
      </c>
      <c r="J204">
        <v>9.4283999999999999</v>
      </c>
      <c r="K204">
        <v>2014</v>
      </c>
      <c r="L204">
        <v>1</v>
      </c>
      <c r="M204" t="s">
        <v>60</v>
      </c>
      <c r="N204">
        <v>22</v>
      </c>
      <c r="O204">
        <v>4</v>
      </c>
      <c r="P204">
        <v>33.75</v>
      </c>
      <c r="Q204">
        <v>6.984</v>
      </c>
      <c r="R204" t="s">
        <v>26</v>
      </c>
      <c r="S204" t="b">
        <v>0</v>
      </c>
      <c r="T204" t="b">
        <v>0</v>
      </c>
    </row>
    <row r="205" spans="1:20" x14ac:dyDescent="0.3">
      <c r="A205" t="s">
        <v>473</v>
      </c>
      <c r="B205" s="1">
        <v>41661</v>
      </c>
      <c r="C205" s="1">
        <v>41665</v>
      </c>
      <c r="D205" t="s">
        <v>474</v>
      </c>
      <c r="E205" t="s">
        <v>39</v>
      </c>
      <c r="F205" t="s">
        <v>317</v>
      </c>
      <c r="G205" t="s">
        <v>479</v>
      </c>
      <c r="H205">
        <v>84.98</v>
      </c>
      <c r="I205">
        <v>1</v>
      </c>
      <c r="J205">
        <v>18.695599999999999</v>
      </c>
      <c r="K205">
        <v>2014</v>
      </c>
      <c r="L205">
        <v>1</v>
      </c>
      <c r="M205" t="s">
        <v>60</v>
      </c>
      <c r="N205">
        <v>22</v>
      </c>
      <c r="O205">
        <v>4</v>
      </c>
      <c r="P205">
        <v>22</v>
      </c>
      <c r="Q205">
        <v>84.98</v>
      </c>
      <c r="R205" t="s">
        <v>26</v>
      </c>
      <c r="S205" t="b">
        <v>0</v>
      </c>
      <c r="T205" t="b">
        <v>0</v>
      </c>
    </row>
    <row r="206" spans="1:20" x14ac:dyDescent="0.3">
      <c r="A206" t="s">
        <v>473</v>
      </c>
      <c r="B206" s="1">
        <v>41661</v>
      </c>
      <c r="C206" s="1">
        <v>41665</v>
      </c>
      <c r="D206" t="s">
        <v>474</v>
      </c>
      <c r="E206" t="s">
        <v>39</v>
      </c>
      <c r="F206" t="s">
        <v>33</v>
      </c>
      <c r="G206" t="s">
        <v>480</v>
      </c>
      <c r="H206">
        <v>18.72</v>
      </c>
      <c r="I206">
        <v>5</v>
      </c>
      <c r="J206">
        <v>6.5519999999999996</v>
      </c>
      <c r="K206">
        <v>2014</v>
      </c>
      <c r="L206">
        <v>1</v>
      </c>
      <c r="M206" t="s">
        <v>60</v>
      </c>
      <c r="N206">
        <v>22</v>
      </c>
      <c r="O206">
        <v>4</v>
      </c>
      <c r="P206">
        <v>35</v>
      </c>
      <c r="Q206">
        <v>3.7440000000000002</v>
      </c>
      <c r="R206" t="s">
        <v>26</v>
      </c>
      <c r="S206" t="b">
        <v>0</v>
      </c>
      <c r="T206" t="b">
        <v>0</v>
      </c>
    </row>
    <row r="207" spans="1:20" x14ac:dyDescent="0.3">
      <c r="A207" t="s">
        <v>481</v>
      </c>
      <c r="B207" s="1">
        <v>40794</v>
      </c>
      <c r="C207" s="1">
        <v>40798</v>
      </c>
      <c r="D207" t="s">
        <v>482</v>
      </c>
      <c r="E207" t="s">
        <v>51</v>
      </c>
      <c r="F207" t="s">
        <v>61</v>
      </c>
      <c r="G207" t="s">
        <v>483</v>
      </c>
      <c r="H207">
        <v>49.98</v>
      </c>
      <c r="I207">
        <v>2</v>
      </c>
      <c r="J207">
        <v>8.4966000000000008</v>
      </c>
      <c r="K207">
        <v>2011</v>
      </c>
      <c r="L207">
        <v>9</v>
      </c>
      <c r="M207" t="s">
        <v>87</v>
      </c>
      <c r="N207">
        <v>8</v>
      </c>
      <c r="O207">
        <v>4</v>
      </c>
      <c r="P207">
        <v>17</v>
      </c>
      <c r="Q207">
        <v>24.99</v>
      </c>
      <c r="R207" t="s">
        <v>26</v>
      </c>
      <c r="S207" t="b">
        <v>0</v>
      </c>
      <c r="T207" t="b">
        <v>0</v>
      </c>
    </row>
    <row r="208" spans="1:20" x14ac:dyDescent="0.3">
      <c r="A208" t="s">
        <v>484</v>
      </c>
      <c r="B208" s="1">
        <v>40690</v>
      </c>
      <c r="C208" s="1">
        <v>40690</v>
      </c>
      <c r="D208" t="s">
        <v>485</v>
      </c>
      <c r="E208" t="s">
        <v>194</v>
      </c>
      <c r="F208" t="s">
        <v>45</v>
      </c>
      <c r="G208" t="s">
        <v>486</v>
      </c>
      <c r="H208">
        <v>359.32</v>
      </c>
      <c r="I208">
        <v>4</v>
      </c>
      <c r="J208">
        <v>7.1863999999999999</v>
      </c>
      <c r="K208">
        <v>2011</v>
      </c>
      <c r="L208">
        <v>5</v>
      </c>
      <c r="M208" t="s">
        <v>47</v>
      </c>
      <c r="N208">
        <v>27</v>
      </c>
      <c r="O208">
        <v>0</v>
      </c>
      <c r="P208">
        <v>2</v>
      </c>
      <c r="Q208">
        <v>89.83</v>
      </c>
      <c r="R208" t="s">
        <v>26</v>
      </c>
      <c r="S208" t="b">
        <v>0</v>
      </c>
      <c r="T208" t="b">
        <v>1</v>
      </c>
    </row>
    <row r="209" spans="1:20" x14ac:dyDescent="0.3">
      <c r="A209" t="s">
        <v>487</v>
      </c>
      <c r="B209" s="1">
        <v>41250</v>
      </c>
      <c r="C209" s="1">
        <v>41255</v>
      </c>
      <c r="D209" t="s">
        <v>488</v>
      </c>
      <c r="E209" t="s">
        <v>22</v>
      </c>
      <c r="F209" t="s">
        <v>29</v>
      </c>
      <c r="G209" t="s">
        <v>489</v>
      </c>
      <c r="H209">
        <v>79.92</v>
      </c>
      <c r="I209">
        <v>4</v>
      </c>
      <c r="J209">
        <v>28.7712</v>
      </c>
      <c r="K209">
        <v>2012</v>
      </c>
      <c r="L209">
        <v>12</v>
      </c>
      <c r="M209" t="s">
        <v>41</v>
      </c>
      <c r="N209">
        <v>7</v>
      </c>
      <c r="O209">
        <v>5</v>
      </c>
      <c r="P209">
        <v>36</v>
      </c>
      <c r="Q209">
        <v>19.98</v>
      </c>
      <c r="R209" t="s">
        <v>48</v>
      </c>
      <c r="S209" t="b">
        <v>0</v>
      </c>
      <c r="T209" t="b">
        <v>0</v>
      </c>
    </row>
    <row r="210" spans="1:20" x14ac:dyDescent="0.3">
      <c r="A210" t="s">
        <v>490</v>
      </c>
      <c r="B210" s="1">
        <v>41152</v>
      </c>
      <c r="C210" s="1">
        <v>41157</v>
      </c>
      <c r="D210" t="s">
        <v>491</v>
      </c>
      <c r="E210" t="s">
        <v>22</v>
      </c>
      <c r="F210" t="s">
        <v>72</v>
      </c>
      <c r="G210" t="s">
        <v>376</v>
      </c>
      <c r="H210">
        <v>58.32</v>
      </c>
      <c r="I210">
        <v>9</v>
      </c>
      <c r="J210">
        <v>27.993600000000001</v>
      </c>
      <c r="K210">
        <v>2012</v>
      </c>
      <c r="L210">
        <v>8</v>
      </c>
      <c r="M210" t="s">
        <v>53</v>
      </c>
      <c r="N210">
        <v>31</v>
      </c>
      <c r="O210">
        <v>5</v>
      </c>
      <c r="P210">
        <v>48</v>
      </c>
      <c r="Q210">
        <v>6.48</v>
      </c>
      <c r="R210" t="s">
        <v>48</v>
      </c>
      <c r="S210" t="b">
        <v>0</v>
      </c>
      <c r="T210" t="b">
        <v>0</v>
      </c>
    </row>
    <row r="211" spans="1:20" x14ac:dyDescent="0.3">
      <c r="A211" t="s">
        <v>492</v>
      </c>
      <c r="B211" s="1">
        <v>41142</v>
      </c>
      <c r="C211" s="1">
        <v>41144</v>
      </c>
      <c r="D211" t="s">
        <v>493</v>
      </c>
      <c r="E211" t="s">
        <v>51</v>
      </c>
      <c r="F211" t="s">
        <v>72</v>
      </c>
      <c r="G211" t="s">
        <v>283</v>
      </c>
      <c r="H211">
        <v>59.94</v>
      </c>
      <c r="I211">
        <v>3</v>
      </c>
      <c r="J211">
        <v>28.171800000000001</v>
      </c>
      <c r="K211">
        <v>2012</v>
      </c>
      <c r="L211">
        <v>8</v>
      </c>
      <c r="M211" t="s">
        <v>53</v>
      </c>
      <c r="N211">
        <v>21</v>
      </c>
      <c r="O211">
        <v>2</v>
      </c>
      <c r="P211">
        <v>47</v>
      </c>
      <c r="Q211">
        <v>19.98</v>
      </c>
      <c r="R211" t="s">
        <v>26</v>
      </c>
      <c r="S211" t="b">
        <v>0</v>
      </c>
      <c r="T211" t="b">
        <v>0</v>
      </c>
    </row>
    <row r="212" spans="1:20" x14ac:dyDescent="0.3">
      <c r="A212" t="s">
        <v>492</v>
      </c>
      <c r="B212" s="1">
        <v>41142</v>
      </c>
      <c r="C212" s="1">
        <v>41144</v>
      </c>
      <c r="D212" t="s">
        <v>493</v>
      </c>
      <c r="E212" t="s">
        <v>51</v>
      </c>
      <c r="F212" t="s">
        <v>72</v>
      </c>
      <c r="G212" t="s">
        <v>494</v>
      </c>
      <c r="H212">
        <v>23.92</v>
      </c>
      <c r="I212">
        <v>4</v>
      </c>
      <c r="J212">
        <v>11.720800000000001</v>
      </c>
      <c r="K212">
        <v>2012</v>
      </c>
      <c r="L212">
        <v>8</v>
      </c>
      <c r="M212" t="s">
        <v>53</v>
      </c>
      <c r="N212">
        <v>21</v>
      </c>
      <c r="O212">
        <v>2</v>
      </c>
      <c r="P212">
        <v>49</v>
      </c>
      <c r="Q212">
        <v>5.98</v>
      </c>
      <c r="R212" t="s">
        <v>26</v>
      </c>
      <c r="S212" t="b">
        <v>0</v>
      </c>
      <c r="T212" t="b">
        <v>0</v>
      </c>
    </row>
    <row r="213" spans="1:20" x14ac:dyDescent="0.3">
      <c r="A213" t="s">
        <v>492</v>
      </c>
      <c r="B213" s="1">
        <v>41142</v>
      </c>
      <c r="C213" s="1">
        <v>41144</v>
      </c>
      <c r="D213" t="s">
        <v>493</v>
      </c>
      <c r="E213" t="s">
        <v>51</v>
      </c>
      <c r="F213" t="s">
        <v>72</v>
      </c>
      <c r="G213" t="s">
        <v>495</v>
      </c>
      <c r="H213">
        <v>4.28</v>
      </c>
      <c r="I213">
        <v>1</v>
      </c>
      <c r="J213">
        <v>1.9259999999999999</v>
      </c>
      <c r="K213">
        <v>2012</v>
      </c>
      <c r="L213">
        <v>8</v>
      </c>
      <c r="M213" t="s">
        <v>53</v>
      </c>
      <c r="N213">
        <v>21</v>
      </c>
      <c r="O213">
        <v>2</v>
      </c>
      <c r="P213">
        <v>45</v>
      </c>
      <c r="Q213">
        <v>4.28</v>
      </c>
      <c r="R213" t="s">
        <v>26</v>
      </c>
      <c r="S213" t="b">
        <v>0</v>
      </c>
      <c r="T213" t="b">
        <v>0</v>
      </c>
    </row>
    <row r="214" spans="1:20" x14ac:dyDescent="0.3">
      <c r="A214" t="s">
        <v>496</v>
      </c>
      <c r="B214" s="1">
        <v>41716</v>
      </c>
      <c r="C214" s="1">
        <v>41720</v>
      </c>
      <c r="D214" t="s">
        <v>497</v>
      </c>
      <c r="E214" t="s">
        <v>498</v>
      </c>
      <c r="F214" t="s">
        <v>33</v>
      </c>
      <c r="G214" t="s">
        <v>499</v>
      </c>
      <c r="H214">
        <v>17.456</v>
      </c>
      <c r="I214">
        <v>2</v>
      </c>
      <c r="J214">
        <v>5.8914</v>
      </c>
      <c r="K214">
        <v>2014</v>
      </c>
      <c r="L214">
        <v>3</v>
      </c>
      <c r="M214" t="s">
        <v>135</v>
      </c>
      <c r="N214">
        <v>18</v>
      </c>
      <c r="O214">
        <v>4</v>
      </c>
      <c r="P214">
        <v>33.75</v>
      </c>
      <c r="Q214">
        <v>8.7279999999999998</v>
      </c>
      <c r="R214" t="s">
        <v>26</v>
      </c>
      <c r="S214" t="b">
        <v>0</v>
      </c>
      <c r="T214" t="b">
        <v>0</v>
      </c>
    </row>
    <row r="215" spans="1:20" x14ac:dyDescent="0.3">
      <c r="A215" t="s">
        <v>500</v>
      </c>
      <c r="B215" s="1">
        <v>41255</v>
      </c>
      <c r="C215" s="1">
        <v>41259</v>
      </c>
      <c r="D215" t="s">
        <v>501</v>
      </c>
      <c r="E215" t="s">
        <v>498</v>
      </c>
      <c r="F215" t="s">
        <v>110</v>
      </c>
      <c r="G215" t="s">
        <v>502</v>
      </c>
      <c r="H215">
        <v>348.928</v>
      </c>
      <c r="I215">
        <v>2</v>
      </c>
      <c r="J215">
        <v>34.892800000000001</v>
      </c>
      <c r="K215">
        <v>2012</v>
      </c>
      <c r="L215">
        <v>12</v>
      </c>
      <c r="M215" t="s">
        <v>41</v>
      </c>
      <c r="N215">
        <v>12</v>
      </c>
      <c r="O215">
        <v>4</v>
      </c>
      <c r="P215">
        <v>10</v>
      </c>
      <c r="Q215">
        <v>174.464</v>
      </c>
      <c r="R215" t="s">
        <v>26</v>
      </c>
      <c r="S215" t="b">
        <v>0</v>
      </c>
      <c r="T215" t="b">
        <v>1</v>
      </c>
    </row>
    <row r="216" spans="1:20" x14ac:dyDescent="0.3">
      <c r="A216" t="s">
        <v>503</v>
      </c>
      <c r="B216" s="1">
        <v>40806</v>
      </c>
      <c r="C216" s="1">
        <v>40812</v>
      </c>
      <c r="D216" t="s">
        <v>504</v>
      </c>
      <c r="E216" t="s">
        <v>51</v>
      </c>
      <c r="F216" t="s">
        <v>23</v>
      </c>
      <c r="G216" t="s">
        <v>505</v>
      </c>
      <c r="H216">
        <v>9.9600000000000009</v>
      </c>
      <c r="I216">
        <v>2</v>
      </c>
      <c r="J216">
        <v>4.5815999999999999</v>
      </c>
      <c r="K216">
        <v>2011</v>
      </c>
      <c r="L216">
        <v>9</v>
      </c>
      <c r="M216" t="s">
        <v>87</v>
      </c>
      <c r="N216">
        <v>20</v>
      </c>
      <c r="O216">
        <v>6</v>
      </c>
      <c r="P216">
        <v>46</v>
      </c>
      <c r="Q216">
        <v>4.9800000000000004</v>
      </c>
      <c r="R216" t="s">
        <v>26</v>
      </c>
      <c r="S216" t="b">
        <v>0</v>
      </c>
      <c r="T216" t="b">
        <v>0</v>
      </c>
    </row>
    <row r="217" spans="1:20" x14ac:dyDescent="0.3">
      <c r="A217" t="s">
        <v>503</v>
      </c>
      <c r="B217" s="1">
        <v>40806</v>
      </c>
      <c r="C217" s="1">
        <v>40812</v>
      </c>
      <c r="D217" t="s">
        <v>504</v>
      </c>
      <c r="E217" t="s">
        <v>51</v>
      </c>
      <c r="F217" t="s">
        <v>72</v>
      </c>
      <c r="G217" t="s">
        <v>276</v>
      </c>
      <c r="H217">
        <v>21.72</v>
      </c>
      <c r="I217">
        <v>4</v>
      </c>
      <c r="J217">
        <v>10.642799999999999</v>
      </c>
      <c r="K217">
        <v>2011</v>
      </c>
      <c r="L217">
        <v>9</v>
      </c>
      <c r="M217" t="s">
        <v>87</v>
      </c>
      <c r="N217">
        <v>20</v>
      </c>
      <c r="O217">
        <v>6</v>
      </c>
      <c r="P217">
        <v>49</v>
      </c>
      <c r="Q217">
        <v>5.43</v>
      </c>
      <c r="R217" t="s">
        <v>26</v>
      </c>
      <c r="S217" t="b">
        <v>0</v>
      </c>
      <c r="T217" t="b">
        <v>0</v>
      </c>
    </row>
    <row r="218" spans="1:20" x14ac:dyDescent="0.3">
      <c r="A218" t="s">
        <v>506</v>
      </c>
      <c r="B218" s="1">
        <v>41240</v>
      </c>
      <c r="C218" s="1">
        <v>41246</v>
      </c>
      <c r="D218" t="s">
        <v>507</v>
      </c>
      <c r="E218" t="s">
        <v>508</v>
      </c>
      <c r="F218" t="s">
        <v>110</v>
      </c>
      <c r="G218" t="s">
        <v>509</v>
      </c>
      <c r="H218">
        <v>283.92</v>
      </c>
      <c r="I218">
        <v>5</v>
      </c>
      <c r="J218">
        <v>17.745000000000001</v>
      </c>
      <c r="K218">
        <v>2012</v>
      </c>
      <c r="L218">
        <v>11</v>
      </c>
      <c r="M218" t="s">
        <v>70</v>
      </c>
      <c r="N218">
        <v>27</v>
      </c>
      <c r="O218">
        <v>6</v>
      </c>
      <c r="P218">
        <v>6.25</v>
      </c>
      <c r="Q218">
        <v>56.784000000000013</v>
      </c>
      <c r="R218" t="s">
        <v>26</v>
      </c>
      <c r="S218" t="b">
        <v>0</v>
      </c>
      <c r="T218" t="b">
        <v>1</v>
      </c>
    </row>
    <row r="219" spans="1:20" x14ac:dyDescent="0.3">
      <c r="A219" t="s">
        <v>510</v>
      </c>
      <c r="B219" s="1">
        <v>41691</v>
      </c>
      <c r="C219" s="1">
        <v>41694</v>
      </c>
      <c r="D219" t="s">
        <v>511</v>
      </c>
      <c r="E219" t="s">
        <v>194</v>
      </c>
      <c r="F219" t="s">
        <v>29</v>
      </c>
      <c r="G219" t="s">
        <v>512</v>
      </c>
      <c r="H219">
        <v>22.23</v>
      </c>
      <c r="I219">
        <v>1</v>
      </c>
      <c r="J219">
        <v>7.3358999999999996</v>
      </c>
      <c r="K219">
        <v>2014</v>
      </c>
      <c r="L219">
        <v>2</v>
      </c>
      <c r="M219" t="s">
        <v>303</v>
      </c>
      <c r="N219">
        <v>21</v>
      </c>
      <c r="O219">
        <v>3</v>
      </c>
      <c r="P219">
        <v>33</v>
      </c>
      <c r="Q219">
        <v>22.23</v>
      </c>
      <c r="R219" t="s">
        <v>26</v>
      </c>
      <c r="S219" t="b">
        <v>0</v>
      </c>
      <c r="T219" t="b">
        <v>0</v>
      </c>
    </row>
    <row r="220" spans="1:20" x14ac:dyDescent="0.3">
      <c r="A220" t="s">
        <v>510</v>
      </c>
      <c r="B220" s="1">
        <v>41691</v>
      </c>
      <c r="C220" s="1">
        <v>41694</v>
      </c>
      <c r="D220" t="s">
        <v>511</v>
      </c>
      <c r="E220" t="s">
        <v>194</v>
      </c>
      <c r="F220" t="s">
        <v>54</v>
      </c>
      <c r="G220" t="s">
        <v>513</v>
      </c>
      <c r="H220">
        <v>215.96799999999999</v>
      </c>
      <c r="I220">
        <v>2</v>
      </c>
      <c r="J220">
        <v>18.897200000000002</v>
      </c>
      <c r="K220">
        <v>2014</v>
      </c>
      <c r="L220">
        <v>2</v>
      </c>
      <c r="M220" t="s">
        <v>303</v>
      </c>
      <c r="N220">
        <v>21</v>
      </c>
      <c r="O220">
        <v>3</v>
      </c>
      <c r="P220">
        <v>8.75</v>
      </c>
      <c r="Q220">
        <v>107.98399999999999</v>
      </c>
      <c r="R220" t="s">
        <v>26</v>
      </c>
      <c r="S220" t="b">
        <v>0</v>
      </c>
      <c r="T220" t="b">
        <v>1</v>
      </c>
    </row>
    <row r="221" spans="1:20" x14ac:dyDescent="0.3">
      <c r="A221" t="s">
        <v>514</v>
      </c>
      <c r="B221" s="1">
        <v>41752</v>
      </c>
      <c r="C221" s="1">
        <v>41754</v>
      </c>
      <c r="D221" t="s">
        <v>515</v>
      </c>
      <c r="E221" t="s">
        <v>51</v>
      </c>
      <c r="F221" t="s">
        <v>29</v>
      </c>
      <c r="G221" t="s">
        <v>516</v>
      </c>
      <c r="H221">
        <v>18.28</v>
      </c>
      <c r="I221">
        <v>2</v>
      </c>
      <c r="J221">
        <v>6.2152000000000003</v>
      </c>
      <c r="K221">
        <v>2014</v>
      </c>
      <c r="L221">
        <v>4</v>
      </c>
      <c r="M221" t="s">
        <v>236</v>
      </c>
      <c r="N221">
        <v>23</v>
      </c>
      <c r="O221">
        <v>2</v>
      </c>
      <c r="P221">
        <v>34</v>
      </c>
      <c r="Q221">
        <v>9.14</v>
      </c>
      <c r="R221" t="s">
        <v>26</v>
      </c>
      <c r="S221" t="b">
        <v>0</v>
      </c>
      <c r="T221" t="b">
        <v>0</v>
      </c>
    </row>
    <row r="222" spans="1:20" x14ac:dyDescent="0.3">
      <c r="A222" t="s">
        <v>517</v>
      </c>
      <c r="B222" s="1">
        <v>40848</v>
      </c>
      <c r="C222" s="1">
        <v>40854</v>
      </c>
      <c r="D222" t="s">
        <v>518</v>
      </c>
      <c r="E222" t="s">
        <v>173</v>
      </c>
      <c r="F222" t="s">
        <v>31</v>
      </c>
      <c r="G222" t="s">
        <v>519</v>
      </c>
      <c r="H222">
        <v>43.176000000000002</v>
      </c>
      <c r="I222">
        <v>3</v>
      </c>
      <c r="J222">
        <v>4.3175999999999997</v>
      </c>
      <c r="K222">
        <v>2011</v>
      </c>
      <c r="L222">
        <v>11</v>
      </c>
      <c r="M222" t="s">
        <v>70</v>
      </c>
      <c r="N222">
        <v>1</v>
      </c>
      <c r="O222">
        <v>6</v>
      </c>
      <c r="P222">
        <v>10</v>
      </c>
      <c r="Q222">
        <v>14.391999999999999</v>
      </c>
      <c r="R222" t="s">
        <v>26</v>
      </c>
      <c r="S222" t="b">
        <v>0</v>
      </c>
      <c r="T222" t="b">
        <v>0</v>
      </c>
    </row>
    <row r="223" spans="1:20" x14ac:dyDescent="0.3">
      <c r="A223" t="s">
        <v>520</v>
      </c>
      <c r="B223" s="1">
        <v>40829</v>
      </c>
      <c r="C223" s="1">
        <v>40831</v>
      </c>
      <c r="D223" t="s">
        <v>411</v>
      </c>
      <c r="E223" t="s">
        <v>521</v>
      </c>
      <c r="F223" t="s">
        <v>31</v>
      </c>
      <c r="G223" t="s">
        <v>522</v>
      </c>
      <c r="H223">
        <v>11.52</v>
      </c>
      <c r="I223">
        <v>4</v>
      </c>
      <c r="J223">
        <v>3.2256</v>
      </c>
      <c r="K223">
        <v>2011</v>
      </c>
      <c r="L223">
        <v>10</v>
      </c>
      <c r="M223" t="s">
        <v>82</v>
      </c>
      <c r="N223">
        <v>13</v>
      </c>
      <c r="O223">
        <v>2</v>
      </c>
      <c r="P223">
        <v>28</v>
      </c>
      <c r="Q223">
        <v>2.88</v>
      </c>
      <c r="R223" t="s">
        <v>26</v>
      </c>
      <c r="S223" t="b">
        <v>0</v>
      </c>
      <c r="T223" t="b">
        <v>0</v>
      </c>
    </row>
    <row r="224" spans="1:20" x14ac:dyDescent="0.3">
      <c r="A224" t="s">
        <v>520</v>
      </c>
      <c r="B224" s="1">
        <v>40829</v>
      </c>
      <c r="C224" s="1">
        <v>40831</v>
      </c>
      <c r="D224" t="s">
        <v>411</v>
      </c>
      <c r="E224" t="s">
        <v>521</v>
      </c>
      <c r="F224" t="s">
        <v>35</v>
      </c>
      <c r="G224" t="s">
        <v>523</v>
      </c>
      <c r="H224">
        <v>213.92</v>
      </c>
      <c r="I224">
        <v>4</v>
      </c>
      <c r="J224">
        <v>62.036799999999999</v>
      </c>
      <c r="K224">
        <v>2011</v>
      </c>
      <c r="L224">
        <v>10</v>
      </c>
      <c r="M224" t="s">
        <v>82</v>
      </c>
      <c r="N224">
        <v>13</v>
      </c>
      <c r="O224">
        <v>2</v>
      </c>
      <c r="P224">
        <v>29</v>
      </c>
      <c r="Q224">
        <v>53.48</v>
      </c>
      <c r="R224" t="s">
        <v>26</v>
      </c>
      <c r="S224" t="b">
        <v>0</v>
      </c>
      <c r="T224" t="b">
        <v>0</v>
      </c>
    </row>
    <row r="225" spans="1:20" x14ac:dyDescent="0.3">
      <c r="A225" t="s">
        <v>520</v>
      </c>
      <c r="B225" s="1">
        <v>40829</v>
      </c>
      <c r="C225" s="1">
        <v>40831</v>
      </c>
      <c r="D225" t="s">
        <v>411</v>
      </c>
      <c r="E225" t="s">
        <v>521</v>
      </c>
      <c r="F225" t="s">
        <v>61</v>
      </c>
      <c r="G225" t="s">
        <v>524</v>
      </c>
      <c r="H225">
        <v>25.78</v>
      </c>
      <c r="I225">
        <v>2</v>
      </c>
      <c r="J225">
        <v>2.5779999999999998</v>
      </c>
      <c r="K225">
        <v>2011</v>
      </c>
      <c r="L225">
        <v>10</v>
      </c>
      <c r="M225" t="s">
        <v>82</v>
      </c>
      <c r="N225">
        <v>13</v>
      </c>
      <c r="O225">
        <v>2</v>
      </c>
      <c r="P225">
        <v>10</v>
      </c>
      <c r="Q225">
        <v>12.89</v>
      </c>
      <c r="R225" t="s">
        <v>26</v>
      </c>
      <c r="S225" t="b">
        <v>0</v>
      </c>
      <c r="T225" t="b">
        <v>0</v>
      </c>
    </row>
    <row r="226" spans="1:20" x14ac:dyDescent="0.3">
      <c r="A226" t="s">
        <v>525</v>
      </c>
      <c r="B226" s="1">
        <v>41774</v>
      </c>
      <c r="C226" s="1">
        <v>41774</v>
      </c>
      <c r="D226" t="s">
        <v>526</v>
      </c>
      <c r="E226" t="s">
        <v>527</v>
      </c>
      <c r="F226" t="s">
        <v>29</v>
      </c>
      <c r="G226" t="s">
        <v>516</v>
      </c>
      <c r="H226">
        <v>18.28</v>
      </c>
      <c r="I226">
        <v>2</v>
      </c>
      <c r="J226">
        <v>6.2152000000000003</v>
      </c>
      <c r="K226">
        <v>2014</v>
      </c>
      <c r="L226">
        <v>5</v>
      </c>
      <c r="M226" t="s">
        <v>47</v>
      </c>
      <c r="N226">
        <v>15</v>
      </c>
      <c r="O226">
        <v>0</v>
      </c>
      <c r="P226">
        <v>34</v>
      </c>
      <c r="Q226">
        <v>9.14</v>
      </c>
      <c r="R226" t="s">
        <v>26</v>
      </c>
      <c r="S226" t="b">
        <v>0</v>
      </c>
      <c r="T226" t="b">
        <v>0</v>
      </c>
    </row>
    <row r="227" spans="1:20" x14ac:dyDescent="0.3">
      <c r="A227" t="s">
        <v>528</v>
      </c>
      <c r="B227" s="1">
        <v>40672</v>
      </c>
      <c r="C227" s="1">
        <v>40678</v>
      </c>
      <c r="D227" t="s">
        <v>529</v>
      </c>
      <c r="E227" t="s">
        <v>51</v>
      </c>
      <c r="F227" t="s">
        <v>61</v>
      </c>
      <c r="G227" t="s">
        <v>530</v>
      </c>
      <c r="H227">
        <v>67.8</v>
      </c>
      <c r="I227">
        <v>4</v>
      </c>
      <c r="J227">
        <v>4.0679999999999996</v>
      </c>
      <c r="K227">
        <v>2011</v>
      </c>
      <c r="L227">
        <v>5</v>
      </c>
      <c r="M227" t="s">
        <v>47</v>
      </c>
      <c r="N227">
        <v>9</v>
      </c>
      <c r="O227">
        <v>6</v>
      </c>
      <c r="P227">
        <v>6</v>
      </c>
      <c r="Q227">
        <v>16.95</v>
      </c>
      <c r="R227" t="s">
        <v>26</v>
      </c>
      <c r="S227" t="b">
        <v>0</v>
      </c>
      <c r="T227" t="b">
        <v>0</v>
      </c>
    </row>
    <row r="228" spans="1:20" x14ac:dyDescent="0.3">
      <c r="A228" t="s">
        <v>528</v>
      </c>
      <c r="B228" s="1">
        <v>40672</v>
      </c>
      <c r="C228" s="1">
        <v>40678</v>
      </c>
      <c r="D228" t="s">
        <v>529</v>
      </c>
      <c r="E228" t="s">
        <v>51</v>
      </c>
      <c r="F228" t="s">
        <v>61</v>
      </c>
      <c r="G228" t="s">
        <v>531</v>
      </c>
      <c r="H228">
        <v>167.97</v>
      </c>
      <c r="I228">
        <v>3</v>
      </c>
      <c r="J228">
        <v>40.312800000000003</v>
      </c>
      <c r="K228">
        <v>2011</v>
      </c>
      <c r="L228">
        <v>5</v>
      </c>
      <c r="M228" t="s">
        <v>47</v>
      </c>
      <c r="N228">
        <v>9</v>
      </c>
      <c r="O228">
        <v>6</v>
      </c>
      <c r="P228">
        <v>24</v>
      </c>
      <c r="Q228">
        <v>55.99</v>
      </c>
      <c r="R228" t="s">
        <v>26</v>
      </c>
      <c r="S228" t="b">
        <v>0</v>
      </c>
      <c r="T228" t="b">
        <v>0</v>
      </c>
    </row>
    <row r="229" spans="1:20" x14ac:dyDescent="0.3">
      <c r="A229" t="s">
        <v>532</v>
      </c>
      <c r="B229" s="1">
        <v>41586</v>
      </c>
      <c r="C229" s="1">
        <v>41588</v>
      </c>
      <c r="D229" t="s">
        <v>533</v>
      </c>
      <c r="E229" t="s">
        <v>22</v>
      </c>
      <c r="F229" t="s">
        <v>33</v>
      </c>
      <c r="G229" t="s">
        <v>534</v>
      </c>
      <c r="H229">
        <v>37.44</v>
      </c>
      <c r="I229">
        <v>4</v>
      </c>
      <c r="J229">
        <v>11.7</v>
      </c>
      <c r="K229">
        <v>2013</v>
      </c>
      <c r="L229">
        <v>11</v>
      </c>
      <c r="M229" t="s">
        <v>70</v>
      </c>
      <c r="N229">
        <v>8</v>
      </c>
      <c r="O229">
        <v>2</v>
      </c>
      <c r="P229">
        <v>31.25</v>
      </c>
      <c r="Q229">
        <v>9.36</v>
      </c>
      <c r="R229" t="s">
        <v>26</v>
      </c>
      <c r="S229" t="b">
        <v>0</v>
      </c>
      <c r="T229" t="b">
        <v>0</v>
      </c>
    </row>
    <row r="230" spans="1:20" x14ac:dyDescent="0.3">
      <c r="A230" t="s">
        <v>532</v>
      </c>
      <c r="B230" s="1">
        <v>41586</v>
      </c>
      <c r="C230" s="1">
        <v>41588</v>
      </c>
      <c r="D230" t="s">
        <v>533</v>
      </c>
      <c r="E230" t="s">
        <v>22</v>
      </c>
      <c r="F230" t="s">
        <v>33</v>
      </c>
      <c r="G230" t="s">
        <v>535</v>
      </c>
      <c r="H230">
        <v>26.975999999999999</v>
      </c>
      <c r="I230">
        <v>4</v>
      </c>
      <c r="J230">
        <v>8.7672000000000008</v>
      </c>
      <c r="K230">
        <v>2013</v>
      </c>
      <c r="L230">
        <v>11</v>
      </c>
      <c r="M230" t="s">
        <v>70</v>
      </c>
      <c r="N230">
        <v>8</v>
      </c>
      <c r="O230">
        <v>2</v>
      </c>
      <c r="P230">
        <v>32.5</v>
      </c>
      <c r="Q230">
        <v>6.7439999999999998</v>
      </c>
      <c r="R230" t="s">
        <v>26</v>
      </c>
      <c r="S230" t="b">
        <v>0</v>
      </c>
      <c r="T230" t="b">
        <v>0</v>
      </c>
    </row>
    <row r="231" spans="1:20" x14ac:dyDescent="0.3">
      <c r="A231" t="s">
        <v>532</v>
      </c>
      <c r="B231" s="1">
        <v>41586</v>
      </c>
      <c r="C231" s="1">
        <v>41588</v>
      </c>
      <c r="D231" t="s">
        <v>533</v>
      </c>
      <c r="E231" t="s">
        <v>22</v>
      </c>
      <c r="F231" t="s">
        <v>122</v>
      </c>
      <c r="G231" t="s">
        <v>536</v>
      </c>
      <c r="H231">
        <v>11.36</v>
      </c>
      <c r="I231">
        <v>2</v>
      </c>
      <c r="J231">
        <v>3.2944</v>
      </c>
      <c r="K231">
        <v>2013</v>
      </c>
      <c r="L231">
        <v>11</v>
      </c>
      <c r="M231" t="s">
        <v>70</v>
      </c>
      <c r="N231">
        <v>8</v>
      </c>
      <c r="O231">
        <v>2</v>
      </c>
      <c r="P231">
        <v>29</v>
      </c>
      <c r="Q231">
        <v>5.68</v>
      </c>
      <c r="R231" t="s">
        <v>26</v>
      </c>
      <c r="S231" t="b">
        <v>0</v>
      </c>
      <c r="T231" t="b">
        <v>0</v>
      </c>
    </row>
    <row r="232" spans="1:20" x14ac:dyDescent="0.3">
      <c r="A232" t="s">
        <v>532</v>
      </c>
      <c r="B232" s="1">
        <v>41586</v>
      </c>
      <c r="C232" s="1">
        <v>41588</v>
      </c>
      <c r="D232" t="s">
        <v>533</v>
      </c>
      <c r="E232" t="s">
        <v>22</v>
      </c>
      <c r="F232" t="s">
        <v>23</v>
      </c>
      <c r="G232" t="s">
        <v>537</v>
      </c>
      <c r="H232">
        <v>14.62</v>
      </c>
      <c r="I232">
        <v>2</v>
      </c>
      <c r="J232">
        <v>6.8714000000000004</v>
      </c>
      <c r="K232">
        <v>2013</v>
      </c>
      <c r="L232">
        <v>11</v>
      </c>
      <c r="M232" t="s">
        <v>70</v>
      </c>
      <c r="N232">
        <v>8</v>
      </c>
      <c r="O232">
        <v>2</v>
      </c>
      <c r="P232">
        <v>47</v>
      </c>
      <c r="Q232">
        <v>7.31</v>
      </c>
      <c r="R232" t="s">
        <v>26</v>
      </c>
      <c r="S232" t="b">
        <v>0</v>
      </c>
      <c r="T232" t="b">
        <v>0</v>
      </c>
    </row>
    <row r="233" spans="1:20" x14ac:dyDescent="0.3">
      <c r="A233" t="s">
        <v>538</v>
      </c>
      <c r="B233" s="1">
        <v>41446</v>
      </c>
      <c r="C233" s="1">
        <v>41451</v>
      </c>
      <c r="D233" t="s">
        <v>539</v>
      </c>
      <c r="E233" t="s">
        <v>540</v>
      </c>
      <c r="F233" t="s">
        <v>31</v>
      </c>
      <c r="G233" t="s">
        <v>541</v>
      </c>
      <c r="H233">
        <v>5.16</v>
      </c>
      <c r="I233">
        <v>2</v>
      </c>
      <c r="J233">
        <v>1.3415999999999999</v>
      </c>
      <c r="K233">
        <v>2013</v>
      </c>
      <c r="L233">
        <v>6</v>
      </c>
      <c r="M233" t="s">
        <v>25</v>
      </c>
      <c r="N233">
        <v>21</v>
      </c>
      <c r="O233">
        <v>5</v>
      </c>
      <c r="P233">
        <v>26</v>
      </c>
      <c r="Q233">
        <v>2.58</v>
      </c>
      <c r="R233" t="s">
        <v>26</v>
      </c>
      <c r="S233" t="b">
        <v>0</v>
      </c>
      <c r="T233" t="b">
        <v>0</v>
      </c>
    </row>
    <row r="234" spans="1:20" x14ac:dyDescent="0.3">
      <c r="A234" t="s">
        <v>538</v>
      </c>
      <c r="B234" s="1">
        <v>41446</v>
      </c>
      <c r="C234" s="1">
        <v>41451</v>
      </c>
      <c r="D234" t="s">
        <v>539</v>
      </c>
      <c r="E234" t="s">
        <v>540</v>
      </c>
      <c r="F234" t="s">
        <v>72</v>
      </c>
      <c r="G234" t="s">
        <v>542</v>
      </c>
      <c r="H234">
        <v>38.880000000000003</v>
      </c>
      <c r="I234">
        <v>6</v>
      </c>
      <c r="J234">
        <v>18.662400000000002</v>
      </c>
      <c r="K234">
        <v>2013</v>
      </c>
      <c r="L234">
        <v>6</v>
      </c>
      <c r="M234" t="s">
        <v>25</v>
      </c>
      <c r="N234">
        <v>21</v>
      </c>
      <c r="O234">
        <v>5</v>
      </c>
      <c r="P234">
        <v>48</v>
      </c>
      <c r="Q234">
        <v>6.48</v>
      </c>
      <c r="R234" t="s">
        <v>26</v>
      </c>
      <c r="S234" t="b">
        <v>0</v>
      </c>
      <c r="T234" t="b">
        <v>0</v>
      </c>
    </row>
    <row r="235" spans="1:20" x14ac:dyDescent="0.3">
      <c r="A235" t="s">
        <v>543</v>
      </c>
      <c r="B235" s="1">
        <v>40703</v>
      </c>
      <c r="C235" s="1">
        <v>40710</v>
      </c>
      <c r="D235" t="s">
        <v>544</v>
      </c>
      <c r="E235" t="s">
        <v>51</v>
      </c>
      <c r="F235" t="s">
        <v>122</v>
      </c>
      <c r="G235" t="s">
        <v>155</v>
      </c>
      <c r="H235">
        <v>7.36</v>
      </c>
      <c r="I235">
        <v>2</v>
      </c>
      <c r="J235">
        <v>0.1472</v>
      </c>
      <c r="K235">
        <v>2011</v>
      </c>
      <c r="L235">
        <v>6</v>
      </c>
      <c r="M235" t="s">
        <v>25</v>
      </c>
      <c r="N235">
        <v>9</v>
      </c>
      <c r="O235">
        <v>7</v>
      </c>
      <c r="P235">
        <v>2</v>
      </c>
      <c r="Q235">
        <v>3.68</v>
      </c>
      <c r="R235" t="s">
        <v>26</v>
      </c>
      <c r="S235" t="b">
        <v>0</v>
      </c>
      <c r="T235" t="b">
        <v>0</v>
      </c>
    </row>
    <row r="236" spans="1:20" x14ac:dyDescent="0.3">
      <c r="A236" t="s">
        <v>543</v>
      </c>
      <c r="B236" s="1">
        <v>40703</v>
      </c>
      <c r="C236" s="1">
        <v>40710</v>
      </c>
      <c r="D236" t="s">
        <v>544</v>
      </c>
      <c r="E236" t="s">
        <v>51</v>
      </c>
      <c r="F236" t="s">
        <v>31</v>
      </c>
      <c r="G236" t="s">
        <v>545</v>
      </c>
      <c r="H236">
        <v>23.1</v>
      </c>
      <c r="I236">
        <v>2</v>
      </c>
      <c r="J236">
        <v>10.625999999999999</v>
      </c>
      <c r="K236">
        <v>2011</v>
      </c>
      <c r="L236">
        <v>6</v>
      </c>
      <c r="M236" t="s">
        <v>25</v>
      </c>
      <c r="N236">
        <v>9</v>
      </c>
      <c r="O236">
        <v>7</v>
      </c>
      <c r="P236">
        <v>46</v>
      </c>
      <c r="Q236">
        <v>11.55</v>
      </c>
      <c r="R236" t="s">
        <v>26</v>
      </c>
      <c r="S236" t="b">
        <v>0</v>
      </c>
      <c r="T236" t="b">
        <v>0</v>
      </c>
    </row>
    <row r="237" spans="1:20" x14ac:dyDescent="0.3">
      <c r="A237" t="s">
        <v>546</v>
      </c>
      <c r="B237" s="1">
        <v>41997</v>
      </c>
      <c r="C237" s="1">
        <v>41997</v>
      </c>
      <c r="D237" t="s">
        <v>482</v>
      </c>
      <c r="E237" t="s">
        <v>51</v>
      </c>
      <c r="F237" t="s">
        <v>31</v>
      </c>
      <c r="G237" t="s">
        <v>547</v>
      </c>
      <c r="H237">
        <v>13.48</v>
      </c>
      <c r="I237">
        <v>4</v>
      </c>
      <c r="J237">
        <v>5.9311999999999996</v>
      </c>
      <c r="K237">
        <v>2014</v>
      </c>
      <c r="L237">
        <v>12</v>
      </c>
      <c r="M237" t="s">
        <v>41</v>
      </c>
      <c r="N237">
        <v>24</v>
      </c>
      <c r="O237">
        <v>0</v>
      </c>
      <c r="P237">
        <v>44</v>
      </c>
      <c r="Q237">
        <v>3.37</v>
      </c>
      <c r="R237" t="s">
        <v>26</v>
      </c>
      <c r="S237" t="b">
        <v>0</v>
      </c>
      <c r="T237" t="b">
        <v>0</v>
      </c>
    </row>
    <row r="238" spans="1:20" x14ac:dyDescent="0.3">
      <c r="A238" t="s">
        <v>548</v>
      </c>
      <c r="B238" s="1">
        <v>41024</v>
      </c>
      <c r="C238" s="1">
        <v>41027</v>
      </c>
      <c r="D238" t="s">
        <v>549</v>
      </c>
      <c r="E238" t="s">
        <v>22</v>
      </c>
      <c r="F238" t="s">
        <v>33</v>
      </c>
      <c r="G238" t="s">
        <v>550</v>
      </c>
      <c r="H238">
        <v>13.944000000000001</v>
      </c>
      <c r="I238">
        <v>3</v>
      </c>
      <c r="J238">
        <v>4.5317999999999996</v>
      </c>
      <c r="K238">
        <v>2012</v>
      </c>
      <c r="L238">
        <v>4</v>
      </c>
      <c r="M238" t="s">
        <v>236</v>
      </c>
      <c r="N238">
        <v>25</v>
      </c>
      <c r="O238">
        <v>3</v>
      </c>
      <c r="P238">
        <v>32.5</v>
      </c>
      <c r="Q238">
        <v>4.6480000000000006</v>
      </c>
      <c r="R238" t="s">
        <v>48</v>
      </c>
      <c r="S238" t="b">
        <v>0</v>
      </c>
      <c r="T238" t="b">
        <v>0</v>
      </c>
    </row>
    <row r="239" spans="1:20" x14ac:dyDescent="0.3">
      <c r="A239" t="s">
        <v>551</v>
      </c>
      <c r="B239" s="1">
        <v>41817</v>
      </c>
      <c r="C239" s="1">
        <v>41823</v>
      </c>
      <c r="D239" t="s">
        <v>374</v>
      </c>
      <c r="E239" t="s">
        <v>194</v>
      </c>
      <c r="F239" t="s">
        <v>45</v>
      </c>
      <c r="G239" t="s">
        <v>552</v>
      </c>
      <c r="H239">
        <v>83.76</v>
      </c>
      <c r="I239">
        <v>12</v>
      </c>
      <c r="J239">
        <v>1.6752</v>
      </c>
      <c r="K239">
        <v>2014</v>
      </c>
      <c r="L239">
        <v>6</v>
      </c>
      <c r="M239" t="s">
        <v>25</v>
      </c>
      <c r="N239">
        <v>27</v>
      </c>
      <c r="O239">
        <v>6</v>
      </c>
      <c r="P239">
        <v>2</v>
      </c>
      <c r="Q239">
        <v>6.98</v>
      </c>
      <c r="R239" t="s">
        <v>26</v>
      </c>
      <c r="S239" t="b">
        <v>0</v>
      </c>
      <c r="T239" t="b">
        <v>0</v>
      </c>
    </row>
    <row r="240" spans="1:20" x14ac:dyDescent="0.3">
      <c r="A240" t="s">
        <v>553</v>
      </c>
      <c r="B240" s="1">
        <v>40886</v>
      </c>
      <c r="C240" s="1">
        <v>40893</v>
      </c>
      <c r="D240" t="s">
        <v>554</v>
      </c>
      <c r="E240" t="s">
        <v>51</v>
      </c>
      <c r="F240" t="s">
        <v>72</v>
      </c>
      <c r="G240" t="s">
        <v>555</v>
      </c>
      <c r="H240">
        <v>34.68</v>
      </c>
      <c r="I240">
        <v>6</v>
      </c>
      <c r="J240">
        <v>16.993200000000002</v>
      </c>
      <c r="K240">
        <v>2011</v>
      </c>
      <c r="L240">
        <v>12</v>
      </c>
      <c r="M240" t="s">
        <v>41</v>
      </c>
      <c r="N240">
        <v>9</v>
      </c>
      <c r="O240">
        <v>7</v>
      </c>
      <c r="P240">
        <v>49</v>
      </c>
      <c r="Q240">
        <v>5.78</v>
      </c>
      <c r="R240" t="s">
        <v>26</v>
      </c>
      <c r="S240" t="b">
        <v>0</v>
      </c>
      <c r="T240" t="b">
        <v>0</v>
      </c>
    </row>
    <row r="241" spans="1:20" x14ac:dyDescent="0.3">
      <c r="A241" t="s">
        <v>556</v>
      </c>
      <c r="B241" s="1">
        <v>41589</v>
      </c>
      <c r="C241" s="1">
        <v>41591</v>
      </c>
      <c r="D241" t="s">
        <v>557</v>
      </c>
      <c r="E241" t="s">
        <v>51</v>
      </c>
      <c r="F241" t="s">
        <v>45</v>
      </c>
      <c r="G241" t="s">
        <v>558</v>
      </c>
      <c r="H241">
        <v>155.82</v>
      </c>
      <c r="I241">
        <v>7</v>
      </c>
      <c r="J241">
        <v>42.071399999999997</v>
      </c>
      <c r="K241">
        <v>2013</v>
      </c>
      <c r="L241">
        <v>11</v>
      </c>
      <c r="M241" t="s">
        <v>70</v>
      </c>
      <c r="N241">
        <v>11</v>
      </c>
      <c r="O241">
        <v>2</v>
      </c>
      <c r="P241">
        <v>27</v>
      </c>
      <c r="Q241">
        <v>22.26</v>
      </c>
      <c r="R241" t="s">
        <v>26</v>
      </c>
      <c r="S241" t="b">
        <v>0</v>
      </c>
      <c r="T241" t="b">
        <v>0</v>
      </c>
    </row>
    <row r="242" spans="1:20" x14ac:dyDescent="0.3">
      <c r="A242" t="s">
        <v>556</v>
      </c>
      <c r="B242" s="1">
        <v>41589</v>
      </c>
      <c r="C242" s="1">
        <v>41591</v>
      </c>
      <c r="D242" t="s">
        <v>557</v>
      </c>
      <c r="E242" t="s">
        <v>51</v>
      </c>
      <c r="F242" t="s">
        <v>33</v>
      </c>
      <c r="G242" t="s">
        <v>559</v>
      </c>
      <c r="H242">
        <v>70.007999999999996</v>
      </c>
      <c r="I242">
        <v>3</v>
      </c>
      <c r="J242">
        <v>24.502800000000001</v>
      </c>
      <c r="K242">
        <v>2013</v>
      </c>
      <c r="L242">
        <v>11</v>
      </c>
      <c r="M242" t="s">
        <v>70</v>
      </c>
      <c r="N242">
        <v>11</v>
      </c>
      <c r="O242">
        <v>2</v>
      </c>
      <c r="P242">
        <v>35</v>
      </c>
      <c r="Q242">
        <v>23.335999999999999</v>
      </c>
      <c r="R242" t="s">
        <v>26</v>
      </c>
      <c r="S242" t="b">
        <v>0</v>
      </c>
      <c r="T242" t="b">
        <v>0</v>
      </c>
    </row>
    <row r="243" spans="1:20" x14ac:dyDescent="0.3">
      <c r="A243" t="s">
        <v>560</v>
      </c>
      <c r="B243" s="1">
        <v>41373</v>
      </c>
      <c r="C243" s="1">
        <v>41377</v>
      </c>
      <c r="D243" t="s">
        <v>425</v>
      </c>
      <c r="E243" t="s">
        <v>22</v>
      </c>
      <c r="F243" t="s">
        <v>72</v>
      </c>
      <c r="G243" t="s">
        <v>561</v>
      </c>
      <c r="H243">
        <v>20.04</v>
      </c>
      <c r="I243">
        <v>3</v>
      </c>
      <c r="J243">
        <v>9.6191999999999993</v>
      </c>
      <c r="K243">
        <v>2013</v>
      </c>
      <c r="L243">
        <v>4</v>
      </c>
      <c r="M243" t="s">
        <v>236</v>
      </c>
      <c r="N243">
        <v>9</v>
      </c>
      <c r="O243">
        <v>4</v>
      </c>
      <c r="P243">
        <v>48</v>
      </c>
      <c r="Q243">
        <v>6.68</v>
      </c>
      <c r="R243" t="s">
        <v>26</v>
      </c>
      <c r="S243" t="b">
        <v>0</v>
      </c>
      <c r="T243" t="b">
        <v>0</v>
      </c>
    </row>
    <row r="244" spans="1:20" x14ac:dyDescent="0.3">
      <c r="A244" t="s">
        <v>560</v>
      </c>
      <c r="B244" s="1">
        <v>41373</v>
      </c>
      <c r="C244" s="1">
        <v>41377</v>
      </c>
      <c r="D244" t="s">
        <v>425</v>
      </c>
      <c r="E244" t="s">
        <v>22</v>
      </c>
      <c r="F244" t="s">
        <v>45</v>
      </c>
      <c r="G244" t="s">
        <v>562</v>
      </c>
      <c r="H244">
        <v>64.959999999999994</v>
      </c>
      <c r="I244">
        <v>2</v>
      </c>
      <c r="J244">
        <v>2.5983999999999998</v>
      </c>
      <c r="K244">
        <v>2013</v>
      </c>
      <c r="L244">
        <v>4</v>
      </c>
      <c r="M244" t="s">
        <v>236</v>
      </c>
      <c r="N244">
        <v>9</v>
      </c>
      <c r="O244">
        <v>4</v>
      </c>
      <c r="P244">
        <v>4</v>
      </c>
      <c r="Q244">
        <v>32.479999999999997</v>
      </c>
      <c r="R244" t="s">
        <v>26</v>
      </c>
      <c r="S244" t="b">
        <v>0</v>
      </c>
      <c r="T244" t="b">
        <v>0</v>
      </c>
    </row>
    <row r="245" spans="1:20" x14ac:dyDescent="0.3">
      <c r="A245" t="s">
        <v>560</v>
      </c>
      <c r="B245" s="1">
        <v>41373</v>
      </c>
      <c r="C245" s="1">
        <v>41377</v>
      </c>
      <c r="D245" t="s">
        <v>425</v>
      </c>
      <c r="E245" t="s">
        <v>22</v>
      </c>
      <c r="F245" t="s">
        <v>72</v>
      </c>
      <c r="G245" t="s">
        <v>563</v>
      </c>
      <c r="H245">
        <v>12.96</v>
      </c>
      <c r="I245">
        <v>2</v>
      </c>
      <c r="J245">
        <v>6.2207999999999997</v>
      </c>
      <c r="K245">
        <v>2013</v>
      </c>
      <c r="L245">
        <v>4</v>
      </c>
      <c r="M245" t="s">
        <v>236</v>
      </c>
      <c r="N245">
        <v>9</v>
      </c>
      <c r="O245">
        <v>4</v>
      </c>
      <c r="P245">
        <v>48</v>
      </c>
      <c r="Q245">
        <v>6.48</v>
      </c>
      <c r="R245" t="s">
        <v>26</v>
      </c>
      <c r="S245" t="b">
        <v>0</v>
      </c>
      <c r="T245" t="b">
        <v>0</v>
      </c>
    </row>
    <row r="246" spans="1:20" x14ac:dyDescent="0.3">
      <c r="A246" t="s">
        <v>564</v>
      </c>
      <c r="B246" s="1">
        <v>41949</v>
      </c>
      <c r="C246" s="1">
        <v>41950</v>
      </c>
      <c r="D246" t="s">
        <v>64</v>
      </c>
      <c r="E246" t="s">
        <v>565</v>
      </c>
      <c r="F246" t="s">
        <v>61</v>
      </c>
      <c r="G246" t="s">
        <v>566</v>
      </c>
      <c r="H246">
        <v>159.99</v>
      </c>
      <c r="I246">
        <v>1</v>
      </c>
      <c r="J246">
        <v>54.396599999999999</v>
      </c>
      <c r="K246">
        <v>2014</v>
      </c>
      <c r="L246">
        <v>11</v>
      </c>
      <c r="M246" t="s">
        <v>70</v>
      </c>
      <c r="N246">
        <v>6</v>
      </c>
      <c r="O246">
        <v>1</v>
      </c>
      <c r="P246">
        <v>34</v>
      </c>
      <c r="Q246">
        <v>159.99</v>
      </c>
      <c r="R246" t="s">
        <v>26</v>
      </c>
      <c r="S246" t="b">
        <v>0</v>
      </c>
      <c r="T246" t="b">
        <v>0</v>
      </c>
    </row>
    <row r="247" spans="1:20" x14ac:dyDescent="0.3">
      <c r="A247" t="s">
        <v>567</v>
      </c>
      <c r="B247" s="1">
        <v>41256</v>
      </c>
      <c r="C247" s="1">
        <v>41260</v>
      </c>
      <c r="D247" t="s">
        <v>568</v>
      </c>
      <c r="E247" t="s">
        <v>569</v>
      </c>
      <c r="F247" t="s">
        <v>72</v>
      </c>
      <c r="G247" t="s">
        <v>570</v>
      </c>
      <c r="H247">
        <v>12.96</v>
      </c>
      <c r="I247">
        <v>2</v>
      </c>
      <c r="J247">
        <v>6.2207999999999997</v>
      </c>
      <c r="K247">
        <v>2012</v>
      </c>
      <c r="L247">
        <v>12</v>
      </c>
      <c r="M247" t="s">
        <v>41</v>
      </c>
      <c r="N247">
        <v>13</v>
      </c>
      <c r="O247">
        <v>4</v>
      </c>
      <c r="P247">
        <v>48</v>
      </c>
      <c r="Q247">
        <v>6.48</v>
      </c>
      <c r="R247" t="s">
        <v>26</v>
      </c>
      <c r="S247" t="b">
        <v>0</v>
      </c>
      <c r="T247" t="b">
        <v>0</v>
      </c>
    </row>
    <row r="248" spans="1:20" x14ac:dyDescent="0.3">
      <c r="A248" t="s">
        <v>567</v>
      </c>
      <c r="B248" s="1">
        <v>41256</v>
      </c>
      <c r="C248" s="1">
        <v>41260</v>
      </c>
      <c r="D248" t="s">
        <v>568</v>
      </c>
      <c r="E248" t="s">
        <v>569</v>
      </c>
      <c r="F248" t="s">
        <v>35</v>
      </c>
      <c r="G248" t="s">
        <v>571</v>
      </c>
      <c r="H248">
        <v>134.47999999999999</v>
      </c>
      <c r="I248">
        <v>4</v>
      </c>
      <c r="J248">
        <v>34.964799999999997</v>
      </c>
      <c r="K248">
        <v>2012</v>
      </c>
      <c r="L248">
        <v>12</v>
      </c>
      <c r="M248" t="s">
        <v>41</v>
      </c>
      <c r="N248">
        <v>13</v>
      </c>
      <c r="O248">
        <v>4</v>
      </c>
      <c r="P248">
        <v>26</v>
      </c>
      <c r="Q248">
        <v>33.619999999999997</v>
      </c>
      <c r="R248" t="s">
        <v>26</v>
      </c>
      <c r="S248" t="b">
        <v>0</v>
      </c>
      <c r="T248" t="b">
        <v>0</v>
      </c>
    </row>
    <row r="249" spans="1:20" x14ac:dyDescent="0.3">
      <c r="A249" t="s">
        <v>572</v>
      </c>
      <c r="B249" s="1">
        <v>41445</v>
      </c>
      <c r="C249" s="1">
        <v>41446</v>
      </c>
      <c r="D249" t="s">
        <v>573</v>
      </c>
      <c r="E249" t="s">
        <v>51</v>
      </c>
      <c r="F249" t="s">
        <v>72</v>
      </c>
      <c r="G249" t="s">
        <v>574</v>
      </c>
      <c r="H249">
        <v>17.12</v>
      </c>
      <c r="I249">
        <v>2</v>
      </c>
      <c r="J249">
        <v>8.0464000000000002</v>
      </c>
      <c r="K249">
        <v>2013</v>
      </c>
      <c r="L249">
        <v>6</v>
      </c>
      <c r="M249" t="s">
        <v>25</v>
      </c>
      <c r="N249">
        <v>20</v>
      </c>
      <c r="O249">
        <v>1</v>
      </c>
      <c r="P249">
        <v>47</v>
      </c>
      <c r="Q249">
        <v>8.56</v>
      </c>
      <c r="R249" t="s">
        <v>48</v>
      </c>
      <c r="S249" t="b">
        <v>0</v>
      </c>
      <c r="T249" t="b">
        <v>0</v>
      </c>
    </row>
    <row r="250" spans="1:20" x14ac:dyDescent="0.3">
      <c r="A250" t="s">
        <v>575</v>
      </c>
      <c r="B250" s="1">
        <v>41622</v>
      </c>
      <c r="C250" s="1">
        <v>41629</v>
      </c>
      <c r="D250" t="s">
        <v>576</v>
      </c>
      <c r="E250" t="s">
        <v>577</v>
      </c>
      <c r="F250" t="s">
        <v>33</v>
      </c>
      <c r="G250" t="s">
        <v>578</v>
      </c>
      <c r="H250">
        <v>6.0960000000000001</v>
      </c>
      <c r="I250">
        <v>2</v>
      </c>
      <c r="J250">
        <v>2.2098</v>
      </c>
      <c r="K250">
        <v>2013</v>
      </c>
      <c r="L250">
        <v>12</v>
      </c>
      <c r="M250" t="s">
        <v>41</v>
      </c>
      <c r="N250">
        <v>14</v>
      </c>
      <c r="O250">
        <v>7</v>
      </c>
      <c r="P250">
        <v>36.25</v>
      </c>
      <c r="Q250">
        <v>3.048</v>
      </c>
      <c r="R250" t="s">
        <v>26</v>
      </c>
      <c r="S250" t="b">
        <v>0</v>
      </c>
      <c r="T250" t="b">
        <v>0</v>
      </c>
    </row>
    <row r="251" spans="1:20" x14ac:dyDescent="0.3">
      <c r="A251" t="s">
        <v>579</v>
      </c>
      <c r="B251" s="1">
        <v>41058</v>
      </c>
      <c r="C251" s="1">
        <v>41063</v>
      </c>
      <c r="D251" t="s">
        <v>580</v>
      </c>
      <c r="E251" t="s">
        <v>39</v>
      </c>
      <c r="F251" t="s">
        <v>72</v>
      </c>
      <c r="G251" t="s">
        <v>415</v>
      </c>
      <c r="H251">
        <v>32.4</v>
      </c>
      <c r="I251">
        <v>5</v>
      </c>
      <c r="J251">
        <v>15.552</v>
      </c>
      <c r="K251">
        <v>2012</v>
      </c>
      <c r="L251">
        <v>5</v>
      </c>
      <c r="M251" t="s">
        <v>47</v>
      </c>
      <c r="N251">
        <v>29</v>
      </c>
      <c r="O251">
        <v>5</v>
      </c>
      <c r="P251">
        <v>48</v>
      </c>
      <c r="Q251">
        <v>6.48</v>
      </c>
      <c r="R251" t="s">
        <v>26</v>
      </c>
      <c r="S251" t="b">
        <v>0</v>
      </c>
      <c r="T251" t="b">
        <v>0</v>
      </c>
    </row>
    <row r="252" spans="1:20" x14ac:dyDescent="0.3">
      <c r="A252" t="s">
        <v>579</v>
      </c>
      <c r="B252" s="1">
        <v>41058</v>
      </c>
      <c r="C252" s="1">
        <v>41063</v>
      </c>
      <c r="D252" t="s">
        <v>580</v>
      </c>
      <c r="E252" t="s">
        <v>39</v>
      </c>
      <c r="F252" t="s">
        <v>33</v>
      </c>
      <c r="G252" t="s">
        <v>581</v>
      </c>
      <c r="H252">
        <v>167.76</v>
      </c>
      <c r="I252">
        <v>5</v>
      </c>
      <c r="J252">
        <v>62.91</v>
      </c>
      <c r="K252">
        <v>2012</v>
      </c>
      <c r="L252">
        <v>5</v>
      </c>
      <c r="M252" t="s">
        <v>47</v>
      </c>
      <c r="N252">
        <v>29</v>
      </c>
      <c r="O252">
        <v>5</v>
      </c>
      <c r="P252">
        <v>37.5</v>
      </c>
      <c r="Q252">
        <v>33.552</v>
      </c>
      <c r="R252" t="s">
        <v>26</v>
      </c>
      <c r="S252" t="b">
        <v>0</v>
      </c>
      <c r="T252" t="b">
        <v>0</v>
      </c>
    </row>
    <row r="253" spans="1:20" x14ac:dyDescent="0.3">
      <c r="A253" t="s">
        <v>582</v>
      </c>
      <c r="B253" s="1">
        <v>41116</v>
      </c>
      <c r="C253" s="1">
        <v>41118</v>
      </c>
      <c r="D253" t="s">
        <v>583</v>
      </c>
      <c r="E253" t="s">
        <v>368</v>
      </c>
      <c r="F253" t="s">
        <v>174</v>
      </c>
      <c r="G253" t="s">
        <v>584</v>
      </c>
      <c r="H253">
        <v>393.16500000000002</v>
      </c>
      <c r="I253">
        <v>3</v>
      </c>
      <c r="J253">
        <v>-204.44579999999999</v>
      </c>
      <c r="K253">
        <v>2012</v>
      </c>
      <c r="L253">
        <v>7</v>
      </c>
      <c r="M253" t="s">
        <v>66</v>
      </c>
      <c r="N253">
        <v>26</v>
      </c>
      <c r="O253">
        <v>2</v>
      </c>
      <c r="P253">
        <v>-52</v>
      </c>
      <c r="Q253">
        <v>131.05500000000001</v>
      </c>
      <c r="R253" t="s">
        <v>48</v>
      </c>
      <c r="S253" t="b">
        <v>1</v>
      </c>
      <c r="T253" t="b">
        <v>1</v>
      </c>
    </row>
    <row r="254" spans="1:20" x14ac:dyDescent="0.3">
      <c r="A254" t="s">
        <v>585</v>
      </c>
      <c r="B254" s="1">
        <v>41775</v>
      </c>
      <c r="C254" s="1">
        <v>41778</v>
      </c>
      <c r="D254" t="s">
        <v>586</v>
      </c>
      <c r="E254" t="s">
        <v>105</v>
      </c>
      <c r="F254" t="s">
        <v>54</v>
      </c>
      <c r="G254" t="s">
        <v>587</v>
      </c>
      <c r="H254">
        <v>29.591999999999999</v>
      </c>
      <c r="I254">
        <v>1</v>
      </c>
      <c r="J254">
        <v>2.5893000000000002</v>
      </c>
      <c r="K254">
        <v>2014</v>
      </c>
      <c r="L254">
        <v>5</v>
      </c>
      <c r="M254" t="s">
        <v>47</v>
      </c>
      <c r="N254">
        <v>16</v>
      </c>
      <c r="O254">
        <v>3</v>
      </c>
      <c r="P254">
        <v>8.75</v>
      </c>
      <c r="Q254">
        <v>29.591999999999999</v>
      </c>
      <c r="R254" t="s">
        <v>26</v>
      </c>
      <c r="S254" t="b">
        <v>0</v>
      </c>
      <c r="T254" t="b">
        <v>0</v>
      </c>
    </row>
    <row r="255" spans="1:20" x14ac:dyDescent="0.3">
      <c r="A255" t="s">
        <v>585</v>
      </c>
      <c r="B255" s="1">
        <v>41775</v>
      </c>
      <c r="C255" s="1">
        <v>41778</v>
      </c>
      <c r="D255" t="s">
        <v>586</v>
      </c>
      <c r="E255" t="s">
        <v>105</v>
      </c>
      <c r="F255" t="s">
        <v>33</v>
      </c>
      <c r="G255" t="s">
        <v>588</v>
      </c>
      <c r="H255">
        <v>4.7519999999999998</v>
      </c>
      <c r="I255">
        <v>2</v>
      </c>
      <c r="J255">
        <v>-3.1680000000000001</v>
      </c>
      <c r="K255">
        <v>2014</v>
      </c>
      <c r="L255">
        <v>5</v>
      </c>
      <c r="M255" t="s">
        <v>47</v>
      </c>
      <c r="N255">
        <v>16</v>
      </c>
      <c r="O255">
        <v>3</v>
      </c>
      <c r="P255">
        <v>-66.67</v>
      </c>
      <c r="Q255">
        <v>2.3759999999999999</v>
      </c>
      <c r="R255" t="s">
        <v>26</v>
      </c>
      <c r="S255" t="b">
        <v>1</v>
      </c>
      <c r="T255" t="b">
        <v>0</v>
      </c>
    </row>
    <row r="256" spans="1:20" x14ac:dyDescent="0.3">
      <c r="A256" t="s">
        <v>585</v>
      </c>
      <c r="B256" s="1">
        <v>41775</v>
      </c>
      <c r="C256" s="1">
        <v>41778</v>
      </c>
      <c r="D256" t="s">
        <v>586</v>
      </c>
      <c r="E256" t="s">
        <v>105</v>
      </c>
      <c r="F256" t="s">
        <v>72</v>
      </c>
      <c r="G256" t="s">
        <v>589</v>
      </c>
      <c r="H256">
        <v>15.552</v>
      </c>
      <c r="I256">
        <v>3</v>
      </c>
      <c r="J256">
        <v>5.6375999999999999</v>
      </c>
      <c r="K256">
        <v>2014</v>
      </c>
      <c r="L256">
        <v>5</v>
      </c>
      <c r="M256" t="s">
        <v>47</v>
      </c>
      <c r="N256">
        <v>16</v>
      </c>
      <c r="O256">
        <v>3</v>
      </c>
      <c r="P256">
        <v>36.25</v>
      </c>
      <c r="Q256">
        <v>5.1840000000000002</v>
      </c>
      <c r="R256" t="s">
        <v>26</v>
      </c>
      <c r="S256" t="b">
        <v>0</v>
      </c>
      <c r="T256" t="b">
        <v>0</v>
      </c>
    </row>
    <row r="257" spans="1:20" x14ac:dyDescent="0.3">
      <c r="A257" t="s">
        <v>590</v>
      </c>
      <c r="B257" s="1">
        <v>41174</v>
      </c>
      <c r="C257" s="1">
        <v>41174</v>
      </c>
      <c r="D257" t="s">
        <v>591</v>
      </c>
      <c r="E257" t="s">
        <v>592</v>
      </c>
      <c r="F257" t="s">
        <v>29</v>
      </c>
      <c r="G257" t="s">
        <v>593</v>
      </c>
      <c r="H257">
        <v>204.6</v>
      </c>
      <c r="I257">
        <v>2</v>
      </c>
      <c r="J257">
        <v>53.195999999999998</v>
      </c>
      <c r="K257">
        <v>2012</v>
      </c>
      <c r="L257">
        <v>9</v>
      </c>
      <c r="M257" t="s">
        <v>87</v>
      </c>
      <c r="N257">
        <v>22</v>
      </c>
      <c r="O257">
        <v>0</v>
      </c>
      <c r="P257">
        <v>26</v>
      </c>
      <c r="Q257">
        <v>102.3</v>
      </c>
      <c r="R257" t="s">
        <v>48</v>
      </c>
      <c r="S257" t="b">
        <v>0</v>
      </c>
      <c r="T257" t="b">
        <v>0</v>
      </c>
    </row>
    <row r="258" spans="1:20" x14ac:dyDescent="0.3">
      <c r="A258" t="s">
        <v>594</v>
      </c>
      <c r="B258" s="1">
        <v>41958</v>
      </c>
      <c r="C258" s="1">
        <v>41963</v>
      </c>
      <c r="D258" t="s">
        <v>595</v>
      </c>
      <c r="E258" t="s">
        <v>51</v>
      </c>
      <c r="F258" t="s">
        <v>110</v>
      </c>
      <c r="G258" t="s">
        <v>191</v>
      </c>
      <c r="H258">
        <v>321.56799999999998</v>
      </c>
      <c r="I258">
        <v>2</v>
      </c>
      <c r="J258">
        <v>28.1372</v>
      </c>
      <c r="K258">
        <v>2014</v>
      </c>
      <c r="L258">
        <v>11</v>
      </c>
      <c r="M258" t="s">
        <v>70</v>
      </c>
      <c r="N258">
        <v>15</v>
      </c>
      <c r="O258">
        <v>5</v>
      </c>
      <c r="P258">
        <v>8.75</v>
      </c>
      <c r="Q258">
        <v>160.78399999999999</v>
      </c>
      <c r="R258" t="s">
        <v>26</v>
      </c>
      <c r="S258" t="b">
        <v>0</v>
      </c>
      <c r="T258" t="b">
        <v>1</v>
      </c>
    </row>
    <row r="259" spans="1:20" x14ac:dyDescent="0.3">
      <c r="A259" t="s">
        <v>596</v>
      </c>
      <c r="B259" s="1">
        <v>41519</v>
      </c>
      <c r="C259" s="1">
        <v>41522</v>
      </c>
      <c r="D259" t="s">
        <v>597</v>
      </c>
      <c r="E259" t="s">
        <v>51</v>
      </c>
      <c r="F259" t="s">
        <v>128</v>
      </c>
      <c r="G259" t="s">
        <v>598</v>
      </c>
      <c r="H259">
        <v>21.88</v>
      </c>
      <c r="I259">
        <v>2</v>
      </c>
      <c r="J259">
        <v>10.94</v>
      </c>
      <c r="K259">
        <v>2013</v>
      </c>
      <c r="L259">
        <v>9</v>
      </c>
      <c r="M259" t="s">
        <v>87</v>
      </c>
      <c r="N259">
        <v>2</v>
      </c>
      <c r="O259">
        <v>3</v>
      </c>
      <c r="P259">
        <v>50</v>
      </c>
      <c r="Q259">
        <v>10.94</v>
      </c>
      <c r="R259" t="s">
        <v>26</v>
      </c>
      <c r="S259" t="b">
        <v>0</v>
      </c>
      <c r="T259" t="b">
        <v>0</v>
      </c>
    </row>
    <row r="260" spans="1:20" x14ac:dyDescent="0.3">
      <c r="A260" t="s">
        <v>599</v>
      </c>
      <c r="B260" s="1">
        <v>41830</v>
      </c>
      <c r="C260" s="1">
        <v>41836</v>
      </c>
      <c r="D260" t="s">
        <v>600</v>
      </c>
      <c r="E260" t="s">
        <v>92</v>
      </c>
      <c r="F260" t="s">
        <v>33</v>
      </c>
      <c r="G260" t="s">
        <v>601</v>
      </c>
      <c r="H260">
        <v>1.08</v>
      </c>
      <c r="I260">
        <v>2</v>
      </c>
      <c r="J260">
        <v>-0.79200000000000004</v>
      </c>
      <c r="K260">
        <v>2014</v>
      </c>
      <c r="L260">
        <v>7</v>
      </c>
      <c r="M260" t="s">
        <v>66</v>
      </c>
      <c r="N260">
        <v>10</v>
      </c>
      <c r="O260">
        <v>6</v>
      </c>
      <c r="P260">
        <v>-73.33</v>
      </c>
      <c r="Q260">
        <v>0.54</v>
      </c>
      <c r="R260" t="s">
        <v>26</v>
      </c>
      <c r="S260" t="b">
        <v>1</v>
      </c>
      <c r="T260" t="b">
        <v>0</v>
      </c>
    </row>
    <row r="261" spans="1:20" x14ac:dyDescent="0.3">
      <c r="A261" t="s">
        <v>602</v>
      </c>
      <c r="B261" s="1">
        <v>40858</v>
      </c>
      <c r="C261" s="1">
        <v>40861</v>
      </c>
      <c r="D261" t="s">
        <v>603</v>
      </c>
      <c r="E261" t="s">
        <v>297</v>
      </c>
      <c r="F261" t="s">
        <v>31</v>
      </c>
      <c r="G261" t="s">
        <v>604</v>
      </c>
      <c r="H261">
        <v>3.3919999999999999</v>
      </c>
      <c r="I261">
        <v>1</v>
      </c>
      <c r="J261">
        <v>0.80559999999999998</v>
      </c>
      <c r="K261">
        <v>2011</v>
      </c>
      <c r="L261">
        <v>11</v>
      </c>
      <c r="M261" t="s">
        <v>70</v>
      </c>
      <c r="N261">
        <v>11</v>
      </c>
      <c r="O261">
        <v>3</v>
      </c>
      <c r="P261">
        <v>23.75</v>
      </c>
      <c r="Q261">
        <v>3.3919999999999999</v>
      </c>
      <c r="R261" t="s">
        <v>26</v>
      </c>
      <c r="S261" t="b">
        <v>0</v>
      </c>
      <c r="T261" t="b">
        <v>0</v>
      </c>
    </row>
    <row r="262" spans="1:20" x14ac:dyDescent="0.3">
      <c r="A262" t="s">
        <v>605</v>
      </c>
      <c r="B262" s="1">
        <v>41513</v>
      </c>
      <c r="C262" s="1">
        <v>41514</v>
      </c>
      <c r="D262" t="s">
        <v>606</v>
      </c>
      <c r="E262" t="s">
        <v>139</v>
      </c>
      <c r="F262" t="s">
        <v>119</v>
      </c>
      <c r="G262" t="s">
        <v>607</v>
      </c>
      <c r="H262">
        <v>10.23</v>
      </c>
      <c r="I262">
        <v>3</v>
      </c>
      <c r="J262">
        <v>4.9104000000000001</v>
      </c>
      <c r="K262">
        <v>2013</v>
      </c>
      <c r="L262">
        <v>8</v>
      </c>
      <c r="M262" t="s">
        <v>53</v>
      </c>
      <c r="N262">
        <v>27</v>
      </c>
      <c r="O262">
        <v>1</v>
      </c>
      <c r="P262">
        <v>48</v>
      </c>
      <c r="Q262">
        <v>3.41</v>
      </c>
      <c r="R262" t="s">
        <v>26</v>
      </c>
      <c r="S262" t="b">
        <v>0</v>
      </c>
      <c r="T262" t="b">
        <v>0</v>
      </c>
    </row>
    <row r="263" spans="1:20" x14ac:dyDescent="0.3">
      <c r="A263" t="s">
        <v>605</v>
      </c>
      <c r="B263" s="1">
        <v>41513</v>
      </c>
      <c r="C263" s="1">
        <v>41514</v>
      </c>
      <c r="D263" t="s">
        <v>606</v>
      </c>
      <c r="E263" t="s">
        <v>139</v>
      </c>
      <c r="F263" t="s">
        <v>72</v>
      </c>
      <c r="G263" t="s">
        <v>608</v>
      </c>
      <c r="H263">
        <v>154.9</v>
      </c>
      <c r="I263">
        <v>5</v>
      </c>
      <c r="J263">
        <v>69.704999999999998</v>
      </c>
      <c r="K263">
        <v>2013</v>
      </c>
      <c r="L263">
        <v>8</v>
      </c>
      <c r="M263" t="s">
        <v>53</v>
      </c>
      <c r="N263">
        <v>27</v>
      </c>
      <c r="O263">
        <v>1</v>
      </c>
      <c r="P263">
        <v>45</v>
      </c>
      <c r="Q263">
        <v>30.98</v>
      </c>
      <c r="R263" t="s">
        <v>26</v>
      </c>
      <c r="S263" t="b">
        <v>0</v>
      </c>
      <c r="T263" t="b">
        <v>0</v>
      </c>
    </row>
    <row r="264" spans="1:20" x14ac:dyDescent="0.3">
      <c r="A264" t="s">
        <v>609</v>
      </c>
      <c r="B264" s="1">
        <v>41592</v>
      </c>
      <c r="C264" s="1">
        <v>41596</v>
      </c>
      <c r="D264" t="s">
        <v>165</v>
      </c>
      <c r="E264" t="s">
        <v>450</v>
      </c>
      <c r="F264" t="s">
        <v>31</v>
      </c>
      <c r="G264" t="s">
        <v>610</v>
      </c>
      <c r="H264">
        <v>44.02</v>
      </c>
      <c r="I264">
        <v>2</v>
      </c>
      <c r="J264">
        <v>11.4452</v>
      </c>
      <c r="K264">
        <v>2013</v>
      </c>
      <c r="L264">
        <v>11</v>
      </c>
      <c r="M264" t="s">
        <v>70</v>
      </c>
      <c r="N264">
        <v>14</v>
      </c>
      <c r="O264">
        <v>4</v>
      </c>
      <c r="P264">
        <v>26</v>
      </c>
      <c r="Q264">
        <v>22.01</v>
      </c>
      <c r="R264" t="s">
        <v>26</v>
      </c>
      <c r="S264" t="b">
        <v>0</v>
      </c>
      <c r="T264" t="b">
        <v>0</v>
      </c>
    </row>
    <row r="265" spans="1:20" x14ac:dyDescent="0.3">
      <c r="A265" t="s">
        <v>611</v>
      </c>
      <c r="B265" s="1">
        <v>41148</v>
      </c>
      <c r="C265" s="1">
        <v>41152</v>
      </c>
      <c r="D265" t="s">
        <v>612</v>
      </c>
      <c r="E265" t="s">
        <v>613</v>
      </c>
      <c r="F265" t="s">
        <v>45</v>
      </c>
      <c r="G265" t="s">
        <v>614</v>
      </c>
      <c r="H265">
        <v>484.65</v>
      </c>
      <c r="I265">
        <v>3</v>
      </c>
      <c r="J265">
        <v>92.083500000000001</v>
      </c>
      <c r="K265">
        <v>2012</v>
      </c>
      <c r="L265">
        <v>8</v>
      </c>
      <c r="M265" t="s">
        <v>53</v>
      </c>
      <c r="N265">
        <v>27</v>
      </c>
      <c r="O265">
        <v>4</v>
      </c>
      <c r="P265">
        <v>19</v>
      </c>
      <c r="Q265">
        <v>161.55000000000001</v>
      </c>
      <c r="R265" t="s">
        <v>26</v>
      </c>
      <c r="S265" t="b">
        <v>0</v>
      </c>
      <c r="T265" t="b">
        <v>1</v>
      </c>
    </row>
    <row r="266" spans="1:20" x14ac:dyDescent="0.3">
      <c r="A266" t="s">
        <v>615</v>
      </c>
      <c r="B266" s="1">
        <v>41219</v>
      </c>
      <c r="C266" s="1">
        <v>41222</v>
      </c>
      <c r="D266" t="s">
        <v>616</v>
      </c>
      <c r="E266" t="s">
        <v>133</v>
      </c>
      <c r="F266" t="s">
        <v>128</v>
      </c>
      <c r="G266" t="s">
        <v>617</v>
      </c>
      <c r="H266">
        <v>7.08</v>
      </c>
      <c r="I266">
        <v>3</v>
      </c>
      <c r="J266">
        <v>2.4780000000000002</v>
      </c>
      <c r="K266">
        <v>2012</v>
      </c>
      <c r="L266">
        <v>11</v>
      </c>
      <c r="M266" t="s">
        <v>70</v>
      </c>
      <c r="N266">
        <v>6</v>
      </c>
      <c r="O266">
        <v>3</v>
      </c>
      <c r="P266">
        <v>35</v>
      </c>
      <c r="Q266">
        <v>2.36</v>
      </c>
      <c r="R266" t="s">
        <v>26</v>
      </c>
      <c r="S266" t="b">
        <v>0</v>
      </c>
      <c r="T266" t="b">
        <v>0</v>
      </c>
    </row>
    <row r="267" spans="1:20" x14ac:dyDescent="0.3">
      <c r="A267" t="s">
        <v>615</v>
      </c>
      <c r="B267" s="1">
        <v>41219</v>
      </c>
      <c r="C267" s="1">
        <v>41222</v>
      </c>
      <c r="D267" t="s">
        <v>616</v>
      </c>
      <c r="E267" t="s">
        <v>133</v>
      </c>
      <c r="F267" t="s">
        <v>33</v>
      </c>
      <c r="G267" t="s">
        <v>618</v>
      </c>
      <c r="H267">
        <v>4.4009999999999998</v>
      </c>
      <c r="I267">
        <v>3</v>
      </c>
      <c r="J267">
        <v>-3.5207999999999999</v>
      </c>
      <c r="K267">
        <v>2012</v>
      </c>
      <c r="L267">
        <v>11</v>
      </c>
      <c r="M267" t="s">
        <v>70</v>
      </c>
      <c r="N267">
        <v>6</v>
      </c>
      <c r="O267">
        <v>3</v>
      </c>
      <c r="P267">
        <v>-80</v>
      </c>
      <c r="Q267">
        <v>1.4670000000000001</v>
      </c>
      <c r="R267" t="s">
        <v>26</v>
      </c>
      <c r="S267" t="b">
        <v>1</v>
      </c>
      <c r="T267" t="b">
        <v>0</v>
      </c>
    </row>
    <row r="268" spans="1:20" x14ac:dyDescent="0.3">
      <c r="A268" t="s">
        <v>619</v>
      </c>
      <c r="B268" s="1">
        <v>40871</v>
      </c>
      <c r="C268" s="1">
        <v>40873</v>
      </c>
      <c r="D268" t="s">
        <v>620</v>
      </c>
      <c r="E268" t="s">
        <v>194</v>
      </c>
      <c r="F268" t="s">
        <v>29</v>
      </c>
      <c r="G268" t="s">
        <v>621</v>
      </c>
      <c r="H268">
        <v>151.72</v>
      </c>
      <c r="I268">
        <v>4</v>
      </c>
      <c r="J268">
        <v>27.3096</v>
      </c>
      <c r="K268">
        <v>2011</v>
      </c>
      <c r="L268">
        <v>11</v>
      </c>
      <c r="M268" t="s">
        <v>70</v>
      </c>
      <c r="N268">
        <v>24</v>
      </c>
      <c r="O268">
        <v>2</v>
      </c>
      <c r="P268">
        <v>18</v>
      </c>
      <c r="Q268">
        <v>37.93</v>
      </c>
      <c r="R268" t="s">
        <v>26</v>
      </c>
      <c r="S268" t="b">
        <v>0</v>
      </c>
      <c r="T268" t="b">
        <v>0</v>
      </c>
    </row>
    <row r="269" spans="1:20" x14ac:dyDescent="0.3">
      <c r="A269" t="s">
        <v>622</v>
      </c>
      <c r="B269" s="1">
        <v>41808</v>
      </c>
      <c r="C269" s="1">
        <v>41812</v>
      </c>
      <c r="D269" t="s">
        <v>623</v>
      </c>
      <c r="E269" t="s">
        <v>624</v>
      </c>
      <c r="F269" t="s">
        <v>29</v>
      </c>
      <c r="G269" t="s">
        <v>625</v>
      </c>
      <c r="H269">
        <v>155.25</v>
      </c>
      <c r="I269">
        <v>3</v>
      </c>
      <c r="J269">
        <v>46.575000000000003</v>
      </c>
      <c r="K269">
        <v>2014</v>
      </c>
      <c r="L269">
        <v>6</v>
      </c>
      <c r="M269" t="s">
        <v>25</v>
      </c>
      <c r="N269">
        <v>18</v>
      </c>
      <c r="O269">
        <v>4</v>
      </c>
      <c r="P269">
        <v>30</v>
      </c>
      <c r="Q269">
        <v>51.75</v>
      </c>
      <c r="R269" t="s">
        <v>26</v>
      </c>
      <c r="S269" t="b">
        <v>0</v>
      </c>
      <c r="T269" t="b">
        <v>0</v>
      </c>
    </row>
    <row r="270" spans="1:20" x14ac:dyDescent="0.3">
      <c r="A270" t="s">
        <v>622</v>
      </c>
      <c r="B270" s="1">
        <v>41808</v>
      </c>
      <c r="C270" s="1">
        <v>41812</v>
      </c>
      <c r="D270" t="s">
        <v>623</v>
      </c>
      <c r="E270" t="s">
        <v>624</v>
      </c>
      <c r="F270" t="s">
        <v>45</v>
      </c>
      <c r="G270" t="s">
        <v>626</v>
      </c>
      <c r="H270">
        <v>14.03</v>
      </c>
      <c r="I270">
        <v>1</v>
      </c>
      <c r="J270">
        <v>4.0686999999999998</v>
      </c>
      <c r="K270">
        <v>2014</v>
      </c>
      <c r="L270">
        <v>6</v>
      </c>
      <c r="M270" t="s">
        <v>25</v>
      </c>
      <c r="N270">
        <v>18</v>
      </c>
      <c r="O270">
        <v>4</v>
      </c>
      <c r="P270">
        <v>29</v>
      </c>
      <c r="Q270">
        <v>14.03</v>
      </c>
      <c r="R270" t="s">
        <v>26</v>
      </c>
      <c r="S270" t="b">
        <v>0</v>
      </c>
      <c r="T270" t="b">
        <v>0</v>
      </c>
    </row>
    <row r="271" spans="1:20" x14ac:dyDescent="0.3">
      <c r="A271" t="s">
        <v>627</v>
      </c>
      <c r="B271" s="1">
        <v>41264</v>
      </c>
      <c r="C271" s="1">
        <v>41267</v>
      </c>
      <c r="D271" t="s">
        <v>628</v>
      </c>
      <c r="E271" t="s">
        <v>39</v>
      </c>
      <c r="F271" t="s">
        <v>61</v>
      </c>
      <c r="G271" t="s">
        <v>629</v>
      </c>
      <c r="H271">
        <v>99.6</v>
      </c>
      <c r="I271">
        <v>1</v>
      </c>
      <c r="J271">
        <v>36.851999999999997</v>
      </c>
      <c r="K271">
        <v>2012</v>
      </c>
      <c r="L271">
        <v>12</v>
      </c>
      <c r="M271" t="s">
        <v>41</v>
      </c>
      <c r="N271">
        <v>21</v>
      </c>
      <c r="O271">
        <v>3</v>
      </c>
      <c r="P271">
        <v>37</v>
      </c>
      <c r="Q271">
        <v>99.6</v>
      </c>
      <c r="R271" t="s">
        <v>26</v>
      </c>
      <c r="S271" t="b">
        <v>0</v>
      </c>
      <c r="T271" t="b">
        <v>0</v>
      </c>
    </row>
    <row r="272" spans="1:20" x14ac:dyDescent="0.3">
      <c r="A272" t="s">
        <v>630</v>
      </c>
      <c r="B272" s="1">
        <v>41169</v>
      </c>
      <c r="C272" s="1">
        <v>41171</v>
      </c>
      <c r="D272" t="s">
        <v>631</v>
      </c>
      <c r="E272" t="s">
        <v>22</v>
      </c>
      <c r="F272" t="s">
        <v>72</v>
      </c>
      <c r="G272" t="s">
        <v>213</v>
      </c>
      <c r="H272">
        <v>32.4</v>
      </c>
      <c r="I272">
        <v>5</v>
      </c>
      <c r="J272">
        <v>15.552</v>
      </c>
      <c r="K272">
        <v>2012</v>
      </c>
      <c r="L272">
        <v>9</v>
      </c>
      <c r="M272" t="s">
        <v>87</v>
      </c>
      <c r="N272">
        <v>17</v>
      </c>
      <c r="O272">
        <v>2</v>
      </c>
      <c r="P272">
        <v>48</v>
      </c>
      <c r="Q272">
        <v>6.48</v>
      </c>
      <c r="R272" t="s">
        <v>26</v>
      </c>
      <c r="S272" t="b">
        <v>0</v>
      </c>
      <c r="T272" t="b">
        <v>0</v>
      </c>
    </row>
    <row r="273" spans="1:20" x14ac:dyDescent="0.3">
      <c r="A273" t="s">
        <v>632</v>
      </c>
      <c r="B273" s="1">
        <v>41991</v>
      </c>
      <c r="C273" s="1">
        <v>41994</v>
      </c>
      <c r="D273" t="s">
        <v>633</v>
      </c>
      <c r="E273" t="s">
        <v>22</v>
      </c>
      <c r="F273" t="s">
        <v>33</v>
      </c>
      <c r="G273" t="s">
        <v>634</v>
      </c>
      <c r="H273">
        <v>11.808</v>
      </c>
      <c r="I273">
        <v>2</v>
      </c>
      <c r="J273">
        <v>4.2804000000000002</v>
      </c>
      <c r="K273">
        <v>2014</v>
      </c>
      <c r="L273">
        <v>12</v>
      </c>
      <c r="M273" t="s">
        <v>41</v>
      </c>
      <c r="N273">
        <v>18</v>
      </c>
      <c r="O273">
        <v>3</v>
      </c>
      <c r="P273">
        <v>36.25</v>
      </c>
      <c r="Q273">
        <v>5.9039999999999999</v>
      </c>
      <c r="R273" t="s">
        <v>48</v>
      </c>
      <c r="S273" t="b">
        <v>0</v>
      </c>
      <c r="T273" t="b">
        <v>0</v>
      </c>
    </row>
    <row r="274" spans="1:20" x14ac:dyDescent="0.3">
      <c r="A274" t="s">
        <v>635</v>
      </c>
      <c r="B274" s="1">
        <v>41073</v>
      </c>
      <c r="C274" s="1">
        <v>41074</v>
      </c>
      <c r="D274" t="s">
        <v>636</v>
      </c>
      <c r="E274" t="s">
        <v>22</v>
      </c>
      <c r="F274" t="s">
        <v>33</v>
      </c>
      <c r="G274" t="s">
        <v>637</v>
      </c>
      <c r="H274">
        <v>36.624000000000002</v>
      </c>
      <c r="I274">
        <v>3</v>
      </c>
      <c r="J274">
        <v>13.734</v>
      </c>
      <c r="K274">
        <v>2012</v>
      </c>
      <c r="L274">
        <v>6</v>
      </c>
      <c r="M274" t="s">
        <v>25</v>
      </c>
      <c r="N274">
        <v>13</v>
      </c>
      <c r="O274">
        <v>1</v>
      </c>
      <c r="P274">
        <v>37.5</v>
      </c>
      <c r="Q274">
        <v>12.208</v>
      </c>
      <c r="R274" t="s">
        <v>48</v>
      </c>
      <c r="S274" t="b">
        <v>0</v>
      </c>
      <c r="T274" t="b">
        <v>0</v>
      </c>
    </row>
    <row r="275" spans="1:20" x14ac:dyDescent="0.3">
      <c r="A275" t="s">
        <v>638</v>
      </c>
      <c r="B275" s="1">
        <v>40690</v>
      </c>
      <c r="C275" s="1">
        <v>40695</v>
      </c>
      <c r="D275" t="s">
        <v>114</v>
      </c>
      <c r="E275" t="s">
        <v>51</v>
      </c>
      <c r="F275" t="s">
        <v>61</v>
      </c>
      <c r="G275" t="s">
        <v>639</v>
      </c>
      <c r="H275">
        <v>99.99</v>
      </c>
      <c r="I275">
        <v>1</v>
      </c>
      <c r="J275">
        <v>37.996200000000002</v>
      </c>
      <c r="K275">
        <v>2011</v>
      </c>
      <c r="L275">
        <v>5</v>
      </c>
      <c r="M275" t="s">
        <v>47</v>
      </c>
      <c r="N275">
        <v>27</v>
      </c>
      <c r="O275">
        <v>5</v>
      </c>
      <c r="P275">
        <v>38</v>
      </c>
      <c r="Q275">
        <v>99.99</v>
      </c>
      <c r="R275" t="s">
        <v>26</v>
      </c>
      <c r="S275" t="b">
        <v>0</v>
      </c>
      <c r="T275" t="b">
        <v>0</v>
      </c>
    </row>
    <row r="276" spans="1:20" x14ac:dyDescent="0.3">
      <c r="A276" t="s">
        <v>640</v>
      </c>
      <c r="B276" s="1">
        <v>41984</v>
      </c>
      <c r="C276" s="1">
        <v>41991</v>
      </c>
      <c r="D276" t="s">
        <v>223</v>
      </c>
      <c r="E276" t="s">
        <v>194</v>
      </c>
      <c r="F276" t="s">
        <v>33</v>
      </c>
      <c r="G276" t="s">
        <v>641</v>
      </c>
      <c r="H276">
        <v>19.936</v>
      </c>
      <c r="I276">
        <v>4</v>
      </c>
      <c r="J276">
        <v>7.2267999999999999</v>
      </c>
      <c r="K276">
        <v>2014</v>
      </c>
      <c r="L276">
        <v>12</v>
      </c>
      <c r="M276" t="s">
        <v>41</v>
      </c>
      <c r="N276">
        <v>11</v>
      </c>
      <c r="O276">
        <v>7</v>
      </c>
      <c r="P276">
        <v>36.25</v>
      </c>
      <c r="Q276">
        <v>4.984</v>
      </c>
      <c r="R276" t="s">
        <v>26</v>
      </c>
      <c r="S276" t="b">
        <v>0</v>
      </c>
      <c r="T276" t="b">
        <v>0</v>
      </c>
    </row>
    <row r="277" spans="1:20" x14ac:dyDescent="0.3">
      <c r="A277" t="s">
        <v>640</v>
      </c>
      <c r="B277" s="1">
        <v>41984</v>
      </c>
      <c r="C277" s="1">
        <v>41991</v>
      </c>
      <c r="D277" t="s">
        <v>223</v>
      </c>
      <c r="E277" t="s">
        <v>194</v>
      </c>
      <c r="F277" t="s">
        <v>33</v>
      </c>
      <c r="G277" t="s">
        <v>642</v>
      </c>
      <c r="H277">
        <v>65.567999999999998</v>
      </c>
      <c r="I277">
        <v>2</v>
      </c>
      <c r="J277">
        <v>22.948799999999999</v>
      </c>
      <c r="K277">
        <v>2014</v>
      </c>
      <c r="L277">
        <v>12</v>
      </c>
      <c r="M277" t="s">
        <v>41</v>
      </c>
      <c r="N277">
        <v>11</v>
      </c>
      <c r="O277">
        <v>7</v>
      </c>
      <c r="P277">
        <v>35</v>
      </c>
      <c r="Q277">
        <v>32.783999999999999</v>
      </c>
      <c r="R277" t="s">
        <v>26</v>
      </c>
      <c r="S277" t="b">
        <v>0</v>
      </c>
      <c r="T277" t="b">
        <v>0</v>
      </c>
    </row>
    <row r="278" spans="1:20" x14ac:dyDescent="0.3">
      <c r="A278" t="s">
        <v>643</v>
      </c>
      <c r="B278" s="1">
        <v>41549</v>
      </c>
      <c r="C278" s="1">
        <v>41550</v>
      </c>
      <c r="D278" t="s">
        <v>644</v>
      </c>
      <c r="E278" t="s">
        <v>51</v>
      </c>
      <c r="F278" t="s">
        <v>110</v>
      </c>
      <c r="G278" t="s">
        <v>645</v>
      </c>
      <c r="H278">
        <v>194.84800000000001</v>
      </c>
      <c r="I278">
        <v>4</v>
      </c>
      <c r="J278">
        <v>12.178000000000001</v>
      </c>
      <c r="K278">
        <v>2013</v>
      </c>
      <c r="L278">
        <v>10</v>
      </c>
      <c r="M278" t="s">
        <v>82</v>
      </c>
      <c r="N278">
        <v>2</v>
      </c>
      <c r="O278">
        <v>1</v>
      </c>
      <c r="P278">
        <v>6.25</v>
      </c>
      <c r="Q278">
        <v>48.712000000000003</v>
      </c>
      <c r="R278" t="s">
        <v>26</v>
      </c>
      <c r="S278" t="b">
        <v>0</v>
      </c>
      <c r="T278" t="b">
        <v>0</v>
      </c>
    </row>
    <row r="279" spans="1:20" x14ac:dyDescent="0.3">
      <c r="A279" t="s">
        <v>646</v>
      </c>
      <c r="B279" s="1">
        <v>41233</v>
      </c>
      <c r="C279" s="1">
        <v>41239</v>
      </c>
      <c r="D279" t="s">
        <v>647</v>
      </c>
      <c r="E279" t="s">
        <v>22</v>
      </c>
      <c r="F279" t="s">
        <v>31</v>
      </c>
      <c r="G279" t="s">
        <v>648</v>
      </c>
      <c r="H279">
        <v>19.46</v>
      </c>
      <c r="I279">
        <v>7</v>
      </c>
      <c r="J279">
        <v>5.0595999999999997</v>
      </c>
      <c r="K279">
        <v>2012</v>
      </c>
      <c r="L279">
        <v>11</v>
      </c>
      <c r="M279" t="s">
        <v>70</v>
      </c>
      <c r="N279">
        <v>20</v>
      </c>
      <c r="O279">
        <v>6</v>
      </c>
      <c r="P279">
        <v>26</v>
      </c>
      <c r="Q279">
        <v>2.78</v>
      </c>
      <c r="R279" t="s">
        <v>26</v>
      </c>
      <c r="S279" t="b">
        <v>0</v>
      </c>
      <c r="T279" t="b">
        <v>0</v>
      </c>
    </row>
    <row r="280" spans="1:20" x14ac:dyDescent="0.3">
      <c r="A280" t="s">
        <v>649</v>
      </c>
      <c r="B280" s="1">
        <v>41393</v>
      </c>
      <c r="C280" s="1">
        <v>41397</v>
      </c>
      <c r="D280" t="s">
        <v>650</v>
      </c>
      <c r="E280" t="s">
        <v>173</v>
      </c>
      <c r="F280" t="s">
        <v>72</v>
      </c>
      <c r="G280" t="s">
        <v>651</v>
      </c>
      <c r="H280">
        <v>29.472000000000001</v>
      </c>
      <c r="I280">
        <v>3</v>
      </c>
      <c r="J280">
        <v>9.9467999999999996</v>
      </c>
      <c r="K280">
        <v>2013</v>
      </c>
      <c r="L280">
        <v>4</v>
      </c>
      <c r="M280" t="s">
        <v>236</v>
      </c>
      <c r="N280">
        <v>29</v>
      </c>
      <c r="O280">
        <v>4</v>
      </c>
      <c r="P280">
        <v>33.75</v>
      </c>
      <c r="Q280">
        <v>9.8239999999999998</v>
      </c>
      <c r="R280" t="s">
        <v>26</v>
      </c>
      <c r="S280" t="b">
        <v>0</v>
      </c>
      <c r="T280" t="b">
        <v>0</v>
      </c>
    </row>
    <row r="281" spans="1:20" x14ac:dyDescent="0.3">
      <c r="A281" t="s">
        <v>652</v>
      </c>
      <c r="B281" s="1">
        <v>41591</v>
      </c>
      <c r="C281" s="1">
        <v>41598</v>
      </c>
      <c r="D281" t="s">
        <v>653</v>
      </c>
      <c r="E281" t="s">
        <v>368</v>
      </c>
      <c r="F281" t="s">
        <v>33</v>
      </c>
      <c r="G281" t="s">
        <v>654</v>
      </c>
      <c r="H281">
        <v>6.27</v>
      </c>
      <c r="I281">
        <v>5</v>
      </c>
      <c r="J281">
        <v>-4.5979999999999999</v>
      </c>
      <c r="K281">
        <v>2013</v>
      </c>
      <c r="L281">
        <v>11</v>
      </c>
      <c r="M281" t="s">
        <v>70</v>
      </c>
      <c r="N281">
        <v>13</v>
      </c>
      <c r="O281">
        <v>7</v>
      </c>
      <c r="P281">
        <v>-73.33</v>
      </c>
      <c r="Q281">
        <v>1.254</v>
      </c>
      <c r="R281" t="s">
        <v>26</v>
      </c>
      <c r="S281" t="b">
        <v>1</v>
      </c>
      <c r="T281" t="b">
        <v>0</v>
      </c>
    </row>
    <row r="282" spans="1:20" x14ac:dyDescent="0.3">
      <c r="A282" t="s">
        <v>652</v>
      </c>
      <c r="B282" s="1">
        <v>41591</v>
      </c>
      <c r="C282" s="1">
        <v>41598</v>
      </c>
      <c r="D282" t="s">
        <v>653</v>
      </c>
      <c r="E282" t="s">
        <v>368</v>
      </c>
      <c r="F282" t="s">
        <v>33</v>
      </c>
      <c r="G282" t="s">
        <v>655</v>
      </c>
      <c r="H282">
        <v>4.3680000000000003</v>
      </c>
      <c r="I282">
        <v>7</v>
      </c>
      <c r="J282">
        <v>-3.3488000000000002</v>
      </c>
      <c r="K282">
        <v>2013</v>
      </c>
      <c r="L282">
        <v>11</v>
      </c>
      <c r="M282" t="s">
        <v>70</v>
      </c>
      <c r="N282">
        <v>13</v>
      </c>
      <c r="O282">
        <v>7</v>
      </c>
      <c r="P282">
        <v>-76.67</v>
      </c>
      <c r="Q282">
        <v>0.624</v>
      </c>
      <c r="R282" t="s">
        <v>26</v>
      </c>
      <c r="S282" t="b">
        <v>1</v>
      </c>
      <c r="T282" t="b">
        <v>0</v>
      </c>
    </row>
    <row r="283" spans="1:20" x14ac:dyDescent="0.3">
      <c r="A283" t="s">
        <v>652</v>
      </c>
      <c r="B283" s="1">
        <v>41591</v>
      </c>
      <c r="C283" s="1">
        <v>41598</v>
      </c>
      <c r="D283" t="s">
        <v>653</v>
      </c>
      <c r="E283" t="s">
        <v>368</v>
      </c>
      <c r="F283" t="s">
        <v>61</v>
      </c>
      <c r="G283" t="s">
        <v>656</v>
      </c>
      <c r="H283">
        <v>31.984000000000002</v>
      </c>
      <c r="I283">
        <v>2</v>
      </c>
      <c r="J283">
        <v>1.9990000000000001</v>
      </c>
      <c r="K283">
        <v>2013</v>
      </c>
      <c r="L283">
        <v>11</v>
      </c>
      <c r="M283" t="s">
        <v>70</v>
      </c>
      <c r="N283">
        <v>13</v>
      </c>
      <c r="O283">
        <v>7</v>
      </c>
      <c r="P283">
        <v>6.25</v>
      </c>
      <c r="Q283">
        <v>15.992000000000001</v>
      </c>
      <c r="R283" t="s">
        <v>26</v>
      </c>
      <c r="S283" t="b">
        <v>0</v>
      </c>
      <c r="T283" t="b">
        <v>0</v>
      </c>
    </row>
    <row r="284" spans="1:20" x14ac:dyDescent="0.3">
      <c r="A284" t="s">
        <v>657</v>
      </c>
      <c r="B284" s="1">
        <v>41906</v>
      </c>
      <c r="C284" s="1">
        <v>41908</v>
      </c>
      <c r="D284" t="s">
        <v>658</v>
      </c>
      <c r="E284" t="s">
        <v>39</v>
      </c>
      <c r="F284" t="s">
        <v>35</v>
      </c>
      <c r="G284" t="s">
        <v>659</v>
      </c>
      <c r="H284">
        <v>119.96</v>
      </c>
      <c r="I284">
        <v>2</v>
      </c>
      <c r="J284">
        <v>33.588799999999999</v>
      </c>
      <c r="K284">
        <v>2014</v>
      </c>
      <c r="L284">
        <v>9</v>
      </c>
      <c r="M284" t="s">
        <v>87</v>
      </c>
      <c r="N284">
        <v>24</v>
      </c>
      <c r="O284">
        <v>2</v>
      </c>
      <c r="P284">
        <v>28</v>
      </c>
      <c r="Q284">
        <v>59.98</v>
      </c>
      <c r="R284" t="s">
        <v>26</v>
      </c>
      <c r="S284" t="b">
        <v>0</v>
      </c>
      <c r="T284" t="b">
        <v>0</v>
      </c>
    </row>
    <row r="285" spans="1:20" x14ac:dyDescent="0.3">
      <c r="A285" t="s">
        <v>657</v>
      </c>
      <c r="B285" s="1">
        <v>41906</v>
      </c>
      <c r="C285" s="1">
        <v>41908</v>
      </c>
      <c r="D285" t="s">
        <v>658</v>
      </c>
      <c r="E285" t="s">
        <v>39</v>
      </c>
      <c r="F285" t="s">
        <v>45</v>
      </c>
      <c r="G285" t="s">
        <v>369</v>
      </c>
      <c r="H285">
        <v>31.44</v>
      </c>
      <c r="I285">
        <v>3</v>
      </c>
      <c r="J285">
        <v>8.4887999999999995</v>
      </c>
      <c r="K285">
        <v>2014</v>
      </c>
      <c r="L285">
        <v>9</v>
      </c>
      <c r="M285" t="s">
        <v>87</v>
      </c>
      <c r="N285">
        <v>24</v>
      </c>
      <c r="O285">
        <v>2</v>
      </c>
      <c r="P285">
        <v>27</v>
      </c>
      <c r="Q285">
        <v>10.48</v>
      </c>
      <c r="R285" t="s">
        <v>26</v>
      </c>
      <c r="S285" t="b">
        <v>0</v>
      </c>
      <c r="T285" t="b">
        <v>0</v>
      </c>
    </row>
    <row r="286" spans="1:20" x14ac:dyDescent="0.3">
      <c r="A286" t="s">
        <v>657</v>
      </c>
      <c r="B286" s="1">
        <v>41906</v>
      </c>
      <c r="C286" s="1">
        <v>41908</v>
      </c>
      <c r="D286" t="s">
        <v>658</v>
      </c>
      <c r="E286" t="s">
        <v>39</v>
      </c>
      <c r="F286" t="s">
        <v>33</v>
      </c>
      <c r="G286" t="s">
        <v>660</v>
      </c>
      <c r="H286">
        <v>6.88</v>
      </c>
      <c r="I286">
        <v>1</v>
      </c>
      <c r="J286">
        <v>2.3220000000000001</v>
      </c>
      <c r="K286">
        <v>2014</v>
      </c>
      <c r="L286">
        <v>9</v>
      </c>
      <c r="M286" t="s">
        <v>87</v>
      </c>
      <c r="N286">
        <v>24</v>
      </c>
      <c r="O286">
        <v>2</v>
      </c>
      <c r="P286">
        <v>33.75</v>
      </c>
      <c r="Q286">
        <v>6.88</v>
      </c>
      <c r="R286" t="s">
        <v>26</v>
      </c>
      <c r="S286" t="b">
        <v>0</v>
      </c>
      <c r="T286" t="b">
        <v>0</v>
      </c>
    </row>
    <row r="287" spans="1:20" x14ac:dyDescent="0.3">
      <c r="A287" t="s">
        <v>661</v>
      </c>
      <c r="B287" s="1">
        <v>41502</v>
      </c>
      <c r="C287" s="1">
        <v>41507</v>
      </c>
      <c r="D287" t="s">
        <v>662</v>
      </c>
      <c r="E287" t="s">
        <v>663</v>
      </c>
      <c r="F287" t="s">
        <v>54</v>
      </c>
      <c r="G287" t="s">
        <v>664</v>
      </c>
      <c r="H287">
        <v>71.975999999999999</v>
      </c>
      <c r="I287">
        <v>3</v>
      </c>
      <c r="J287">
        <v>7.1976000000000004</v>
      </c>
      <c r="K287">
        <v>2013</v>
      </c>
      <c r="L287">
        <v>8</v>
      </c>
      <c r="M287" t="s">
        <v>53</v>
      </c>
      <c r="N287">
        <v>16</v>
      </c>
      <c r="O287">
        <v>5</v>
      </c>
      <c r="P287">
        <v>10</v>
      </c>
      <c r="Q287">
        <v>23.992000000000001</v>
      </c>
      <c r="R287" t="s">
        <v>26</v>
      </c>
      <c r="S287" t="b">
        <v>0</v>
      </c>
      <c r="T287" t="b">
        <v>0</v>
      </c>
    </row>
    <row r="288" spans="1:20" x14ac:dyDescent="0.3">
      <c r="A288" t="s">
        <v>661</v>
      </c>
      <c r="B288" s="1">
        <v>41502</v>
      </c>
      <c r="C288" s="1">
        <v>41507</v>
      </c>
      <c r="D288" t="s">
        <v>662</v>
      </c>
      <c r="E288" t="s">
        <v>663</v>
      </c>
      <c r="F288" t="s">
        <v>23</v>
      </c>
      <c r="G288" t="s">
        <v>665</v>
      </c>
      <c r="H288">
        <v>3.15</v>
      </c>
      <c r="I288">
        <v>1</v>
      </c>
      <c r="J288">
        <v>1.512</v>
      </c>
      <c r="K288">
        <v>2013</v>
      </c>
      <c r="L288">
        <v>8</v>
      </c>
      <c r="M288" t="s">
        <v>53</v>
      </c>
      <c r="N288">
        <v>16</v>
      </c>
      <c r="O288">
        <v>5</v>
      </c>
      <c r="P288">
        <v>48</v>
      </c>
      <c r="Q288">
        <v>3.15</v>
      </c>
      <c r="R288" t="s">
        <v>26</v>
      </c>
      <c r="S288" t="b">
        <v>0</v>
      </c>
      <c r="T288" t="b">
        <v>0</v>
      </c>
    </row>
    <row r="289" spans="1:20" x14ac:dyDescent="0.3">
      <c r="A289" t="s">
        <v>666</v>
      </c>
      <c r="B289" s="1">
        <v>41249</v>
      </c>
      <c r="C289" s="1">
        <v>41256</v>
      </c>
      <c r="D289" t="s">
        <v>667</v>
      </c>
      <c r="E289" t="s">
        <v>194</v>
      </c>
      <c r="F289" t="s">
        <v>31</v>
      </c>
      <c r="G289" t="s">
        <v>668</v>
      </c>
      <c r="H289">
        <v>120.15</v>
      </c>
      <c r="I289">
        <v>9</v>
      </c>
      <c r="J289">
        <v>33.642000000000003</v>
      </c>
      <c r="K289">
        <v>2012</v>
      </c>
      <c r="L289">
        <v>12</v>
      </c>
      <c r="M289" t="s">
        <v>41</v>
      </c>
      <c r="N289">
        <v>6</v>
      </c>
      <c r="O289">
        <v>7</v>
      </c>
      <c r="P289">
        <v>28</v>
      </c>
      <c r="Q289">
        <v>13.35</v>
      </c>
      <c r="R289" t="s">
        <v>26</v>
      </c>
      <c r="S289" t="b">
        <v>0</v>
      </c>
      <c r="T289" t="b">
        <v>0</v>
      </c>
    </row>
    <row r="290" spans="1:20" x14ac:dyDescent="0.3">
      <c r="A290" t="s">
        <v>666</v>
      </c>
      <c r="B290" s="1">
        <v>41249</v>
      </c>
      <c r="C290" s="1">
        <v>41256</v>
      </c>
      <c r="D290" t="s">
        <v>667</v>
      </c>
      <c r="E290" t="s">
        <v>194</v>
      </c>
      <c r="F290" t="s">
        <v>54</v>
      </c>
      <c r="G290" t="s">
        <v>669</v>
      </c>
      <c r="H290">
        <v>219.184</v>
      </c>
      <c r="I290">
        <v>2</v>
      </c>
      <c r="J290">
        <v>19.178599999999999</v>
      </c>
      <c r="K290">
        <v>2012</v>
      </c>
      <c r="L290">
        <v>12</v>
      </c>
      <c r="M290" t="s">
        <v>41</v>
      </c>
      <c r="N290">
        <v>6</v>
      </c>
      <c r="O290">
        <v>7</v>
      </c>
      <c r="P290">
        <v>8.75</v>
      </c>
      <c r="Q290">
        <v>109.592</v>
      </c>
      <c r="R290" t="s">
        <v>26</v>
      </c>
      <c r="S290" t="b">
        <v>0</v>
      </c>
      <c r="T290" t="b">
        <v>1</v>
      </c>
    </row>
    <row r="291" spans="1:20" x14ac:dyDescent="0.3">
      <c r="A291" t="s">
        <v>670</v>
      </c>
      <c r="B291" s="1">
        <v>40719</v>
      </c>
      <c r="C291" s="1">
        <v>40722</v>
      </c>
      <c r="D291" t="s">
        <v>671</v>
      </c>
      <c r="E291" t="s">
        <v>22</v>
      </c>
      <c r="F291" t="s">
        <v>174</v>
      </c>
      <c r="G291" t="s">
        <v>672</v>
      </c>
      <c r="H291">
        <v>447.84</v>
      </c>
      <c r="I291">
        <v>5</v>
      </c>
      <c r="J291">
        <v>11.196</v>
      </c>
      <c r="K291">
        <v>2011</v>
      </c>
      <c r="L291">
        <v>6</v>
      </c>
      <c r="M291" t="s">
        <v>25</v>
      </c>
      <c r="N291">
        <v>25</v>
      </c>
      <c r="O291">
        <v>3</v>
      </c>
      <c r="P291">
        <v>2.5</v>
      </c>
      <c r="Q291">
        <v>89.567999999999998</v>
      </c>
      <c r="R291" t="s">
        <v>26</v>
      </c>
      <c r="S291" t="b">
        <v>0</v>
      </c>
      <c r="T291" t="b">
        <v>1</v>
      </c>
    </row>
    <row r="292" spans="1:20" x14ac:dyDescent="0.3">
      <c r="A292" t="s">
        <v>673</v>
      </c>
      <c r="B292" s="1">
        <v>41440</v>
      </c>
      <c r="C292" s="1">
        <v>41443</v>
      </c>
      <c r="D292" t="s">
        <v>674</v>
      </c>
      <c r="E292" t="s">
        <v>51</v>
      </c>
      <c r="F292" t="s">
        <v>31</v>
      </c>
      <c r="G292" t="s">
        <v>675</v>
      </c>
      <c r="H292">
        <v>7.04</v>
      </c>
      <c r="I292">
        <v>4</v>
      </c>
      <c r="J292">
        <v>2.0415999999999999</v>
      </c>
      <c r="K292">
        <v>2013</v>
      </c>
      <c r="L292">
        <v>6</v>
      </c>
      <c r="M292" t="s">
        <v>25</v>
      </c>
      <c r="N292">
        <v>15</v>
      </c>
      <c r="O292">
        <v>3</v>
      </c>
      <c r="P292">
        <v>29</v>
      </c>
      <c r="Q292">
        <v>1.76</v>
      </c>
      <c r="R292" t="s">
        <v>26</v>
      </c>
      <c r="S292" t="b">
        <v>0</v>
      </c>
      <c r="T292" t="b">
        <v>0</v>
      </c>
    </row>
    <row r="293" spans="1:20" x14ac:dyDescent="0.3">
      <c r="A293" t="s">
        <v>673</v>
      </c>
      <c r="B293" s="1">
        <v>41440</v>
      </c>
      <c r="C293" s="1">
        <v>41443</v>
      </c>
      <c r="D293" t="s">
        <v>674</v>
      </c>
      <c r="E293" t="s">
        <v>51</v>
      </c>
      <c r="F293" t="s">
        <v>29</v>
      </c>
      <c r="G293" t="s">
        <v>676</v>
      </c>
      <c r="H293">
        <v>8.73</v>
      </c>
      <c r="I293">
        <v>3</v>
      </c>
      <c r="J293">
        <v>4.1031000000000004</v>
      </c>
      <c r="K293">
        <v>2013</v>
      </c>
      <c r="L293">
        <v>6</v>
      </c>
      <c r="M293" t="s">
        <v>25</v>
      </c>
      <c r="N293">
        <v>15</v>
      </c>
      <c r="O293">
        <v>3</v>
      </c>
      <c r="P293">
        <v>47</v>
      </c>
      <c r="Q293">
        <v>2.91</v>
      </c>
      <c r="R293" t="s">
        <v>26</v>
      </c>
      <c r="S293" t="b">
        <v>0</v>
      </c>
      <c r="T293" t="b">
        <v>0</v>
      </c>
    </row>
    <row r="294" spans="1:20" x14ac:dyDescent="0.3">
      <c r="A294" t="s">
        <v>673</v>
      </c>
      <c r="B294" s="1">
        <v>41440</v>
      </c>
      <c r="C294" s="1">
        <v>41443</v>
      </c>
      <c r="D294" t="s">
        <v>674</v>
      </c>
      <c r="E294" t="s">
        <v>51</v>
      </c>
      <c r="F294" t="s">
        <v>61</v>
      </c>
      <c r="G294" t="s">
        <v>677</v>
      </c>
      <c r="H294">
        <v>29.29</v>
      </c>
      <c r="I294">
        <v>1</v>
      </c>
      <c r="J294">
        <v>9.6656999999999993</v>
      </c>
      <c r="K294">
        <v>2013</v>
      </c>
      <c r="L294">
        <v>6</v>
      </c>
      <c r="M294" t="s">
        <v>25</v>
      </c>
      <c r="N294">
        <v>15</v>
      </c>
      <c r="O294">
        <v>3</v>
      </c>
      <c r="P294">
        <v>33</v>
      </c>
      <c r="Q294">
        <v>29.29</v>
      </c>
      <c r="R294" t="s">
        <v>26</v>
      </c>
      <c r="S294" t="b">
        <v>0</v>
      </c>
      <c r="T294" t="b">
        <v>0</v>
      </c>
    </row>
    <row r="295" spans="1:20" x14ac:dyDescent="0.3">
      <c r="A295" t="s">
        <v>673</v>
      </c>
      <c r="B295" s="1">
        <v>41440</v>
      </c>
      <c r="C295" s="1">
        <v>41443</v>
      </c>
      <c r="D295" t="s">
        <v>674</v>
      </c>
      <c r="E295" t="s">
        <v>51</v>
      </c>
      <c r="F295" t="s">
        <v>31</v>
      </c>
      <c r="G295" t="s">
        <v>678</v>
      </c>
      <c r="H295">
        <v>8.64</v>
      </c>
      <c r="I295">
        <v>3</v>
      </c>
      <c r="J295">
        <v>2.5055999999999998</v>
      </c>
      <c r="K295">
        <v>2013</v>
      </c>
      <c r="L295">
        <v>6</v>
      </c>
      <c r="M295" t="s">
        <v>25</v>
      </c>
      <c r="N295">
        <v>15</v>
      </c>
      <c r="O295">
        <v>3</v>
      </c>
      <c r="P295">
        <v>29</v>
      </c>
      <c r="Q295">
        <v>2.88</v>
      </c>
      <c r="R295" t="s">
        <v>26</v>
      </c>
      <c r="S295" t="b">
        <v>0</v>
      </c>
      <c r="T295" t="b">
        <v>0</v>
      </c>
    </row>
    <row r="296" spans="1:20" x14ac:dyDescent="0.3">
      <c r="A296" t="s">
        <v>679</v>
      </c>
      <c r="B296" s="1">
        <v>41569</v>
      </c>
      <c r="C296" s="1">
        <v>41575</v>
      </c>
      <c r="D296" t="s">
        <v>680</v>
      </c>
      <c r="E296" t="s">
        <v>569</v>
      </c>
      <c r="F296" t="s">
        <v>72</v>
      </c>
      <c r="G296" t="s">
        <v>681</v>
      </c>
      <c r="H296">
        <v>22.92</v>
      </c>
      <c r="I296">
        <v>3</v>
      </c>
      <c r="J296">
        <v>11.2308</v>
      </c>
      <c r="K296">
        <v>2013</v>
      </c>
      <c r="L296">
        <v>10</v>
      </c>
      <c r="M296" t="s">
        <v>82</v>
      </c>
      <c r="N296">
        <v>22</v>
      </c>
      <c r="O296">
        <v>6</v>
      </c>
      <c r="P296">
        <v>49</v>
      </c>
      <c r="Q296">
        <v>7.6400000000000006</v>
      </c>
      <c r="R296" t="s">
        <v>26</v>
      </c>
      <c r="S296" t="b">
        <v>0</v>
      </c>
      <c r="T296" t="b">
        <v>0</v>
      </c>
    </row>
    <row r="297" spans="1:20" x14ac:dyDescent="0.3">
      <c r="A297" t="s">
        <v>682</v>
      </c>
      <c r="B297" s="1">
        <v>41992</v>
      </c>
      <c r="C297" s="1">
        <v>41997</v>
      </c>
      <c r="D297" t="s">
        <v>518</v>
      </c>
      <c r="E297" t="s">
        <v>683</v>
      </c>
      <c r="F297" t="s">
        <v>33</v>
      </c>
      <c r="G297" t="s">
        <v>559</v>
      </c>
      <c r="H297">
        <v>46.671999999999997</v>
      </c>
      <c r="I297">
        <v>2</v>
      </c>
      <c r="J297">
        <v>16.3352</v>
      </c>
      <c r="K297">
        <v>2014</v>
      </c>
      <c r="L297">
        <v>12</v>
      </c>
      <c r="M297" t="s">
        <v>41</v>
      </c>
      <c r="N297">
        <v>19</v>
      </c>
      <c r="O297">
        <v>5</v>
      </c>
      <c r="P297">
        <v>35</v>
      </c>
      <c r="Q297">
        <v>23.335999999999999</v>
      </c>
      <c r="R297" t="s">
        <v>26</v>
      </c>
      <c r="S297" t="b">
        <v>0</v>
      </c>
      <c r="T297" t="b">
        <v>0</v>
      </c>
    </row>
    <row r="298" spans="1:20" x14ac:dyDescent="0.3">
      <c r="A298" t="s">
        <v>682</v>
      </c>
      <c r="B298" s="1">
        <v>41992</v>
      </c>
      <c r="C298" s="1">
        <v>41997</v>
      </c>
      <c r="D298" t="s">
        <v>518</v>
      </c>
      <c r="E298" t="s">
        <v>683</v>
      </c>
      <c r="F298" t="s">
        <v>317</v>
      </c>
      <c r="G298" t="s">
        <v>684</v>
      </c>
      <c r="H298">
        <v>119.833</v>
      </c>
      <c r="I298">
        <v>1</v>
      </c>
      <c r="J298">
        <v>-12.6882</v>
      </c>
      <c r="K298">
        <v>2014</v>
      </c>
      <c r="L298">
        <v>12</v>
      </c>
      <c r="M298" t="s">
        <v>41</v>
      </c>
      <c r="N298">
        <v>19</v>
      </c>
      <c r="O298">
        <v>5</v>
      </c>
      <c r="P298">
        <v>-10.59</v>
      </c>
      <c r="Q298">
        <v>119.833</v>
      </c>
      <c r="R298" t="s">
        <v>26</v>
      </c>
      <c r="S298" t="b">
        <v>1</v>
      </c>
      <c r="T298" t="b">
        <v>0</v>
      </c>
    </row>
    <row r="299" spans="1:20" x14ac:dyDescent="0.3">
      <c r="A299" t="s">
        <v>682</v>
      </c>
      <c r="B299" s="1">
        <v>41992</v>
      </c>
      <c r="C299" s="1">
        <v>41997</v>
      </c>
      <c r="D299" t="s">
        <v>518</v>
      </c>
      <c r="E299" t="s">
        <v>683</v>
      </c>
      <c r="F299" t="s">
        <v>61</v>
      </c>
      <c r="G299" t="s">
        <v>476</v>
      </c>
      <c r="H299">
        <v>119.98</v>
      </c>
      <c r="I299">
        <v>2</v>
      </c>
      <c r="J299">
        <v>57.590400000000002</v>
      </c>
      <c r="K299">
        <v>2014</v>
      </c>
      <c r="L299">
        <v>12</v>
      </c>
      <c r="M299" t="s">
        <v>41</v>
      </c>
      <c r="N299">
        <v>19</v>
      </c>
      <c r="O299">
        <v>5</v>
      </c>
      <c r="P299">
        <v>48</v>
      </c>
      <c r="Q299">
        <v>59.99</v>
      </c>
      <c r="R299" t="s">
        <v>26</v>
      </c>
      <c r="S299" t="b">
        <v>0</v>
      </c>
      <c r="T299" t="b">
        <v>0</v>
      </c>
    </row>
    <row r="300" spans="1:20" x14ac:dyDescent="0.3">
      <c r="A300" t="s">
        <v>685</v>
      </c>
      <c r="B300" s="1">
        <v>41478</v>
      </c>
      <c r="C300" s="1">
        <v>41480</v>
      </c>
      <c r="D300" t="s">
        <v>686</v>
      </c>
      <c r="E300" t="s">
        <v>51</v>
      </c>
      <c r="F300" t="s">
        <v>23</v>
      </c>
      <c r="G300" t="s">
        <v>278</v>
      </c>
      <c r="H300">
        <v>6.3</v>
      </c>
      <c r="I300">
        <v>2</v>
      </c>
      <c r="J300">
        <v>3.024</v>
      </c>
      <c r="K300">
        <v>2013</v>
      </c>
      <c r="L300">
        <v>7</v>
      </c>
      <c r="M300" t="s">
        <v>66</v>
      </c>
      <c r="N300">
        <v>23</v>
      </c>
      <c r="O300">
        <v>2</v>
      </c>
      <c r="P300">
        <v>48</v>
      </c>
      <c r="Q300">
        <v>3.15</v>
      </c>
      <c r="R300" t="s">
        <v>26</v>
      </c>
      <c r="S300" t="b">
        <v>0</v>
      </c>
      <c r="T300" t="b">
        <v>0</v>
      </c>
    </row>
    <row r="301" spans="1:20" x14ac:dyDescent="0.3">
      <c r="A301" t="s">
        <v>687</v>
      </c>
      <c r="B301" s="1">
        <v>41615</v>
      </c>
      <c r="C301" s="1">
        <v>41616</v>
      </c>
      <c r="D301" t="s">
        <v>688</v>
      </c>
      <c r="E301" t="s">
        <v>689</v>
      </c>
      <c r="F301" t="s">
        <v>72</v>
      </c>
      <c r="G301" t="s">
        <v>213</v>
      </c>
      <c r="H301">
        <v>19.440000000000001</v>
      </c>
      <c r="I301">
        <v>3</v>
      </c>
      <c r="J301">
        <v>9.3312000000000008</v>
      </c>
      <c r="K301">
        <v>2013</v>
      </c>
      <c r="L301">
        <v>12</v>
      </c>
      <c r="M301" t="s">
        <v>41</v>
      </c>
      <c r="N301">
        <v>7</v>
      </c>
      <c r="O301">
        <v>1</v>
      </c>
      <c r="P301">
        <v>48</v>
      </c>
      <c r="Q301">
        <v>6.48</v>
      </c>
      <c r="R301" t="s">
        <v>26</v>
      </c>
      <c r="S301" t="b">
        <v>0</v>
      </c>
      <c r="T301" t="b">
        <v>0</v>
      </c>
    </row>
    <row r="302" spans="1:20" x14ac:dyDescent="0.3">
      <c r="A302" t="s">
        <v>690</v>
      </c>
      <c r="B302" s="1">
        <v>40815</v>
      </c>
      <c r="C302" s="1">
        <v>40819</v>
      </c>
      <c r="D302" t="s">
        <v>691</v>
      </c>
      <c r="E302" t="s">
        <v>22</v>
      </c>
      <c r="F302" t="s">
        <v>29</v>
      </c>
      <c r="G302" t="s">
        <v>593</v>
      </c>
      <c r="H302">
        <v>204.6</v>
      </c>
      <c r="I302">
        <v>2</v>
      </c>
      <c r="J302">
        <v>53.195999999999998</v>
      </c>
      <c r="K302">
        <v>2011</v>
      </c>
      <c r="L302">
        <v>9</v>
      </c>
      <c r="M302" t="s">
        <v>87</v>
      </c>
      <c r="N302">
        <v>29</v>
      </c>
      <c r="O302">
        <v>4</v>
      </c>
      <c r="P302">
        <v>26</v>
      </c>
      <c r="Q302">
        <v>102.3</v>
      </c>
      <c r="R302" t="s">
        <v>26</v>
      </c>
      <c r="S302" t="b">
        <v>0</v>
      </c>
      <c r="T302" t="b">
        <v>0</v>
      </c>
    </row>
    <row r="303" spans="1:20" x14ac:dyDescent="0.3">
      <c r="A303" t="s">
        <v>690</v>
      </c>
      <c r="B303" s="1">
        <v>40815</v>
      </c>
      <c r="C303" s="1">
        <v>40819</v>
      </c>
      <c r="D303" t="s">
        <v>691</v>
      </c>
      <c r="E303" t="s">
        <v>22</v>
      </c>
      <c r="F303" t="s">
        <v>119</v>
      </c>
      <c r="G303" t="s">
        <v>692</v>
      </c>
      <c r="H303">
        <v>8.7200000000000006</v>
      </c>
      <c r="I303">
        <v>4</v>
      </c>
      <c r="J303">
        <v>2.8776000000000002</v>
      </c>
      <c r="K303">
        <v>2011</v>
      </c>
      <c r="L303">
        <v>9</v>
      </c>
      <c r="M303" t="s">
        <v>87</v>
      </c>
      <c r="N303">
        <v>29</v>
      </c>
      <c r="O303">
        <v>4</v>
      </c>
      <c r="P303">
        <v>33</v>
      </c>
      <c r="Q303">
        <v>2.1800000000000002</v>
      </c>
      <c r="R303" t="s">
        <v>26</v>
      </c>
      <c r="S303" t="b">
        <v>0</v>
      </c>
      <c r="T303" t="b">
        <v>0</v>
      </c>
    </row>
    <row r="304" spans="1:20" x14ac:dyDescent="0.3">
      <c r="A304" t="s">
        <v>690</v>
      </c>
      <c r="B304" s="1">
        <v>40815</v>
      </c>
      <c r="C304" s="1">
        <v>40819</v>
      </c>
      <c r="D304" t="s">
        <v>691</v>
      </c>
      <c r="E304" t="s">
        <v>22</v>
      </c>
      <c r="F304" t="s">
        <v>72</v>
      </c>
      <c r="G304" t="s">
        <v>693</v>
      </c>
      <c r="H304">
        <v>6.48</v>
      </c>
      <c r="I304">
        <v>1</v>
      </c>
      <c r="J304">
        <v>3.1103999999999998</v>
      </c>
      <c r="K304">
        <v>2011</v>
      </c>
      <c r="L304">
        <v>9</v>
      </c>
      <c r="M304" t="s">
        <v>87</v>
      </c>
      <c r="N304">
        <v>29</v>
      </c>
      <c r="O304">
        <v>4</v>
      </c>
      <c r="P304">
        <v>48</v>
      </c>
      <c r="Q304">
        <v>6.48</v>
      </c>
      <c r="R304" t="s">
        <v>26</v>
      </c>
      <c r="S304" t="b">
        <v>0</v>
      </c>
      <c r="T304" t="b">
        <v>0</v>
      </c>
    </row>
    <row r="305" spans="1:20" x14ac:dyDescent="0.3">
      <c r="A305" t="s">
        <v>690</v>
      </c>
      <c r="B305" s="1">
        <v>40815</v>
      </c>
      <c r="C305" s="1">
        <v>40819</v>
      </c>
      <c r="D305" t="s">
        <v>691</v>
      </c>
      <c r="E305" t="s">
        <v>22</v>
      </c>
      <c r="F305" t="s">
        <v>45</v>
      </c>
      <c r="G305" t="s">
        <v>694</v>
      </c>
      <c r="H305">
        <v>62.18</v>
      </c>
      <c r="I305">
        <v>1</v>
      </c>
      <c r="J305">
        <v>16.788599999999999</v>
      </c>
      <c r="K305">
        <v>2011</v>
      </c>
      <c r="L305">
        <v>9</v>
      </c>
      <c r="M305" t="s">
        <v>87</v>
      </c>
      <c r="N305">
        <v>29</v>
      </c>
      <c r="O305">
        <v>4</v>
      </c>
      <c r="P305">
        <v>27</v>
      </c>
      <c r="Q305">
        <v>62.18</v>
      </c>
      <c r="R305" t="s">
        <v>26</v>
      </c>
      <c r="S305" t="b">
        <v>0</v>
      </c>
      <c r="T305" t="b">
        <v>0</v>
      </c>
    </row>
    <row r="306" spans="1:20" x14ac:dyDescent="0.3">
      <c r="A306" t="s">
        <v>695</v>
      </c>
      <c r="B306" s="1">
        <v>41640</v>
      </c>
      <c r="C306" s="1">
        <v>41646</v>
      </c>
      <c r="D306" t="s">
        <v>215</v>
      </c>
      <c r="E306" t="s">
        <v>696</v>
      </c>
      <c r="F306" t="s">
        <v>31</v>
      </c>
      <c r="G306" t="s">
        <v>697</v>
      </c>
      <c r="H306">
        <v>3.64</v>
      </c>
      <c r="I306">
        <v>2</v>
      </c>
      <c r="J306">
        <v>1.6379999999999999</v>
      </c>
      <c r="K306">
        <v>2014</v>
      </c>
      <c r="L306">
        <v>1</v>
      </c>
      <c r="M306" t="s">
        <v>60</v>
      </c>
      <c r="N306">
        <v>1</v>
      </c>
      <c r="O306">
        <v>6</v>
      </c>
      <c r="P306">
        <v>45</v>
      </c>
      <c r="Q306">
        <v>1.82</v>
      </c>
      <c r="R306" t="s">
        <v>26</v>
      </c>
      <c r="S306" t="b">
        <v>0</v>
      </c>
      <c r="T306" t="b">
        <v>0</v>
      </c>
    </row>
    <row r="307" spans="1:20" x14ac:dyDescent="0.3">
      <c r="A307" t="s">
        <v>695</v>
      </c>
      <c r="B307" s="1">
        <v>41640</v>
      </c>
      <c r="C307" s="1">
        <v>41646</v>
      </c>
      <c r="D307" t="s">
        <v>215</v>
      </c>
      <c r="E307" t="s">
        <v>696</v>
      </c>
      <c r="F307" t="s">
        <v>33</v>
      </c>
      <c r="G307" t="s">
        <v>698</v>
      </c>
      <c r="H307">
        <v>159.768</v>
      </c>
      <c r="I307">
        <v>7</v>
      </c>
      <c r="J307">
        <v>53.921700000000001</v>
      </c>
      <c r="K307">
        <v>2014</v>
      </c>
      <c r="L307">
        <v>1</v>
      </c>
      <c r="M307" t="s">
        <v>60</v>
      </c>
      <c r="N307">
        <v>1</v>
      </c>
      <c r="O307">
        <v>6</v>
      </c>
      <c r="P307">
        <v>33.75</v>
      </c>
      <c r="Q307">
        <v>22.824000000000002</v>
      </c>
      <c r="R307" t="s">
        <v>26</v>
      </c>
      <c r="S307" t="b">
        <v>0</v>
      </c>
      <c r="T307" t="b">
        <v>0</v>
      </c>
    </row>
    <row r="308" spans="1:20" x14ac:dyDescent="0.3">
      <c r="A308" t="s">
        <v>699</v>
      </c>
      <c r="B308" s="1">
        <v>41458</v>
      </c>
      <c r="C308" s="1">
        <v>41463</v>
      </c>
      <c r="D308" t="s">
        <v>700</v>
      </c>
      <c r="E308" t="s">
        <v>22</v>
      </c>
      <c r="F308" t="s">
        <v>110</v>
      </c>
      <c r="G308" t="s">
        <v>701</v>
      </c>
      <c r="H308">
        <v>195.184</v>
      </c>
      <c r="I308">
        <v>1</v>
      </c>
      <c r="J308">
        <v>19.5184</v>
      </c>
      <c r="K308">
        <v>2013</v>
      </c>
      <c r="L308">
        <v>7</v>
      </c>
      <c r="M308" t="s">
        <v>66</v>
      </c>
      <c r="N308">
        <v>3</v>
      </c>
      <c r="O308">
        <v>5</v>
      </c>
      <c r="P308">
        <v>10</v>
      </c>
      <c r="Q308">
        <v>195.184</v>
      </c>
      <c r="R308" t="s">
        <v>26</v>
      </c>
      <c r="S308" t="b">
        <v>0</v>
      </c>
      <c r="T308" t="b">
        <v>0</v>
      </c>
    </row>
    <row r="309" spans="1:20" x14ac:dyDescent="0.3">
      <c r="A309" t="s">
        <v>702</v>
      </c>
      <c r="B309" s="1">
        <v>40787</v>
      </c>
      <c r="C309" s="1">
        <v>40791</v>
      </c>
      <c r="D309" t="s">
        <v>703</v>
      </c>
      <c r="E309" t="s">
        <v>704</v>
      </c>
      <c r="F309" t="s">
        <v>31</v>
      </c>
      <c r="G309" t="s">
        <v>705</v>
      </c>
      <c r="H309">
        <v>53.94</v>
      </c>
      <c r="I309">
        <v>3</v>
      </c>
      <c r="J309">
        <v>15.6426</v>
      </c>
      <c r="K309">
        <v>2011</v>
      </c>
      <c r="L309">
        <v>9</v>
      </c>
      <c r="M309" t="s">
        <v>87</v>
      </c>
      <c r="N309">
        <v>1</v>
      </c>
      <c r="O309">
        <v>4</v>
      </c>
      <c r="P309">
        <v>29</v>
      </c>
      <c r="Q309">
        <v>17.98</v>
      </c>
      <c r="R309" t="s">
        <v>26</v>
      </c>
      <c r="S309" t="b">
        <v>0</v>
      </c>
      <c r="T309" t="b">
        <v>0</v>
      </c>
    </row>
    <row r="310" spans="1:20" x14ac:dyDescent="0.3">
      <c r="A310" t="s">
        <v>706</v>
      </c>
      <c r="B310" s="1">
        <v>41215</v>
      </c>
      <c r="C310" s="1">
        <v>41215</v>
      </c>
      <c r="D310" t="s">
        <v>193</v>
      </c>
      <c r="E310" t="s">
        <v>39</v>
      </c>
      <c r="F310" t="s">
        <v>61</v>
      </c>
      <c r="G310" t="s">
        <v>100</v>
      </c>
      <c r="H310">
        <v>447.93</v>
      </c>
      <c r="I310">
        <v>9</v>
      </c>
      <c r="J310">
        <v>49.272300000000001</v>
      </c>
      <c r="K310">
        <v>2012</v>
      </c>
      <c r="L310">
        <v>11</v>
      </c>
      <c r="M310" t="s">
        <v>70</v>
      </c>
      <c r="N310">
        <v>2</v>
      </c>
      <c r="O310">
        <v>0</v>
      </c>
      <c r="P310">
        <v>11</v>
      </c>
      <c r="Q310">
        <v>49.77</v>
      </c>
      <c r="R310" t="s">
        <v>26</v>
      </c>
      <c r="S310" t="b">
        <v>0</v>
      </c>
      <c r="T310" t="b">
        <v>1</v>
      </c>
    </row>
    <row r="311" spans="1:20" x14ac:dyDescent="0.3">
      <c r="A311" t="s">
        <v>707</v>
      </c>
      <c r="B311" s="1">
        <v>40654</v>
      </c>
      <c r="C311" s="1">
        <v>40658</v>
      </c>
      <c r="D311" t="s">
        <v>367</v>
      </c>
      <c r="E311" t="s">
        <v>22</v>
      </c>
      <c r="F311" t="s">
        <v>33</v>
      </c>
      <c r="G311" t="s">
        <v>708</v>
      </c>
      <c r="H311">
        <v>16.52</v>
      </c>
      <c r="I311">
        <v>5</v>
      </c>
      <c r="J311">
        <v>5.5754999999999999</v>
      </c>
      <c r="K311">
        <v>2011</v>
      </c>
      <c r="L311">
        <v>4</v>
      </c>
      <c r="M311" t="s">
        <v>236</v>
      </c>
      <c r="N311">
        <v>21</v>
      </c>
      <c r="O311">
        <v>4</v>
      </c>
      <c r="P311">
        <v>33.75</v>
      </c>
      <c r="Q311">
        <v>3.3039999999999998</v>
      </c>
      <c r="R311" t="s">
        <v>26</v>
      </c>
      <c r="S311" t="b">
        <v>0</v>
      </c>
      <c r="T311" t="b">
        <v>0</v>
      </c>
    </row>
    <row r="312" spans="1:20" x14ac:dyDescent="0.3">
      <c r="A312" t="s">
        <v>709</v>
      </c>
      <c r="B312" s="1">
        <v>40904</v>
      </c>
      <c r="C312" s="1">
        <v>40907</v>
      </c>
      <c r="D312" t="s">
        <v>710</v>
      </c>
      <c r="E312" t="s">
        <v>22</v>
      </c>
      <c r="F312" t="s">
        <v>23</v>
      </c>
      <c r="G312" t="s">
        <v>155</v>
      </c>
      <c r="H312">
        <v>11.56</v>
      </c>
      <c r="I312">
        <v>4</v>
      </c>
      <c r="J312">
        <v>5.4332000000000003</v>
      </c>
      <c r="K312">
        <v>2011</v>
      </c>
      <c r="L312">
        <v>12</v>
      </c>
      <c r="M312" t="s">
        <v>41</v>
      </c>
      <c r="N312">
        <v>27</v>
      </c>
      <c r="O312">
        <v>3</v>
      </c>
      <c r="P312">
        <v>47</v>
      </c>
      <c r="Q312">
        <v>2.89</v>
      </c>
      <c r="R312" t="s">
        <v>26</v>
      </c>
      <c r="S312" t="b">
        <v>0</v>
      </c>
      <c r="T312" t="b">
        <v>0</v>
      </c>
    </row>
    <row r="313" spans="1:20" x14ac:dyDescent="0.3">
      <c r="A313" t="s">
        <v>711</v>
      </c>
      <c r="B313" s="1">
        <v>40871</v>
      </c>
      <c r="C313" s="1">
        <v>40877</v>
      </c>
      <c r="D313" t="s">
        <v>712</v>
      </c>
      <c r="E313" t="s">
        <v>39</v>
      </c>
      <c r="F313" t="s">
        <v>33</v>
      </c>
      <c r="G313" t="s">
        <v>713</v>
      </c>
      <c r="H313">
        <v>12.096</v>
      </c>
      <c r="I313">
        <v>7</v>
      </c>
      <c r="J313">
        <v>4.2336</v>
      </c>
      <c r="K313">
        <v>2011</v>
      </c>
      <c r="L313">
        <v>11</v>
      </c>
      <c r="M313" t="s">
        <v>70</v>
      </c>
      <c r="N313">
        <v>24</v>
      </c>
      <c r="O313">
        <v>6</v>
      </c>
      <c r="P313">
        <v>35</v>
      </c>
      <c r="Q313">
        <v>1.728</v>
      </c>
      <c r="R313" t="s">
        <v>26</v>
      </c>
      <c r="S313" t="b">
        <v>0</v>
      </c>
      <c r="T313" t="b">
        <v>0</v>
      </c>
    </row>
    <row r="314" spans="1:20" x14ac:dyDescent="0.3">
      <c r="A314" t="s">
        <v>711</v>
      </c>
      <c r="B314" s="1">
        <v>40871</v>
      </c>
      <c r="C314" s="1">
        <v>40877</v>
      </c>
      <c r="D314" t="s">
        <v>712</v>
      </c>
      <c r="E314" t="s">
        <v>39</v>
      </c>
      <c r="F314" t="s">
        <v>45</v>
      </c>
      <c r="G314" t="s">
        <v>714</v>
      </c>
      <c r="H314">
        <v>485.88</v>
      </c>
      <c r="I314">
        <v>6</v>
      </c>
      <c r="J314">
        <v>9.7175999999999991</v>
      </c>
      <c r="K314">
        <v>2011</v>
      </c>
      <c r="L314">
        <v>11</v>
      </c>
      <c r="M314" t="s">
        <v>70</v>
      </c>
      <c r="N314">
        <v>24</v>
      </c>
      <c r="O314">
        <v>6</v>
      </c>
      <c r="P314">
        <v>2</v>
      </c>
      <c r="Q314">
        <v>80.98</v>
      </c>
      <c r="R314" t="s">
        <v>26</v>
      </c>
      <c r="S314" t="b">
        <v>0</v>
      </c>
      <c r="T314" t="b">
        <v>1</v>
      </c>
    </row>
    <row r="315" spans="1:20" x14ac:dyDescent="0.3">
      <c r="A315" t="s">
        <v>711</v>
      </c>
      <c r="B315" s="1">
        <v>40871</v>
      </c>
      <c r="C315" s="1">
        <v>40877</v>
      </c>
      <c r="D315" t="s">
        <v>712</v>
      </c>
      <c r="E315" t="s">
        <v>39</v>
      </c>
      <c r="F315" t="s">
        <v>72</v>
      </c>
      <c r="G315" t="s">
        <v>715</v>
      </c>
      <c r="H315">
        <v>25.92</v>
      </c>
      <c r="I315">
        <v>4</v>
      </c>
      <c r="J315">
        <v>12.441599999999999</v>
      </c>
      <c r="K315">
        <v>2011</v>
      </c>
      <c r="L315">
        <v>11</v>
      </c>
      <c r="M315" t="s">
        <v>70</v>
      </c>
      <c r="N315">
        <v>24</v>
      </c>
      <c r="O315">
        <v>6</v>
      </c>
      <c r="P315">
        <v>48</v>
      </c>
      <c r="Q315">
        <v>6.48</v>
      </c>
      <c r="R315" t="s">
        <v>26</v>
      </c>
      <c r="S315" t="b">
        <v>0</v>
      </c>
      <c r="T315" t="b">
        <v>0</v>
      </c>
    </row>
    <row r="316" spans="1:20" x14ac:dyDescent="0.3">
      <c r="A316" t="s">
        <v>711</v>
      </c>
      <c r="B316" s="1">
        <v>40871</v>
      </c>
      <c r="C316" s="1">
        <v>40877</v>
      </c>
      <c r="D316" t="s">
        <v>712</v>
      </c>
      <c r="E316" t="s">
        <v>39</v>
      </c>
      <c r="F316" t="s">
        <v>45</v>
      </c>
      <c r="G316" t="s">
        <v>716</v>
      </c>
      <c r="H316">
        <v>197.58</v>
      </c>
      <c r="I316">
        <v>2</v>
      </c>
      <c r="J316">
        <v>53.346600000000002</v>
      </c>
      <c r="K316">
        <v>2011</v>
      </c>
      <c r="L316">
        <v>11</v>
      </c>
      <c r="M316" t="s">
        <v>70</v>
      </c>
      <c r="N316">
        <v>24</v>
      </c>
      <c r="O316">
        <v>6</v>
      </c>
      <c r="P316">
        <v>27</v>
      </c>
      <c r="Q316">
        <v>98.79</v>
      </c>
      <c r="R316" t="s">
        <v>26</v>
      </c>
      <c r="S316" t="b">
        <v>0</v>
      </c>
      <c r="T316" t="b">
        <v>0</v>
      </c>
    </row>
    <row r="317" spans="1:20" x14ac:dyDescent="0.3">
      <c r="A317" t="s">
        <v>717</v>
      </c>
      <c r="B317" s="1">
        <v>41697</v>
      </c>
      <c r="C317" s="1">
        <v>41699</v>
      </c>
      <c r="D317" t="s">
        <v>718</v>
      </c>
      <c r="E317" t="s">
        <v>22</v>
      </c>
      <c r="F317" t="s">
        <v>35</v>
      </c>
      <c r="G317" t="s">
        <v>719</v>
      </c>
      <c r="H317">
        <v>81.92</v>
      </c>
      <c r="I317">
        <v>4</v>
      </c>
      <c r="J317">
        <v>22.118400000000001</v>
      </c>
      <c r="K317">
        <v>2014</v>
      </c>
      <c r="L317">
        <v>2</v>
      </c>
      <c r="M317" t="s">
        <v>303</v>
      </c>
      <c r="N317">
        <v>27</v>
      </c>
      <c r="O317">
        <v>2</v>
      </c>
      <c r="P317">
        <v>27</v>
      </c>
      <c r="Q317">
        <v>20.48</v>
      </c>
      <c r="R317" t="s">
        <v>26</v>
      </c>
      <c r="S317" t="b">
        <v>0</v>
      </c>
      <c r="T317" t="b">
        <v>0</v>
      </c>
    </row>
    <row r="318" spans="1:20" x14ac:dyDescent="0.3">
      <c r="A318" t="s">
        <v>717</v>
      </c>
      <c r="B318" s="1">
        <v>41697</v>
      </c>
      <c r="C318" s="1">
        <v>41699</v>
      </c>
      <c r="D318" t="s">
        <v>718</v>
      </c>
      <c r="E318" t="s">
        <v>22</v>
      </c>
      <c r="F318" t="s">
        <v>72</v>
      </c>
      <c r="G318" t="s">
        <v>279</v>
      </c>
      <c r="H318">
        <v>223.92</v>
      </c>
      <c r="I318">
        <v>4</v>
      </c>
      <c r="J318">
        <v>109.7208</v>
      </c>
      <c r="K318">
        <v>2014</v>
      </c>
      <c r="L318">
        <v>2</v>
      </c>
      <c r="M318" t="s">
        <v>303</v>
      </c>
      <c r="N318">
        <v>27</v>
      </c>
      <c r="O318">
        <v>2</v>
      </c>
      <c r="P318">
        <v>49</v>
      </c>
      <c r="Q318">
        <v>55.98</v>
      </c>
      <c r="R318" t="s">
        <v>26</v>
      </c>
      <c r="S318" t="b">
        <v>0</v>
      </c>
      <c r="T318" t="b">
        <v>1</v>
      </c>
    </row>
    <row r="319" spans="1:20" x14ac:dyDescent="0.3">
      <c r="A319" t="s">
        <v>717</v>
      </c>
      <c r="B319" s="1">
        <v>41697</v>
      </c>
      <c r="C319" s="1">
        <v>41699</v>
      </c>
      <c r="D319" t="s">
        <v>718</v>
      </c>
      <c r="E319" t="s">
        <v>22</v>
      </c>
      <c r="F319" t="s">
        <v>72</v>
      </c>
      <c r="G319" t="s">
        <v>720</v>
      </c>
      <c r="H319">
        <v>23.12</v>
      </c>
      <c r="I319">
        <v>4</v>
      </c>
      <c r="J319">
        <v>11.328799999999999</v>
      </c>
      <c r="K319">
        <v>2014</v>
      </c>
      <c r="L319">
        <v>2</v>
      </c>
      <c r="M319" t="s">
        <v>303</v>
      </c>
      <c r="N319">
        <v>27</v>
      </c>
      <c r="O319">
        <v>2</v>
      </c>
      <c r="P319">
        <v>49</v>
      </c>
      <c r="Q319">
        <v>5.78</v>
      </c>
      <c r="R319" t="s">
        <v>26</v>
      </c>
      <c r="S319" t="b">
        <v>0</v>
      </c>
      <c r="T319" t="b">
        <v>0</v>
      </c>
    </row>
    <row r="320" spans="1:20" x14ac:dyDescent="0.3">
      <c r="A320" t="s">
        <v>721</v>
      </c>
      <c r="B320" s="1">
        <v>41474</v>
      </c>
      <c r="C320" s="1">
        <v>41480</v>
      </c>
      <c r="D320" t="s">
        <v>722</v>
      </c>
      <c r="E320" t="s">
        <v>173</v>
      </c>
      <c r="F320" t="s">
        <v>33</v>
      </c>
      <c r="G320" t="s">
        <v>655</v>
      </c>
      <c r="H320">
        <v>1.8720000000000001</v>
      </c>
      <c r="I320">
        <v>3</v>
      </c>
      <c r="J320">
        <v>-1.4352</v>
      </c>
      <c r="K320">
        <v>2013</v>
      </c>
      <c r="L320">
        <v>7</v>
      </c>
      <c r="M320" t="s">
        <v>66</v>
      </c>
      <c r="N320">
        <v>19</v>
      </c>
      <c r="O320">
        <v>6</v>
      </c>
      <c r="P320">
        <v>-76.67</v>
      </c>
      <c r="Q320">
        <v>0.624</v>
      </c>
      <c r="R320" t="s">
        <v>26</v>
      </c>
      <c r="S320" t="b">
        <v>1</v>
      </c>
      <c r="T320" t="b">
        <v>0</v>
      </c>
    </row>
    <row r="321" spans="1:20" x14ac:dyDescent="0.3">
      <c r="A321" t="s">
        <v>721</v>
      </c>
      <c r="B321" s="1">
        <v>41474</v>
      </c>
      <c r="C321" s="1">
        <v>41480</v>
      </c>
      <c r="D321" t="s">
        <v>722</v>
      </c>
      <c r="E321" t="s">
        <v>173</v>
      </c>
      <c r="F321" t="s">
        <v>45</v>
      </c>
      <c r="G321" t="s">
        <v>723</v>
      </c>
      <c r="H321">
        <v>338.04</v>
      </c>
      <c r="I321">
        <v>3</v>
      </c>
      <c r="J321">
        <v>-33.804000000000002</v>
      </c>
      <c r="K321">
        <v>2013</v>
      </c>
      <c r="L321">
        <v>7</v>
      </c>
      <c r="M321" t="s">
        <v>66</v>
      </c>
      <c r="N321">
        <v>19</v>
      </c>
      <c r="O321">
        <v>6</v>
      </c>
      <c r="P321">
        <v>-10</v>
      </c>
      <c r="Q321">
        <v>112.68</v>
      </c>
      <c r="R321" t="s">
        <v>26</v>
      </c>
      <c r="S321" t="b">
        <v>1</v>
      </c>
      <c r="T321" t="b">
        <v>1</v>
      </c>
    </row>
    <row r="322" spans="1:20" x14ac:dyDescent="0.3">
      <c r="A322" t="s">
        <v>724</v>
      </c>
      <c r="B322" s="1">
        <v>40736</v>
      </c>
      <c r="C322" s="1">
        <v>40740</v>
      </c>
      <c r="D322" t="s">
        <v>725</v>
      </c>
      <c r="E322" t="s">
        <v>22</v>
      </c>
      <c r="F322" t="s">
        <v>45</v>
      </c>
      <c r="G322" t="s">
        <v>46</v>
      </c>
      <c r="H322">
        <v>249.75</v>
      </c>
      <c r="I322">
        <v>9</v>
      </c>
      <c r="J322">
        <v>44.954999999999998</v>
      </c>
      <c r="K322">
        <v>2011</v>
      </c>
      <c r="L322">
        <v>7</v>
      </c>
      <c r="M322" t="s">
        <v>66</v>
      </c>
      <c r="N322">
        <v>12</v>
      </c>
      <c r="O322">
        <v>4</v>
      </c>
      <c r="P322">
        <v>18</v>
      </c>
      <c r="Q322">
        <v>27.75</v>
      </c>
      <c r="R322" t="s">
        <v>26</v>
      </c>
      <c r="S322" t="b">
        <v>0</v>
      </c>
      <c r="T322" t="b">
        <v>1</v>
      </c>
    </row>
    <row r="323" spans="1:20" x14ac:dyDescent="0.3">
      <c r="A323" t="s">
        <v>724</v>
      </c>
      <c r="B323" s="1">
        <v>40736</v>
      </c>
      <c r="C323" s="1">
        <v>40740</v>
      </c>
      <c r="D323" t="s">
        <v>725</v>
      </c>
      <c r="E323" t="s">
        <v>22</v>
      </c>
      <c r="F323" t="s">
        <v>54</v>
      </c>
      <c r="G323" t="s">
        <v>726</v>
      </c>
      <c r="H323">
        <v>255.93600000000001</v>
      </c>
      <c r="I323">
        <v>8</v>
      </c>
      <c r="J323">
        <v>28.7928</v>
      </c>
      <c r="K323">
        <v>2011</v>
      </c>
      <c r="L323">
        <v>7</v>
      </c>
      <c r="M323" t="s">
        <v>66</v>
      </c>
      <c r="N323">
        <v>12</v>
      </c>
      <c r="O323">
        <v>4</v>
      </c>
      <c r="P323">
        <v>11.25</v>
      </c>
      <c r="Q323">
        <v>31.992000000000001</v>
      </c>
      <c r="R323" t="s">
        <v>26</v>
      </c>
      <c r="S323" t="b">
        <v>0</v>
      </c>
      <c r="T323" t="b">
        <v>1</v>
      </c>
    </row>
    <row r="324" spans="1:20" x14ac:dyDescent="0.3">
      <c r="A324" t="s">
        <v>727</v>
      </c>
      <c r="B324" s="1">
        <v>41950</v>
      </c>
      <c r="C324" s="1">
        <v>41955</v>
      </c>
      <c r="D324" t="s">
        <v>411</v>
      </c>
      <c r="E324" t="s">
        <v>22</v>
      </c>
      <c r="F324" t="s">
        <v>128</v>
      </c>
      <c r="G324" t="s">
        <v>728</v>
      </c>
      <c r="H324">
        <v>15.28</v>
      </c>
      <c r="I324">
        <v>2</v>
      </c>
      <c r="J324">
        <v>7.4871999999999996</v>
      </c>
      <c r="K324">
        <v>2014</v>
      </c>
      <c r="L324">
        <v>11</v>
      </c>
      <c r="M324" t="s">
        <v>70</v>
      </c>
      <c r="N324">
        <v>7</v>
      </c>
      <c r="O324">
        <v>5</v>
      </c>
      <c r="P324">
        <v>49</v>
      </c>
      <c r="Q324">
        <v>7.64</v>
      </c>
      <c r="R324" t="s">
        <v>26</v>
      </c>
      <c r="S324" t="b">
        <v>0</v>
      </c>
      <c r="T324" t="b">
        <v>0</v>
      </c>
    </row>
    <row r="325" spans="1:20" x14ac:dyDescent="0.3">
      <c r="A325" t="s">
        <v>727</v>
      </c>
      <c r="B325" s="1">
        <v>41950</v>
      </c>
      <c r="C325" s="1">
        <v>41955</v>
      </c>
      <c r="D325" t="s">
        <v>411</v>
      </c>
      <c r="E325" t="s">
        <v>22</v>
      </c>
      <c r="F325" t="s">
        <v>29</v>
      </c>
      <c r="G325" t="s">
        <v>729</v>
      </c>
      <c r="H325">
        <v>8.73</v>
      </c>
      <c r="I325">
        <v>1</v>
      </c>
      <c r="J325">
        <v>2.9681999999999999</v>
      </c>
      <c r="K325">
        <v>2014</v>
      </c>
      <c r="L325">
        <v>11</v>
      </c>
      <c r="M325" t="s">
        <v>70</v>
      </c>
      <c r="N325">
        <v>7</v>
      </c>
      <c r="O325">
        <v>5</v>
      </c>
      <c r="P325">
        <v>34</v>
      </c>
      <c r="Q325">
        <v>8.73</v>
      </c>
      <c r="R325" t="s">
        <v>26</v>
      </c>
      <c r="S325" t="b">
        <v>0</v>
      </c>
      <c r="T325" t="b">
        <v>0</v>
      </c>
    </row>
    <row r="326" spans="1:20" x14ac:dyDescent="0.3">
      <c r="A326" t="s">
        <v>727</v>
      </c>
      <c r="B326" s="1">
        <v>41950</v>
      </c>
      <c r="C326" s="1">
        <v>41955</v>
      </c>
      <c r="D326" t="s">
        <v>411</v>
      </c>
      <c r="E326" t="s">
        <v>22</v>
      </c>
      <c r="F326" t="s">
        <v>31</v>
      </c>
      <c r="G326" t="s">
        <v>730</v>
      </c>
      <c r="H326">
        <v>5.68</v>
      </c>
      <c r="I326">
        <v>2</v>
      </c>
      <c r="J326">
        <v>1.7607999999999999</v>
      </c>
      <c r="K326">
        <v>2014</v>
      </c>
      <c r="L326">
        <v>11</v>
      </c>
      <c r="M326" t="s">
        <v>70</v>
      </c>
      <c r="N326">
        <v>7</v>
      </c>
      <c r="O326">
        <v>5</v>
      </c>
      <c r="P326">
        <v>31</v>
      </c>
      <c r="Q326">
        <v>2.84</v>
      </c>
      <c r="R326" t="s">
        <v>26</v>
      </c>
      <c r="S326" t="b">
        <v>0</v>
      </c>
      <c r="T326" t="b">
        <v>0</v>
      </c>
    </row>
    <row r="327" spans="1:20" x14ac:dyDescent="0.3">
      <c r="A327" t="s">
        <v>731</v>
      </c>
      <c r="B327" s="1">
        <v>40766</v>
      </c>
      <c r="C327" s="1">
        <v>40770</v>
      </c>
      <c r="D327" t="s">
        <v>732</v>
      </c>
      <c r="E327" t="s">
        <v>39</v>
      </c>
      <c r="F327" t="s">
        <v>29</v>
      </c>
      <c r="G327" t="s">
        <v>733</v>
      </c>
      <c r="H327">
        <v>12.35</v>
      </c>
      <c r="I327">
        <v>1</v>
      </c>
      <c r="J327">
        <v>5.4340000000000002</v>
      </c>
      <c r="K327">
        <v>2011</v>
      </c>
      <c r="L327">
        <v>8</v>
      </c>
      <c r="M327" t="s">
        <v>53</v>
      </c>
      <c r="N327">
        <v>11</v>
      </c>
      <c r="O327">
        <v>4</v>
      </c>
      <c r="P327">
        <v>44</v>
      </c>
      <c r="Q327">
        <v>12.35</v>
      </c>
      <c r="R327" t="s">
        <v>26</v>
      </c>
      <c r="S327" t="b">
        <v>0</v>
      </c>
      <c r="T327" t="b">
        <v>0</v>
      </c>
    </row>
    <row r="328" spans="1:20" x14ac:dyDescent="0.3">
      <c r="A328" t="s">
        <v>731</v>
      </c>
      <c r="B328" s="1">
        <v>40766</v>
      </c>
      <c r="C328" s="1">
        <v>40770</v>
      </c>
      <c r="D328" t="s">
        <v>732</v>
      </c>
      <c r="E328" t="s">
        <v>39</v>
      </c>
      <c r="F328" t="s">
        <v>31</v>
      </c>
      <c r="G328" t="s">
        <v>734</v>
      </c>
      <c r="H328">
        <v>40.97</v>
      </c>
      <c r="I328">
        <v>1</v>
      </c>
      <c r="J328">
        <v>10.652200000000001</v>
      </c>
      <c r="K328">
        <v>2011</v>
      </c>
      <c r="L328">
        <v>8</v>
      </c>
      <c r="M328" t="s">
        <v>53</v>
      </c>
      <c r="N328">
        <v>11</v>
      </c>
      <c r="O328">
        <v>4</v>
      </c>
      <c r="P328">
        <v>26</v>
      </c>
      <c r="Q328">
        <v>40.97</v>
      </c>
      <c r="R328" t="s">
        <v>26</v>
      </c>
      <c r="S328" t="b">
        <v>0</v>
      </c>
      <c r="T328" t="b">
        <v>0</v>
      </c>
    </row>
    <row r="329" spans="1:20" x14ac:dyDescent="0.3">
      <c r="A329" t="s">
        <v>731</v>
      </c>
      <c r="B329" s="1">
        <v>40766</v>
      </c>
      <c r="C329" s="1">
        <v>40770</v>
      </c>
      <c r="D329" t="s">
        <v>732</v>
      </c>
      <c r="E329" t="s">
        <v>39</v>
      </c>
      <c r="F329" t="s">
        <v>119</v>
      </c>
      <c r="G329" t="s">
        <v>221</v>
      </c>
      <c r="H329">
        <v>22.96</v>
      </c>
      <c r="I329">
        <v>2</v>
      </c>
      <c r="J329">
        <v>10.7912</v>
      </c>
      <c r="K329">
        <v>2011</v>
      </c>
      <c r="L329">
        <v>8</v>
      </c>
      <c r="M329" t="s">
        <v>53</v>
      </c>
      <c r="N329">
        <v>11</v>
      </c>
      <c r="O329">
        <v>4</v>
      </c>
      <c r="P329">
        <v>47</v>
      </c>
      <c r="Q329">
        <v>11.48</v>
      </c>
      <c r="R329" t="s">
        <v>26</v>
      </c>
      <c r="S329" t="b">
        <v>0</v>
      </c>
      <c r="T329" t="b">
        <v>0</v>
      </c>
    </row>
    <row r="330" spans="1:20" x14ac:dyDescent="0.3">
      <c r="A330" t="s">
        <v>735</v>
      </c>
      <c r="B330" s="1">
        <v>40889</v>
      </c>
      <c r="C330" s="1">
        <v>40891</v>
      </c>
      <c r="D330" t="s">
        <v>736</v>
      </c>
      <c r="E330" t="s">
        <v>737</v>
      </c>
      <c r="F330" t="s">
        <v>317</v>
      </c>
      <c r="G330" t="s">
        <v>738</v>
      </c>
      <c r="H330">
        <v>254.97450000000001</v>
      </c>
      <c r="I330">
        <v>3</v>
      </c>
      <c r="J330">
        <v>11.998799999999999</v>
      </c>
      <c r="K330">
        <v>2011</v>
      </c>
      <c r="L330">
        <v>12</v>
      </c>
      <c r="M330" t="s">
        <v>41</v>
      </c>
      <c r="N330">
        <v>12</v>
      </c>
      <c r="O330">
        <v>2</v>
      </c>
      <c r="P330">
        <v>4.71</v>
      </c>
      <c r="Q330">
        <v>84.991500000000002</v>
      </c>
      <c r="R330" t="s">
        <v>26</v>
      </c>
      <c r="S330" t="b">
        <v>0</v>
      </c>
      <c r="T330" t="b">
        <v>1</v>
      </c>
    </row>
    <row r="331" spans="1:20" x14ac:dyDescent="0.3">
      <c r="A331" t="s">
        <v>739</v>
      </c>
      <c r="B331" s="1">
        <v>41885</v>
      </c>
      <c r="C331" s="1">
        <v>41890</v>
      </c>
      <c r="D331" t="s">
        <v>740</v>
      </c>
      <c r="E331" t="s">
        <v>51</v>
      </c>
      <c r="F331" t="s">
        <v>31</v>
      </c>
      <c r="G331" t="s">
        <v>741</v>
      </c>
      <c r="H331">
        <v>6.57</v>
      </c>
      <c r="I331">
        <v>3</v>
      </c>
      <c r="J331">
        <v>1.7739</v>
      </c>
      <c r="K331">
        <v>2014</v>
      </c>
      <c r="L331">
        <v>9</v>
      </c>
      <c r="M331" t="s">
        <v>87</v>
      </c>
      <c r="N331">
        <v>3</v>
      </c>
      <c r="O331">
        <v>5</v>
      </c>
      <c r="P331">
        <v>27</v>
      </c>
      <c r="Q331">
        <v>2.19</v>
      </c>
      <c r="R331" t="s">
        <v>26</v>
      </c>
      <c r="S331" t="b">
        <v>0</v>
      </c>
      <c r="T331" t="b">
        <v>0</v>
      </c>
    </row>
    <row r="332" spans="1:20" x14ac:dyDescent="0.3">
      <c r="A332" t="s">
        <v>742</v>
      </c>
      <c r="B332" s="1">
        <v>40901</v>
      </c>
      <c r="C332" s="1">
        <v>40906</v>
      </c>
      <c r="D332" t="s">
        <v>743</v>
      </c>
      <c r="E332" t="s">
        <v>22</v>
      </c>
      <c r="F332" t="s">
        <v>45</v>
      </c>
      <c r="G332" t="s">
        <v>744</v>
      </c>
      <c r="H332">
        <v>142.86000000000001</v>
      </c>
      <c r="I332">
        <v>1</v>
      </c>
      <c r="J332">
        <v>41.429400000000001</v>
      </c>
      <c r="K332">
        <v>2011</v>
      </c>
      <c r="L332">
        <v>12</v>
      </c>
      <c r="M332" t="s">
        <v>41</v>
      </c>
      <c r="N332">
        <v>24</v>
      </c>
      <c r="O332">
        <v>5</v>
      </c>
      <c r="P332">
        <v>29</v>
      </c>
      <c r="Q332">
        <v>142.86000000000001</v>
      </c>
      <c r="R332" t="s">
        <v>26</v>
      </c>
      <c r="S332" t="b">
        <v>0</v>
      </c>
      <c r="T332" t="b">
        <v>0</v>
      </c>
    </row>
    <row r="333" spans="1:20" x14ac:dyDescent="0.3">
      <c r="A333" t="s">
        <v>742</v>
      </c>
      <c r="B333" s="1">
        <v>40901</v>
      </c>
      <c r="C333" s="1">
        <v>40906</v>
      </c>
      <c r="D333" t="s">
        <v>743</v>
      </c>
      <c r="E333" t="s">
        <v>22</v>
      </c>
      <c r="F333" t="s">
        <v>110</v>
      </c>
      <c r="G333" t="s">
        <v>645</v>
      </c>
      <c r="H333">
        <v>292.27199999999999</v>
      </c>
      <c r="I333">
        <v>6</v>
      </c>
      <c r="J333">
        <v>18.266999999999999</v>
      </c>
      <c r="K333">
        <v>2011</v>
      </c>
      <c r="L333">
        <v>12</v>
      </c>
      <c r="M333" t="s">
        <v>41</v>
      </c>
      <c r="N333">
        <v>24</v>
      </c>
      <c r="O333">
        <v>5</v>
      </c>
      <c r="P333">
        <v>6.25</v>
      </c>
      <c r="Q333">
        <v>48.712000000000003</v>
      </c>
      <c r="R333" t="s">
        <v>26</v>
      </c>
      <c r="S333" t="b">
        <v>0</v>
      </c>
      <c r="T333" t="b">
        <v>1</v>
      </c>
    </row>
    <row r="334" spans="1:20" x14ac:dyDescent="0.3">
      <c r="A334" t="s">
        <v>745</v>
      </c>
      <c r="B334" s="1">
        <v>41906</v>
      </c>
      <c r="C334" s="1">
        <v>41910</v>
      </c>
      <c r="D334" t="s">
        <v>746</v>
      </c>
      <c r="E334" t="s">
        <v>297</v>
      </c>
      <c r="F334" t="s">
        <v>29</v>
      </c>
      <c r="G334" t="s">
        <v>469</v>
      </c>
      <c r="H334">
        <v>29.327999999999999</v>
      </c>
      <c r="I334">
        <v>3</v>
      </c>
      <c r="J334">
        <v>3.6659999999999999</v>
      </c>
      <c r="K334">
        <v>2014</v>
      </c>
      <c r="L334">
        <v>9</v>
      </c>
      <c r="M334" t="s">
        <v>87</v>
      </c>
      <c r="N334">
        <v>24</v>
      </c>
      <c r="O334">
        <v>4</v>
      </c>
      <c r="P334">
        <v>12.5</v>
      </c>
      <c r="Q334">
        <v>9.7759999999999998</v>
      </c>
      <c r="R334" t="s">
        <v>48</v>
      </c>
      <c r="S334" t="b">
        <v>0</v>
      </c>
      <c r="T334" t="b">
        <v>0</v>
      </c>
    </row>
    <row r="335" spans="1:20" x14ac:dyDescent="0.3">
      <c r="A335" t="s">
        <v>747</v>
      </c>
      <c r="B335" s="1">
        <v>41589</v>
      </c>
      <c r="C335" s="1">
        <v>41591</v>
      </c>
      <c r="D335" t="s">
        <v>748</v>
      </c>
      <c r="E335" t="s">
        <v>51</v>
      </c>
      <c r="F335" t="s">
        <v>33</v>
      </c>
      <c r="G335" t="s">
        <v>749</v>
      </c>
      <c r="H335">
        <v>13.215999999999999</v>
      </c>
      <c r="I335">
        <v>4</v>
      </c>
      <c r="J335">
        <v>4.4603999999999999</v>
      </c>
      <c r="K335">
        <v>2013</v>
      </c>
      <c r="L335">
        <v>11</v>
      </c>
      <c r="M335" t="s">
        <v>70</v>
      </c>
      <c r="N335">
        <v>11</v>
      </c>
      <c r="O335">
        <v>2</v>
      </c>
      <c r="P335">
        <v>33.75</v>
      </c>
      <c r="Q335">
        <v>3.3039999999999998</v>
      </c>
      <c r="R335" t="s">
        <v>26</v>
      </c>
      <c r="S335" t="b">
        <v>0</v>
      </c>
      <c r="T335" t="b">
        <v>0</v>
      </c>
    </row>
    <row r="336" spans="1:20" x14ac:dyDescent="0.3">
      <c r="A336" t="s">
        <v>747</v>
      </c>
      <c r="B336" s="1">
        <v>41589</v>
      </c>
      <c r="C336" s="1">
        <v>41591</v>
      </c>
      <c r="D336" t="s">
        <v>748</v>
      </c>
      <c r="E336" t="s">
        <v>51</v>
      </c>
      <c r="F336" t="s">
        <v>72</v>
      </c>
      <c r="G336" t="s">
        <v>750</v>
      </c>
      <c r="H336">
        <v>32.4</v>
      </c>
      <c r="I336">
        <v>5</v>
      </c>
      <c r="J336">
        <v>15.552</v>
      </c>
      <c r="K336">
        <v>2013</v>
      </c>
      <c r="L336">
        <v>11</v>
      </c>
      <c r="M336" t="s">
        <v>70</v>
      </c>
      <c r="N336">
        <v>11</v>
      </c>
      <c r="O336">
        <v>2</v>
      </c>
      <c r="P336">
        <v>48</v>
      </c>
      <c r="Q336">
        <v>6.48</v>
      </c>
      <c r="R336" t="s">
        <v>26</v>
      </c>
      <c r="S336" t="b">
        <v>0</v>
      </c>
      <c r="T336" t="b">
        <v>0</v>
      </c>
    </row>
    <row r="337" spans="1:20" x14ac:dyDescent="0.3">
      <c r="A337" t="s">
        <v>751</v>
      </c>
      <c r="B337" s="1">
        <v>41148</v>
      </c>
      <c r="C337" s="1">
        <v>41153</v>
      </c>
      <c r="D337" t="s">
        <v>623</v>
      </c>
      <c r="E337" t="s">
        <v>194</v>
      </c>
      <c r="F337" t="s">
        <v>122</v>
      </c>
      <c r="G337" t="s">
        <v>123</v>
      </c>
      <c r="H337">
        <v>32.94</v>
      </c>
      <c r="I337">
        <v>3</v>
      </c>
      <c r="J337">
        <v>9.2232000000000003</v>
      </c>
      <c r="K337">
        <v>2012</v>
      </c>
      <c r="L337">
        <v>8</v>
      </c>
      <c r="M337" t="s">
        <v>53</v>
      </c>
      <c r="N337">
        <v>27</v>
      </c>
      <c r="O337">
        <v>5</v>
      </c>
      <c r="P337">
        <v>28</v>
      </c>
      <c r="Q337">
        <v>10.98</v>
      </c>
      <c r="R337" t="s">
        <v>26</v>
      </c>
      <c r="S337" t="b">
        <v>0</v>
      </c>
      <c r="T337" t="b">
        <v>0</v>
      </c>
    </row>
    <row r="338" spans="1:20" x14ac:dyDescent="0.3">
      <c r="A338" t="s">
        <v>751</v>
      </c>
      <c r="B338" s="1">
        <v>41148</v>
      </c>
      <c r="C338" s="1">
        <v>41153</v>
      </c>
      <c r="D338" t="s">
        <v>623</v>
      </c>
      <c r="E338" t="s">
        <v>194</v>
      </c>
      <c r="F338" t="s">
        <v>72</v>
      </c>
      <c r="G338" t="s">
        <v>752</v>
      </c>
      <c r="H338">
        <v>114.2</v>
      </c>
      <c r="I338">
        <v>5</v>
      </c>
      <c r="J338">
        <v>52.531999999999996</v>
      </c>
      <c r="K338">
        <v>2012</v>
      </c>
      <c r="L338">
        <v>8</v>
      </c>
      <c r="M338" t="s">
        <v>53</v>
      </c>
      <c r="N338">
        <v>27</v>
      </c>
      <c r="O338">
        <v>5</v>
      </c>
      <c r="P338">
        <v>46</v>
      </c>
      <c r="Q338">
        <v>22.84</v>
      </c>
      <c r="R338" t="s">
        <v>26</v>
      </c>
      <c r="S338" t="b">
        <v>0</v>
      </c>
      <c r="T338" t="b">
        <v>0</v>
      </c>
    </row>
    <row r="339" spans="1:20" x14ac:dyDescent="0.3">
      <c r="A339" t="s">
        <v>751</v>
      </c>
      <c r="B339" s="1">
        <v>41148</v>
      </c>
      <c r="C339" s="1">
        <v>41153</v>
      </c>
      <c r="D339" t="s">
        <v>623</v>
      </c>
      <c r="E339" t="s">
        <v>194</v>
      </c>
      <c r="F339" t="s">
        <v>23</v>
      </c>
      <c r="G339" t="s">
        <v>753</v>
      </c>
      <c r="H339">
        <v>3.08</v>
      </c>
      <c r="I339">
        <v>1</v>
      </c>
      <c r="J339">
        <v>1.4783999999999999</v>
      </c>
      <c r="K339">
        <v>2012</v>
      </c>
      <c r="L339">
        <v>8</v>
      </c>
      <c r="M339" t="s">
        <v>53</v>
      </c>
      <c r="N339">
        <v>27</v>
      </c>
      <c r="O339">
        <v>5</v>
      </c>
      <c r="P339">
        <v>48</v>
      </c>
      <c r="Q339">
        <v>3.08</v>
      </c>
      <c r="R339" t="s">
        <v>26</v>
      </c>
      <c r="S339" t="b">
        <v>0</v>
      </c>
      <c r="T339" t="b">
        <v>0</v>
      </c>
    </row>
    <row r="340" spans="1:20" x14ac:dyDescent="0.3">
      <c r="A340" t="s">
        <v>754</v>
      </c>
      <c r="B340" s="1">
        <v>42004</v>
      </c>
      <c r="C340" s="1">
        <v>42008</v>
      </c>
      <c r="D340" t="s">
        <v>755</v>
      </c>
      <c r="E340" t="s">
        <v>756</v>
      </c>
      <c r="F340" t="s">
        <v>33</v>
      </c>
      <c r="G340" t="s">
        <v>757</v>
      </c>
      <c r="H340">
        <v>13.904</v>
      </c>
      <c r="I340">
        <v>2</v>
      </c>
      <c r="J340">
        <v>4.5187999999999997</v>
      </c>
      <c r="K340">
        <v>2014</v>
      </c>
      <c r="L340">
        <v>12</v>
      </c>
      <c r="M340" t="s">
        <v>41</v>
      </c>
      <c r="N340">
        <v>31</v>
      </c>
      <c r="O340">
        <v>4</v>
      </c>
      <c r="P340">
        <v>32.5</v>
      </c>
      <c r="Q340">
        <v>6.952</v>
      </c>
      <c r="R340" t="s">
        <v>26</v>
      </c>
      <c r="S340" t="b">
        <v>0</v>
      </c>
      <c r="T340" t="b">
        <v>0</v>
      </c>
    </row>
    <row r="341" spans="1:20" x14ac:dyDescent="0.3">
      <c r="A341" t="s">
        <v>754</v>
      </c>
      <c r="B341" s="1">
        <v>42004</v>
      </c>
      <c r="C341" s="1">
        <v>42008</v>
      </c>
      <c r="D341" t="s">
        <v>755</v>
      </c>
      <c r="E341" t="s">
        <v>756</v>
      </c>
      <c r="F341" t="s">
        <v>33</v>
      </c>
      <c r="G341" t="s">
        <v>758</v>
      </c>
      <c r="H341">
        <v>20.72</v>
      </c>
      <c r="I341">
        <v>2</v>
      </c>
      <c r="J341">
        <v>6.4749999999999996</v>
      </c>
      <c r="K341">
        <v>2014</v>
      </c>
      <c r="L341">
        <v>12</v>
      </c>
      <c r="M341" t="s">
        <v>41</v>
      </c>
      <c r="N341">
        <v>31</v>
      </c>
      <c r="O341">
        <v>4</v>
      </c>
      <c r="P341">
        <v>31.25</v>
      </c>
      <c r="Q341">
        <v>10.36</v>
      </c>
      <c r="R341" t="s">
        <v>26</v>
      </c>
      <c r="S341" t="b">
        <v>0</v>
      </c>
      <c r="T341" t="b">
        <v>0</v>
      </c>
    </row>
    <row r="342" spans="1:20" x14ac:dyDescent="0.3">
      <c r="A342" t="s">
        <v>759</v>
      </c>
      <c r="B342" s="1">
        <v>41186</v>
      </c>
      <c r="C342" s="1">
        <v>41189</v>
      </c>
      <c r="D342" t="s">
        <v>760</v>
      </c>
      <c r="E342" t="s">
        <v>51</v>
      </c>
      <c r="F342" t="s">
        <v>45</v>
      </c>
      <c r="G342" t="s">
        <v>142</v>
      </c>
      <c r="H342">
        <v>26.96</v>
      </c>
      <c r="I342">
        <v>2</v>
      </c>
      <c r="J342">
        <v>7.0095999999999998</v>
      </c>
      <c r="K342">
        <v>2012</v>
      </c>
      <c r="L342">
        <v>10</v>
      </c>
      <c r="M342" t="s">
        <v>82</v>
      </c>
      <c r="N342">
        <v>4</v>
      </c>
      <c r="O342">
        <v>3</v>
      </c>
      <c r="P342">
        <v>26</v>
      </c>
      <c r="Q342">
        <v>13.48</v>
      </c>
      <c r="R342" t="s">
        <v>26</v>
      </c>
      <c r="S342" t="b">
        <v>0</v>
      </c>
      <c r="T342" t="b">
        <v>0</v>
      </c>
    </row>
    <row r="343" spans="1:20" x14ac:dyDescent="0.3">
      <c r="A343" t="s">
        <v>761</v>
      </c>
      <c r="B343" s="1">
        <v>41446</v>
      </c>
      <c r="C343" s="1">
        <v>41447</v>
      </c>
      <c r="D343" t="s">
        <v>762</v>
      </c>
      <c r="E343" t="s">
        <v>763</v>
      </c>
      <c r="F343" t="s">
        <v>72</v>
      </c>
      <c r="G343" t="s">
        <v>764</v>
      </c>
      <c r="H343">
        <v>46.76</v>
      </c>
      <c r="I343">
        <v>7</v>
      </c>
      <c r="J343">
        <v>22.444800000000001</v>
      </c>
      <c r="K343">
        <v>2013</v>
      </c>
      <c r="L343">
        <v>6</v>
      </c>
      <c r="M343" t="s">
        <v>25</v>
      </c>
      <c r="N343">
        <v>21</v>
      </c>
      <c r="O343">
        <v>1</v>
      </c>
      <c r="P343">
        <v>48</v>
      </c>
      <c r="Q343">
        <v>6.68</v>
      </c>
      <c r="R343" t="s">
        <v>26</v>
      </c>
      <c r="S343" t="b">
        <v>0</v>
      </c>
      <c r="T343" t="b">
        <v>0</v>
      </c>
    </row>
    <row r="344" spans="1:20" x14ac:dyDescent="0.3">
      <c r="A344" t="s">
        <v>761</v>
      </c>
      <c r="B344" s="1">
        <v>41446</v>
      </c>
      <c r="C344" s="1">
        <v>41447</v>
      </c>
      <c r="D344" t="s">
        <v>762</v>
      </c>
      <c r="E344" t="s">
        <v>763</v>
      </c>
      <c r="F344" t="s">
        <v>33</v>
      </c>
      <c r="G344" t="s">
        <v>634</v>
      </c>
      <c r="H344">
        <v>17.712</v>
      </c>
      <c r="I344">
        <v>3</v>
      </c>
      <c r="J344">
        <v>6.4206000000000003</v>
      </c>
      <c r="K344">
        <v>2013</v>
      </c>
      <c r="L344">
        <v>6</v>
      </c>
      <c r="M344" t="s">
        <v>25</v>
      </c>
      <c r="N344">
        <v>21</v>
      </c>
      <c r="O344">
        <v>1</v>
      </c>
      <c r="P344">
        <v>36.25</v>
      </c>
      <c r="Q344">
        <v>5.9039999999999999</v>
      </c>
      <c r="R344" t="s">
        <v>26</v>
      </c>
      <c r="S344" t="b">
        <v>0</v>
      </c>
      <c r="T344" t="b">
        <v>0</v>
      </c>
    </row>
    <row r="345" spans="1:20" x14ac:dyDescent="0.3">
      <c r="A345" t="s">
        <v>761</v>
      </c>
      <c r="B345" s="1">
        <v>41446</v>
      </c>
      <c r="C345" s="1">
        <v>41447</v>
      </c>
      <c r="D345" t="s">
        <v>762</v>
      </c>
      <c r="E345" t="s">
        <v>763</v>
      </c>
      <c r="F345" t="s">
        <v>35</v>
      </c>
      <c r="G345" t="s">
        <v>765</v>
      </c>
      <c r="H345">
        <v>21.78</v>
      </c>
      <c r="I345">
        <v>2</v>
      </c>
      <c r="J345">
        <v>5.6627999999999998</v>
      </c>
      <c r="K345">
        <v>2013</v>
      </c>
      <c r="L345">
        <v>6</v>
      </c>
      <c r="M345" t="s">
        <v>25</v>
      </c>
      <c r="N345">
        <v>21</v>
      </c>
      <c r="O345">
        <v>1</v>
      </c>
      <c r="P345">
        <v>26</v>
      </c>
      <c r="Q345">
        <v>10.89</v>
      </c>
      <c r="R345" t="s">
        <v>26</v>
      </c>
      <c r="S345" t="b">
        <v>0</v>
      </c>
      <c r="T345" t="b">
        <v>0</v>
      </c>
    </row>
    <row r="346" spans="1:20" x14ac:dyDescent="0.3">
      <c r="A346" t="s">
        <v>761</v>
      </c>
      <c r="B346" s="1">
        <v>41446</v>
      </c>
      <c r="C346" s="1">
        <v>41447</v>
      </c>
      <c r="D346" t="s">
        <v>762</v>
      </c>
      <c r="E346" t="s">
        <v>763</v>
      </c>
      <c r="F346" t="s">
        <v>45</v>
      </c>
      <c r="G346" t="s">
        <v>766</v>
      </c>
      <c r="H346">
        <v>161.94</v>
      </c>
      <c r="I346">
        <v>3</v>
      </c>
      <c r="J346">
        <v>9.7164000000000001</v>
      </c>
      <c r="K346">
        <v>2013</v>
      </c>
      <c r="L346">
        <v>6</v>
      </c>
      <c r="M346" t="s">
        <v>25</v>
      </c>
      <c r="N346">
        <v>21</v>
      </c>
      <c r="O346">
        <v>1</v>
      </c>
      <c r="P346">
        <v>6</v>
      </c>
      <c r="Q346">
        <v>53.98</v>
      </c>
      <c r="R346" t="s">
        <v>26</v>
      </c>
      <c r="S346" t="b">
        <v>0</v>
      </c>
      <c r="T346" t="b">
        <v>0</v>
      </c>
    </row>
    <row r="347" spans="1:20" x14ac:dyDescent="0.3">
      <c r="A347" t="s">
        <v>761</v>
      </c>
      <c r="B347" s="1">
        <v>41446</v>
      </c>
      <c r="C347" s="1">
        <v>41447</v>
      </c>
      <c r="D347" t="s">
        <v>762</v>
      </c>
      <c r="E347" t="s">
        <v>763</v>
      </c>
      <c r="F347" t="s">
        <v>110</v>
      </c>
      <c r="G347" t="s">
        <v>767</v>
      </c>
      <c r="H347">
        <v>161.56800000000001</v>
      </c>
      <c r="I347">
        <v>2</v>
      </c>
      <c r="J347">
        <v>-8.0784000000000002</v>
      </c>
      <c r="K347">
        <v>2013</v>
      </c>
      <c r="L347">
        <v>6</v>
      </c>
      <c r="M347" t="s">
        <v>25</v>
      </c>
      <c r="N347">
        <v>21</v>
      </c>
      <c r="O347">
        <v>1</v>
      </c>
      <c r="P347">
        <v>-5</v>
      </c>
      <c r="Q347">
        <v>80.784000000000006</v>
      </c>
      <c r="R347" t="s">
        <v>26</v>
      </c>
      <c r="S347" t="b">
        <v>1</v>
      </c>
      <c r="T347" t="b">
        <v>0</v>
      </c>
    </row>
    <row r="348" spans="1:20" x14ac:dyDescent="0.3">
      <c r="A348" t="s">
        <v>768</v>
      </c>
      <c r="B348" s="1">
        <v>41627</v>
      </c>
      <c r="C348" s="1">
        <v>41632</v>
      </c>
      <c r="D348" t="s">
        <v>769</v>
      </c>
      <c r="E348" t="s">
        <v>22</v>
      </c>
      <c r="F348" t="s">
        <v>72</v>
      </c>
      <c r="G348" t="s">
        <v>770</v>
      </c>
      <c r="H348">
        <v>38.880000000000003</v>
      </c>
      <c r="I348">
        <v>6</v>
      </c>
      <c r="J348">
        <v>18.662400000000002</v>
      </c>
      <c r="K348">
        <v>2013</v>
      </c>
      <c r="L348">
        <v>12</v>
      </c>
      <c r="M348" t="s">
        <v>41</v>
      </c>
      <c r="N348">
        <v>19</v>
      </c>
      <c r="O348">
        <v>5</v>
      </c>
      <c r="P348">
        <v>48</v>
      </c>
      <c r="Q348">
        <v>6.48</v>
      </c>
      <c r="R348" t="s">
        <v>26</v>
      </c>
      <c r="S348" t="b">
        <v>0</v>
      </c>
      <c r="T348" t="b">
        <v>0</v>
      </c>
    </row>
    <row r="349" spans="1:20" x14ac:dyDescent="0.3">
      <c r="A349" t="s">
        <v>768</v>
      </c>
      <c r="B349" s="1">
        <v>41627</v>
      </c>
      <c r="C349" s="1">
        <v>41632</v>
      </c>
      <c r="D349" t="s">
        <v>769</v>
      </c>
      <c r="E349" t="s">
        <v>22</v>
      </c>
      <c r="F349" t="s">
        <v>29</v>
      </c>
      <c r="G349" t="s">
        <v>771</v>
      </c>
      <c r="H349">
        <v>183.84</v>
      </c>
      <c r="I349">
        <v>8</v>
      </c>
      <c r="J349">
        <v>62.505600000000001</v>
      </c>
      <c r="K349">
        <v>2013</v>
      </c>
      <c r="L349">
        <v>12</v>
      </c>
      <c r="M349" t="s">
        <v>41</v>
      </c>
      <c r="N349">
        <v>19</v>
      </c>
      <c r="O349">
        <v>5</v>
      </c>
      <c r="P349">
        <v>34</v>
      </c>
      <c r="Q349">
        <v>22.98</v>
      </c>
      <c r="R349" t="s">
        <v>26</v>
      </c>
      <c r="S349" t="b">
        <v>0</v>
      </c>
      <c r="T349" t="b">
        <v>0</v>
      </c>
    </row>
    <row r="350" spans="1:20" x14ac:dyDescent="0.3">
      <c r="A350" t="s">
        <v>772</v>
      </c>
      <c r="B350" s="1">
        <v>41928</v>
      </c>
      <c r="C350" s="1">
        <v>41931</v>
      </c>
      <c r="D350" t="s">
        <v>773</v>
      </c>
      <c r="E350" t="s">
        <v>51</v>
      </c>
      <c r="F350" t="s">
        <v>31</v>
      </c>
      <c r="G350" t="s">
        <v>774</v>
      </c>
      <c r="H350">
        <v>87.92</v>
      </c>
      <c r="I350">
        <v>4</v>
      </c>
      <c r="J350">
        <v>26.376000000000001</v>
      </c>
      <c r="K350">
        <v>2014</v>
      </c>
      <c r="L350">
        <v>10</v>
      </c>
      <c r="M350" t="s">
        <v>82</v>
      </c>
      <c r="N350">
        <v>16</v>
      </c>
      <c r="O350">
        <v>3</v>
      </c>
      <c r="P350">
        <v>30</v>
      </c>
      <c r="Q350">
        <v>21.98</v>
      </c>
      <c r="R350" t="s">
        <v>26</v>
      </c>
      <c r="S350" t="b">
        <v>0</v>
      </c>
      <c r="T350" t="b">
        <v>0</v>
      </c>
    </row>
    <row r="351" spans="1:20" x14ac:dyDescent="0.3">
      <c r="A351" t="s">
        <v>775</v>
      </c>
      <c r="B351" s="1">
        <v>41418</v>
      </c>
      <c r="C351" s="1">
        <v>41422</v>
      </c>
      <c r="D351" t="s">
        <v>776</v>
      </c>
      <c r="E351" t="s">
        <v>51</v>
      </c>
      <c r="F351" t="s">
        <v>29</v>
      </c>
      <c r="G351" t="s">
        <v>733</v>
      </c>
      <c r="H351">
        <v>37.049999999999997</v>
      </c>
      <c r="I351">
        <v>3</v>
      </c>
      <c r="J351">
        <v>16.302</v>
      </c>
      <c r="K351">
        <v>2013</v>
      </c>
      <c r="L351">
        <v>5</v>
      </c>
      <c r="M351" t="s">
        <v>47</v>
      </c>
      <c r="N351">
        <v>24</v>
      </c>
      <c r="O351">
        <v>4</v>
      </c>
      <c r="P351">
        <v>44</v>
      </c>
      <c r="Q351">
        <v>12.35</v>
      </c>
      <c r="R351" t="s">
        <v>26</v>
      </c>
      <c r="S351" t="b">
        <v>0</v>
      </c>
      <c r="T351" t="b">
        <v>0</v>
      </c>
    </row>
    <row r="352" spans="1:20" x14ac:dyDescent="0.3">
      <c r="A352" t="s">
        <v>777</v>
      </c>
      <c r="B352" s="1">
        <v>40669</v>
      </c>
      <c r="C352" s="1">
        <v>40673</v>
      </c>
      <c r="D352" t="s">
        <v>778</v>
      </c>
      <c r="E352" t="s">
        <v>22</v>
      </c>
      <c r="F352" t="s">
        <v>33</v>
      </c>
      <c r="G352" t="s">
        <v>779</v>
      </c>
      <c r="H352">
        <v>140.73599999999999</v>
      </c>
      <c r="I352">
        <v>8</v>
      </c>
      <c r="J352">
        <v>52.776000000000003</v>
      </c>
      <c r="K352">
        <v>2011</v>
      </c>
      <c r="L352">
        <v>5</v>
      </c>
      <c r="M352" t="s">
        <v>47</v>
      </c>
      <c r="N352">
        <v>6</v>
      </c>
      <c r="O352">
        <v>4</v>
      </c>
      <c r="P352">
        <v>37.5</v>
      </c>
      <c r="Q352">
        <v>17.591999999999999</v>
      </c>
      <c r="R352" t="s">
        <v>26</v>
      </c>
      <c r="S352" t="b">
        <v>0</v>
      </c>
      <c r="T352" t="b">
        <v>0</v>
      </c>
    </row>
    <row r="353" spans="1:20" x14ac:dyDescent="0.3">
      <c r="A353" t="s">
        <v>780</v>
      </c>
      <c r="B353" s="1">
        <v>41732</v>
      </c>
      <c r="C353" s="1">
        <v>41737</v>
      </c>
      <c r="D353" t="s">
        <v>781</v>
      </c>
      <c r="E353" t="s">
        <v>22</v>
      </c>
      <c r="F353" t="s">
        <v>29</v>
      </c>
      <c r="G353" t="s">
        <v>782</v>
      </c>
      <c r="H353">
        <v>25.11</v>
      </c>
      <c r="I353">
        <v>3</v>
      </c>
      <c r="J353">
        <v>6.5286</v>
      </c>
      <c r="K353">
        <v>2014</v>
      </c>
      <c r="L353">
        <v>4</v>
      </c>
      <c r="M353" t="s">
        <v>236</v>
      </c>
      <c r="N353">
        <v>3</v>
      </c>
      <c r="O353">
        <v>5</v>
      </c>
      <c r="P353">
        <v>26</v>
      </c>
      <c r="Q353">
        <v>8.3699999999999992</v>
      </c>
      <c r="R353" t="s">
        <v>26</v>
      </c>
      <c r="S353" t="b">
        <v>0</v>
      </c>
      <c r="T353" t="b">
        <v>0</v>
      </c>
    </row>
    <row r="354" spans="1:20" x14ac:dyDescent="0.3">
      <c r="A354" t="s">
        <v>783</v>
      </c>
      <c r="B354" s="1">
        <v>41764</v>
      </c>
      <c r="C354" s="1">
        <v>41769</v>
      </c>
      <c r="D354" t="s">
        <v>595</v>
      </c>
      <c r="E354" t="s">
        <v>51</v>
      </c>
      <c r="F354" t="s">
        <v>54</v>
      </c>
      <c r="G354" t="s">
        <v>784</v>
      </c>
      <c r="H354">
        <v>183.96</v>
      </c>
      <c r="I354">
        <v>5</v>
      </c>
      <c r="J354">
        <v>20.695499999999999</v>
      </c>
      <c r="K354">
        <v>2014</v>
      </c>
      <c r="L354">
        <v>5</v>
      </c>
      <c r="M354" t="s">
        <v>47</v>
      </c>
      <c r="N354">
        <v>5</v>
      </c>
      <c r="O354">
        <v>5</v>
      </c>
      <c r="P354">
        <v>11.25</v>
      </c>
      <c r="Q354">
        <v>36.792000000000002</v>
      </c>
      <c r="R354" t="s">
        <v>26</v>
      </c>
      <c r="S354" t="b">
        <v>0</v>
      </c>
      <c r="T354" t="b">
        <v>0</v>
      </c>
    </row>
    <row r="355" spans="1:20" x14ac:dyDescent="0.3">
      <c r="A355" t="s">
        <v>783</v>
      </c>
      <c r="B355" s="1">
        <v>41764</v>
      </c>
      <c r="C355" s="1">
        <v>41769</v>
      </c>
      <c r="D355" t="s">
        <v>595</v>
      </c>
      <c r="E355" t="s">
        <v>51</v>
      </c>
      <c r="F355" t="s">
        <v>72</v>
      </c>
      <c r="G355" t="s">
        <v>785</v>
      </c>
      <c r="H355">
        <v>17.61</v>
      </c>
      <c r="I355">
        <v>3</v>
      </c>
      <c r="J355">
        <v>8.4527999999999999</v>
      </c>
      <c r="K355">
        <v>2014</v>
      </c>
      <c r="L355">
        <v>5</v>
      </c>
      <c r="M355" t="s">
        <v>47</v>
      </c>
      <c r="N355">
        <v>5</v>
      </c>
      <c r="O355">
        <v>5</v>
      </c>
      <c r="P355">
        <v>48</v>
      </c>
      <c r="Q355">
        <v>5.87</v>
      </c>
      <c r="R355" t="s">
        <v>26</v>
      </c>
      <c r="S355" t="b">
        <v>0</v>
      </c>
      <c r="T355" t="b">
        <v>0</v>
      </c>
    </row>
    <row r="356" spans="1:20" x14ac:dyDescent="0.3">
      <c r="A356" t="s">
        <v>783</v>
      </c>
      <c r="B356" s="1">
        <v>41764</v>
      </c>
      <c r="C356" s="1">
        <v>41769</v>
      </c>
      <c r="D356" t="s">
        <v>595</v>
      </c>
      <c r="E356" t="s">
        <v>51</v>
      </c>
      <c r="F356" t="s">
        <v>174</v>
      </c>
      <c r="G356" t="s">
        <v>786</v>
      </c>
      <c r="H356">
        <v>300.904</v>
      </c>
      <c r="I356">
        <v>1</v>
      </c>
      <c r="J356">
        <v>11.283899999999999</v>
      </c>
      <c r="K356">
        <v>2014</v>
      </c>
      <c r="L356">
        <v>5</v>
      </c>
      <c r="M356" t="s">
        <v>47</v>
      </c>
      <c r="N356">
        <v>5</v>
      </c>
      <c r="O356">
        <v>5</v>
      </c>
      <c r="P356">
        <v>3.75</v>
      </c>
      <c r="Q356">
        <v>300.904</v>
      </c>
      <c r="R356" t="s">
        <v>26</v>
      </c>
      <c r="S356" t="b">
        <v>0</v>
      </c>
      <c r="T356" t="b">
        <v>1</v>
      </c>
    </row>
    <row r="357" spans="1:20" x14ac:dyDescent="0.3">
      <c r="A357" t="s">
        <v>787</v>
      </c>
      <c r="B357" s="1">
        <v>40812</v>
      </c>
      <c r="C357" s="1">
        <v>40817</v>
      </c>
      <c r="D357" t="s">
        <v>788</v>
      </c>
      <c r="E357" t="s">
        <v>22</v>
      </c>
      <c r="F357" t="s">
        <v>110</v>
      </c>
      <c r="G357" t="s">
        <v>789</v>
      </c>
      <c r="H357">
        <v>145.56800000000001</v>
      </c>
      <c r="I357">
        <v>2</v>
      </c>
      <c r="J357">
        <v>0</v>
      </c>
      <c r="K357">
        <v>2011</v>
      </c>
      <c r="L357">
        <v>9</v>
      </c>
      <c r="M357" t="s">
        <v>87</v>
      </c>
      <c r="N357">
        <v>26</v>
      </c>
      <c r="O357">
        <v>5</v>
      </c>
      <c r="P357">
        <v>0</v>
      </c>
      <c r="Q357">
        <v>72.784000000000006</v>
      </c>
      <c r="R357" t="s">
        <v>26</v>
      </c>
      <c r="S357" t="b">
        <v>0</v>
      </c>
      <c r="T357" t="b">
        <v>0</v>
      </c>
    </row>
    <row r="358" spans="1:20" x14ac:dyDescent="0.3">
      <c r="A358" t="s">
        <v>790</v>
      </c>
      <c r="B358" s="1">
        <v>41954</v>
      </c>
      <c r="C358" s="1">
        <v>41955</v>
      </c>
      <c r="D358" t="s">
        <v>791</v>
      </c>
      <c r="E358" t="s">
        <v>257</v>
      </c>
      <c r="F358" t="s">
        <v>33</v>
      </c>
      <c r="G358" t="s">
        <v>792</v>
      </c>
      <c r="H358">
        <v>38.387999999999998</v>
      </c>
      <c r="I358">
        <v>14</v>
      </c>
      <c r="J358">
        <v>-25.591999999999999</v>
      </c>
      <c r="K358">
        <v>2014</v>
      </c>
      <c r="L358">
        <v>11</v>
      </c>
      <c r="M358" t="s">
        <v>70</v>
      </c>
      <c r="N358">
        <v>11</v>
      </c>
      <c r="O358">
        <v>1</v>
      </c>
      <c r="P358">
        <v>-66.67</v>
      </c>
      <c r="Q358">
        <v>2.742</v>
      </c>
      <c r="R358" t="s">
        <v>26</v>
      </c>
      <c r="S358" t="b">
        <v>1</v>
      </c>
      <c r="T358" t="b">
        <v>0</v>
      </c>
    </row>
    <row r="359" spans="1:20" x14ac:dyDescent="0.3">
      <c r="A359" t="s">
        <v>790</v>
      </c>
      <c r="B359" s="1">
        <v>41954</v>
      </c>
      <c r="C359" s="1">
        <v>41955</v>
      </c>
      <c r="D359" t="s">
        <v>791</v>
      </c>
      <c r="E359" t="s">
        <v>257</v>
      </c>
      <c r="F359" t="s">
        <v>793</v>
      </c>
      <c r="G359" t="s">
        <v>794</v>
      </c>
      <c r="H359">
        <v>95.994</v>
      </c>
      <c r="I359">
        <v>2</v>
      </c>
      <c r="J359">
        <v>-63.996000000000002</v>
      </c>
      <c r="K359">
        <v>2014</v>
      </c>
      <c r="L359">
        <v>11</v>
      </c>
      <c r="M359" t="s">
        <v>70</v>
      </c>
      <c r="N359">
        <v>11</v>
      </c>
      <c r="O359">
        <v>1</v>
      </c>
      <c r="P359">
        <v>-66.67</v>
      </c>
      <c r="Q359">
        <v>47.997</v>
      </c>
      <c r="R359" t="s">
        <v>26</v>
      </c>
      <c r="S359" t="b">
        <v>1</v>
      </c>
      <c r="T359" t="b">
        <v>0</v>
      </c>
    </row>
    <row r="360" spans="1:20" x14ac:dyDescent="0.3">
      <c r="A360" t="s">
        <v>790</v>
      </c>
      <c r="B360" s="1">
        <v>41954</v>
      </c>
      <c r="C360" s="1">
        <v>41955</v>
      </c>
      <c r="D360" t="s">
        <v>791</v>
      </c>
      <c r="E360" t="s">
        <v>257</v>
      </c>
      <c r="F360" t="s">
        <v>61</v>
      </c>
      <c r="G360" t="s">
        <v>795</v>
      </c>
      <c r="H360">
        <v>239.952</v>
      </c>
      <c r="I360">
        <v>6</v>
      </c>
      <c r="J360">
        <v>-35.992800000000003</v>
      </c>
      <c r="K360">
        <v>2014</v>
      </c>
      <c r="L360">
        <v>11</v>
      </c>
      <c r="M360" t="s">
        <v>70</v>
      </c>
      <c r="N360">
        <v>11</v>
      </c>
      <c r="O360">
        <v>1</v>
      </c>
      <c r="P360">
        <v>-15</v>
      </c>
      <c r="Q360">
        <v>39.991999999999997</v>
      </c>
      <c r="R360" t="s">
        <v>26</v>
      </c>
      <c r="S360" t="b">
        <v>1</v>
      </c>
      <c r="T360" t="b">
        <v>1</v>
      </c>
    </row>
    <row r="361" spans="1:20" x14ac:dyDescent="0.3">
      <c r="A361" t="s">
        <v>790</v>
      </c>
      <c r="B361" s="1">
        <v>41954</v>
      </c>
      <c r="C361" s="1">
        <v>41955</v>
      </c>
      <c r="D361" t="s">
        <v>791</v>
      </c>
      <c r="E361" t="s">
        <v>257</v>
      </c>
      <c r="F361" t="s">
        <v>54</v>
      </c>
      <c r="G361" t="s">
        <v>184</v>
      </c>
      <c r="H361">
        <v>201.584</v>
      </c>
      <c r="I361">
        <v>2</v>
      </c>
      <c r="J361">
        <v>15.1188</v>
      </c>
      <c r="K361">
        <v>2014</v>
      </c>
      <c r="L361">
        <v>11</v>
      </c>
      <c r="M361" t="s">
        <v>70</v>
      </c>
      <c r="N361">
        <v>11</v>
      </c>
      <c r="O361">
        <v>1</v>
      </c>
      <c r="P361">
        <v>7.5</v>
      </c>
      <c r="Q361">
        <v>100.792</v>
      </c>
      <c r="R361" t="s">
        <v>26</v>
      </c>
      <c r="S361" t="b">
        <v>0</v>
      </c>
      <c r="T361" t="b">
        <v>0</v>
      </c>
    </row>
    <row r="362" spans="1:20" x14ac:dyDescent="0.3">
      <c r="A362" t="s">
        <v>796</v>
      </c>
      <c r="B362" s="1">
        <v>41829</v>
      </c>
      <c r="C362" s="1">
        <v>41832</v>
      </c>
      <c r="D362" t="s">
        <v>797</v>
      </c>
      <c r="E362" t="s">
        <v>798</v>
      </c>
      <c r="F362" t="s">
        <v>29</v>
      </c>
      <c r="G362" t="s">
        <v>799</v>
      </c>
      <c r="H362">
        <v>145.9</v>
      </c>
      <c r="I362">
        <v>5</v>
      </c>
      <c r="J362">
        <v>62.737000000000002</v>
      </c>
      <c r="K362">
        <v>2014</v>
      </c>
      <c r="L362">
        <v>7</v>
      </c>
      <c r="M362" t="s">
        <v>66</v>
      </c>
      <c r="N362">
        <v>9</v>
      </c>
      <c r="O362">
        <v>3</v>
      </c>
      <c r="P362">
        <v>43</v>
      </c>
      <c r="Q362">
        <v>29.18</v>
      </c>
      <c r="R362" t="s">
        <v>26</v>
      </c>
      <c r="S362" t="b">
        <v>0</v>
      </c>
      <c r="T362" t="b">
        <v>0</v>
      </c>
    </row>
    <row r="363" spans="1:20" x14ac:dyDescent="0.3">
      <c r="A363" t="s">
        <v>800</v>
      </c>
      <c r="B363" s="1">
        <v>41267</v>
      </c>
      <c r="C363" s="1">
        <v>41271</v>
      </c>
      <c r="D363" t="s">
        <v>801</v>
      </c>
      <c r="E363" t="s">
        <v>216</v>
      </c>
      <c r="F363" t="s">
        <v>31</v>
      </c>
      <c r="G363" t="s">
        <v>802</v>
      </c>
      <c r="H363">
        <v>14.04</v>
      </c>
      <c r="I363">
        <v>3</v>
      </c>
      <c r="J363">
        <v>1.5794999999999999</v>
      </c>
      <c r="K363">
        <v>2012</v>
      </c>
      <c r="L363">
        <v>12</v>
      </c>
      <c r="M363" t="s">
        <v>41</v>
      </c>
      <c r="N363">
        <v>24</v>
      </c>
      <c r="O363">
        <v>4</v>
      </c>
      <c r="P363">
        <v>11.25</v>
      </c>
      <c r="Q363">
        <v>4.68</v>
      </c>
      <c r="R363" t="s">
        <v>26</v>
      </c>
      <c r="S363" t="b">
        <v>0</v>
      </c>
      <c r="T363" t="b">
        <v>0</v>
      </c>
    </row>
    <row r="364" spans="1:20" x14ac:dyDescent="0.3">
      <c r="A364" t="s">
        <v>803</v>
      </c>
      <c r="B364" s="1">
        <v>40634</v>
      </c>
      <c r="C364" s="1">
        <v>40639</v>
      </c>
      <c r="D364" t="s">
        <v>68</v>
      </c>
      <c r="E364" t="s">
        <v>438</v>
      </c>
      <c r="F364" t="s">
        <v>23</v>
      </c>
      <c r="G364" t="s">
        <v>804</v>
      </c>
      <c r="H364">
        <v>29.6</v>
      </c>
      <c r="I364">
        <v>2</v>
      </c>
      <c r="J364">
        <v>14.8</v>
      </c>
      <c r="K364">
        <v>2011</v>
      </c>
      <c r="L364">
        <v>4</v>
      </c>
      <c r="M364" t="s">
        <v>236</v>
      </c>
      <c r="N364">
        <v>1</v>
      </c>
      <c r="O364">
        <v>5</v>
      </c>
      <c r="P364">
        <v>50</v>
      </c>
      <c r="Q364">
        <v>14.8</v>
      </c>
      <c r="R364" t="s">
        <v>26</v>
      </c>
      <c r="S364" t="b">
        <v>0</v>
      </c>
      <c r="T364" t="b">
        <v>0</v>
      </c>
    </row>
    <row r="365" spans="1:20" x14ac:dyDescent="0.3">
      <c r="A365" t="s">
        <v>803</v>
      </c>
      <c r="B365" s="1">
        <v>40634</v>
      </c>
      <c r="C365" s="1">
        <v>40639</v>
      </c>
      <c r="D365" t="s">
        <v>68</v>
      </c>
      <c r="E365" t="s">
        <v>438</v>
      </c>
      <c r="F365" t="s">
        <v>33</v>
      </c>
      <c r="G365" t="s">
        <v>805</v>
      </c>
      <c r="H365">
        <v>17.088000000000001</v>
      </c>
      <c r="I365">
        <v>4</v>
      </c>
      <c r="J365">
        <v>5.5536000000000003</v>
      </c>
      <c r="K365">
        <v>2011</v>
      </c>
      <c r="L365">
        <v>4</v>
      </c>
      <c r="M365" t="s">
        <v>236</v>
      </c>
      <c r="N365">
        <v>1</v>
      </c>
      <c r="O365">
        <v>5</v>
      </c>
      <c r="P365">
        <v>32.5</v>
      </c>
      <c r="Q365">
        <v>4.2720000000000002</v>
      </c>
      <c r="R365" t="s">
        <v>26</v>
      </c>
      <c r="S365" t="b">
        <v>0</v>
      </c>
      <c r="T365" t="b">
        <v>0</v>
      </c>
    </row>
    <row r="366" spans="1:20" x14ac:dyDescent="0.3">
      <c r="A366" t="s">
        <v>806</v>
      </c>
      <c r="B366" s="1">
        <v>40759</v>
      </c>
      <c r="C366" s="1">
        <v>40764</v>
      </c>
      <c r="D366" t="s">
        <v>807</v>
      </c>
      <c r="E366" t="s">
        <v>808</v>
      </c>
      <c r="F366" t="s">
        <v>72</v>
      </c>
      <c r="G366" t="s">
        <v>809</v>
      </c>
      <c r="H366">
        <v>447.84</v>
      </c>
      <c r="I366">
        <v>8</v>
      </c>
      <c r="J366">
        <v>219.44159999999999</v>
      </c>
      <c r="K366">
        <v>2011</v>
      </c>
      <c r="L366">
        <v>8</v>
      </c>
      <c r="M366" t="s">
        <v>53</v>
      </c>
      <c r="N366">
        <v>4</v>
      </c>
      <c r="O366">
        <v>5</v>
      </c>
      <c r="P366">
        <v>49</v>
      </c>
      <c r="Q366">
        <v>55.98</v>
      </c>
      <c r="R366" t="s">
        <v>26</v>
      </c>
      <c r="S366" t="b">
        <v>0</v>
      </c>
      <c r="T366" t="b">
        <v>1</v>
      </c>
    </row>
    <row r="367" spans="1:20" x14ac:dyDescent="0.3">
      <c r="A367" t="s">
        <v>806</v>
      </c>
      <c r="B367" s="1">
        <v>40759</v>
      </c>
      <c r="C367" s="1">
        <v>40764</v>
      </c>
      <c r="D367" t="s">
        <v>807</v>
      </c>
      <c r="E367" t="s">
        <v>808</v>
      </c>
      <c r="F367" t="s">
        <v>31</v>
      </c>
      <c r="G367" t="s">
        <v>810</v>
      </c>
      <c r="H367">
        <v>16.399999999999999</v>
      </c>
      <c r="I367">
        <v>5</v>
      </c>
      <c r="J367">
        <v>4.2640000000000002</v>
      </c>
      <c r="K367">
        <v>2011</v>
      </c>
      <c r="L367">
        <v>8</v>
      </c>
      <c r="M367" t="s">
        <v>53</v>
      </c>
      <c r="N367">
        <v>4</v>
      </c>
      <c r="O367">
        <v>5</v>
      </c>
      <c r="P367">
        <v>26</v>
      </c>
      <c r="Q367">
        <v>3.28</v>
      </c>
      <c r="R367" t="s">
        <v>26</v>
      </c>
      <c r="S367" t="b">
        <v>0</v>
      </c>
      <c r="T367" t="b">
        <v>0</v>
      </c>
    </row>
    <row r="368" spans="1:20" x14ac:dyDescent="0.3">
      <c r="A368" t="s">
        <v>806</v>
      </c>
      <c r="B368" s="1">
        <v>40759</v>
      </c>
      <c r="C368" s="1">
        <v>40764</v>
      </c>
      <c r="D368" t="s">
        <v>807</v>
      </c>
      <c r="E368" t="s">
        <v>808</v>
      </c>
      <c r="F368" t="s">
        <v>54</v>
      </c>
      <c r="G368" t="s">
        <v>811</v>
      </c>
      <c r="H368">
        <v>399.96</v>
      </c>
      <c r="I368">
        <v>5</v>
      </c>
      <c r="J368">
        <v>34.996499999999997</v>
      </c>
      <c r="K368">
        <v>2011</v>
      </c>
      <c r="L368">
        <v>8</v>
      </c>
      <c r="M368" t="s">
        <v>53</v>
      </c>
      <c r="N368">
        <v>4</v>
      </c>
      <c r="O368">
        <v>5</v>
      </c>
      <c r="P368">
        <v>8.75</v>
      </c>
      <c r="Q368">
        <v>79.99199999999999</v>
      </c>
      <c r="R368" t="s">
        <v>26</v>
      </c>
      <c r="S368" t="b">
        <v>0</v>
      </c>
      <c r="T368" t="b">
        <v>1</v>
      </c>
    </row>
    <row r="369" spans="1:20" x14ac:dyDescent="0.3">
      <c r="A369" t="s">
        <v>806</v>
      </c>
      <c r="B369" s="1">
        <v>40759</v>
      </c>
      <c r="C369" s="1">
        <v>40764</v>
      </c>
      <c r="D369" t="s">
        <v>807</v>
      </c>
      <c r="E369" t="s">
        <v>808</v>
      </c>
      <c r="F369" t="s">
        <v>45</v>
      </c>
      <c r="G369" t="s">
        <v>812</v>
      </c>
      <c r="H369">
        <v>158.9</v>
      </c>
      <c r="I369">
        <v>5</v>
      </c>
      <c r="J369">
        <v>7.9450000000000003</v>
      </c>
      <c r="K369">
        <v>2011</v>
      </c>
      <c r="L369">
        <v>8</v>
      </c>
      <c r="M369" t="s">
        <v>53</v>
      </c>
      <c r="N369">
        <v>4</v>
      </c>
      <c r="O369">
        <v>5</v>
      </c>
      <c r="P369">
        <v>5</v>
      </c>
      <c r="Q369">
        <v>31.78</v>
      </c>
      <c r="R369" t="s">
        <v>26</v>
      </c>
      <c r="S369" t="b">
        <v>0</v>
      </c>
      <c r="T369" t="b">
        <v>0</v>
      </c>
    </row>
    <row r="370" spans="1:20" x14ac:dyDescent="0.3">
      <c r="A370" t="s">
        <v>806</v>
      </c>
      <c r="B370" s="1">
        <v>40759</v>
      </c>
      <c r="C370" s="1">
        <v>40764</v>
      </c>
      <c r="D370" t="s">
        <v>807</v>
      </c>
      <c r="E370" t="s">
        <v>808</v>
      </c>
      <c r="F370" t="s">
        <v>33</v>
      </c>
      <c r="G370" t="s">
        <v>813</v>
      </c>
      <c r="H370">
        <v>13.183999999999999</v>
      </c>
      <c r="I370">
        <v>1</v>
      </c>
      <c r="J370">
        <v>4.7792000000000003</v>
      </c>
      <c r="K370">
        <v>2011</v>
      </c>
      <c r="L370">
        <v>8</v>
      </c>
      <c r="M370" t="s">
        <v>53</v>
      </c>
      <c r="N370">
        <v>4</v>
      </c>
      <c r="O370">
        <v>5</v>
      </c>
      <c r="P370">
        <v>36.25</v>
      </c>
      <c r="Q370">
        <v>13.183999999999999</v>
      </c>
      <c r="R370" t="s">
        <v>26</v>
      </c>
      <c r="S370" t="b">
        <v>0</v>
      </c>
      <c r="T370" t="b">
        <v>0</v>
      </c>
    </row>
    <row r="371" spans="1:20" x14ac:dyDescent="0.3">
      <c r="A371" t="s">
        <v>814</v>
      </c>
      <c r="B371" s="1">
        <v>41543</v>
      </c>
      <c r="C371" s="1">
        <v>41548</v>
      </c>
      <c r="D371" t="s">
        <v>815</v>
      </c>
      <c r="E371" t="s">
        <v>105</v>
      </c>
      <c r="F371" t="s">
        <v>174</v>
      </c>
      <c r="G371" t="s">
        <v>584</v>
      </c>
      <c r="H371">
        <v>393.16500000000002</v>
      </c>
      <c r="I371">
        <v>3</v>
      </c>
      <c r="J371">
        <v>-204.44579999999999</v>
      </c>
      <c r="K371">
        <v>2013</v>
      </c>
      <c r="L371">
        <v>9</v>
      </c>
      <c r="M371" t="s">
        <v>87</v>
      </c>
      <c r="N371">
        <v>26</v>
      </c>
      <c r="O371">
        <v>5</v>
      </c>
      <c r="P371">
        <v>-52</v>
      </c>
      <c r="Q371">
        <v>131.05500000000001</v>
      </c>
      <c r="R371" t="s">
        <v>26</v>
      </c>
      <c r="S371" t="b">
        <v>1</v>
      </c>
      <c r="T371" t="b">
        <v>1</v>
      </c>
    </row>
    <row r="372" spans="1:20" x14ac:dyDescent="0.3">
      <c r="A372" t="s">
        <v>816</v>
      </c>
      <c r="B372" s="1">
        <v>41668</v>
      </c>
      <c r="C372" s="1">
        <v>41671</v>
      </c>
      <c r="D372" t="s">
        <v>817</v>
      </c>
      <c r="E372" t="s">
        <v>336</v>
      </c>
      <c r="F372" t="s">
        <v>61</v>
      </c>
      <c r="G372" t="s">
        <v>818</v>
      </c>
      <c r="H372">
        <v>239.97</v>
      </c>
      <c r="I372">
        <v>3</v>
      </c>
      <c r="J372">
        <v>26.396699999999999</v>
      </c>
      <c r="K372">
        <v>2014</v>
      </c>
      <c r="L372">
        <v>1</v>
      </c>
      <c r="M372" t="s">
        <v>60</v>
      </c>
      <c r="N372">
        <v>29</v>
      </c>
      <c r="O372">
        <v>3</v>
      </c>
      <c r="P372">
        <v>11</v>
      </c>
      <c r="Q372">
        <v>79.989999999999995</v>
      </c>
      <c r="R372" t="s">
        <v>26</v>
      </c>
      <c r="S372" t="b">
        <v>0</v>
      </c>
      <c r="T372" t="b">
        <v>1</v>
      </c>
    </row>
    <row r="373" spans="1:20" x14ac:dyDescent="0.3">
      <c r="A373" t="s">
        <v>816</v>
      </c>
      <c r="B373" s="1">
        <v>41668</v>
      </c>
      <c r="C373" s="1">
        <v>41671</v>
      </c>
      <c r="D373" t="s">
        <v>817</v>
      </c>
      <c r="E373" t="s">
        <v>336</v>
      </c>
      <c r="F373" t="s">
        <v>29</v>
      </c>
      <c r="G373" t="s">
        <v>819</v>
      </c>
      <c r="H373">
        <v>37.74</v>
      </c>
      <c r="I373">
        <v>3</v>
      </c>
      <c r="J373">
        <v>12.8316</v>
      </c>
      <c r="K373">
        <v>2014</v>
      </c>
      <c r="L373">
        <v>1</v>
      </c>
      <c r="M373" t="s">
        <v>60</v>
      </c>
      <c r="N373">
        <v>29</v>
      </c>
      <c r="O373">
        <v>3</v>
      </c>
      <c r="P373">
        <v>34</v>
      </c>
      <c r="Q373">
        <v>12.58</v>
      </c>
      <c r="R373" t="s">
        <v>26</v>
      </c>
      <c r="S373" t="b">
        <v>0</v>
      </c>
      <c r="T373" t="b">
        <v>0</v>
      </c>
    </row>
    <row r="374" spans="1:20" x14ac:dyDescent="0.3">
      <c r="A374" t="s">
        <v>820</v>
      </c>
      <c r="B374" s="1">
        <v>41178</v>
      </c>
      <c r="C374" s="1">
        <v>41182</v>
      </c>
      <c r="D374" t="s">
        <v>821</v>
      </c>
      <c r="E374" t="s">
        <v>368</v>
      </c>
      <c r="F374" t="s">
        <v>72</v>
      </c>
      <c r="G374" t="s">
        <v>822</v>
      </c>
      <c r="H374">
        <v>86.272000000000006</v>
      </c>
      <c r="I374">
        <v>4</v>
      </c>
      <c r="J374">
        <v>31.273599999999998</v>
      </c>
      <c r="K374">
        <v>2012</v>
      </c>
      <c r="L374">
        <v>9</v>
      </c>
      <c r="M374" t="s">
        <v>87</v>
      </c>
      <c r="N374">
        <v>26</v>
      </c>
      <c r="O374">
        <v>4</v>
      </c>
      <c r="P374">
        <v>36.25</v>
      </c>
      <c r="Q374">
        <v>21.568000000000001</v>
      </c>
      <c r="R374" t="s">
        <v>26</v>
      </c>
      <c r="S374" t="b">
        <v>0</v>
      </c>
      <c r="T374" t="b">
        <v>0</v>
      </c>
    </row>
    <row r="375" spans="1:20" x14ac:dyDescent="0.3">
      <c r="A375" t="s">
        <v>820</v>
      </c>
      <c r="B375" s="1">
        <v>41178</v>
      </c>
      <c r="C375" s="1">
        <v>41182</v>
      </c>
      <c r="D375" t="s">
        <v>821</v>
      </c>
      <c r="E375" t="s">
        <v>368</v>
      </c>
      <c r="F375" t="s">
        <v>33</v>
      </c>
      <c r="G375" t="s">
        <v>823</v>
      </c>
      <c r="H375">
        <v>72.587999999999994</v>
      </c>
      <c r="I375">
        <v>2</v>
      </c>
      <c r="J375">
        <v>-48.392000000000003</v>
      </c>
      <c r="K375">
        <v>2012</v>
      </c>
      <c r="L375">
        <v>9</v>
      </c>
      <c r="M375" t="s">
        <v>87</v>
      </c>
      <c r="N375">
        <v>26</v>
      </c>
      <c r="O375">
        <v>4</v>
      </c>
      <c r="P375">
        <v>-66.67</v>
      </c>
      <c r="Q375">
        <v>36.293999999999997</v>
      </c>
      <c r="R375" t="s">
        <v>26</v>
      </c>
      <c r="S375" t="b">
        <v>1</v>
      </c>
      <c r="T375" t="b">
        <v>0</v>
      </c>
    </row>
    <row r="376" spans="1:20" x14ac:dyDescent="0.3">
      <c r="A376" t="s">
        <v>820</v>
      </c>
      <c r="B376" s="1">
        <v>41178</v>
      </c>
      <c r="C376" s="1">
        <v>41182</v>
      </c>
      <c r="D376" t="s">
        <v>821</v>
      </c>
      <c r="E376" t="s">
        <v>368</v>
      </c>
      <c r="F376" t="s">
        <v>35</v>
      </c>
      <c r="G376" t="s">
        <v>824</v>
      </c>
      <c r="H376">
        <v>60.671999999999997</v>
      </c>
      <c r="I376">
        <v>2</v>
      </c>
      <c r="J376">
        <v>14.409599999999999</v>
      </c>
      <c r="K376">
        <v>2012</v>
      </c>
      <c r="L376">
        <v>9</v>
      </c>
      <c r="M376" t="s">
        <v>87</v>
      </c>
      <c r="N376">
        <v>26</v>
      </c>
      <c r="O376">
        <v>4</v>
      </c>
      <c r="P376">
        <v>23.75</v>
      </c>
      <c r="Q376">
        <v>30.335999999999999</v>
      </c>
      <c r="R376" t="s">
        <v>26</v>
      </c>
      <c r="S376" t="b">
        <v>0</v>
      </c>
      <c r="T376" t="b">
        <v>0</v>
      </c>
    </row>
    <row r="377" spans="1:20" x14ac:dyDescent="0.3">
      <c r="A377" t="s">
        <v>820</v>
      </c>
      <c r="B377" s="1">
        <v>41178</v>
      </c>
      <c r="C377" s="1">
        <v>41182</v>
      </c>
      <c r="D377" t="s">
        <v>821</v>
      </c>
      <c r="E377" t="s">
        <v>368</v>
      </c>
      <c r="F377" t="s">
        <v>33</v>
      </c>
      <c r="G377" t="s">
        <v>698</v>
      </c>
      <c r="H377">
        <v>77.031000000000006</v>
      </c>
      <c r="I377">
        <v>9</v>
      </c>
      <c r="J377">
        <v>-59.057099999999998</v>
      </c>
      <c r="K377">
        <v>2012</v>
      </c>
      <c r="L377">
        <v>9</v>
      </c>
      <c r="M377" t="s">
        <v>87</v>
      </c>
      <c r="N377">
        <v>26</v>
      </c>
      <c r="O377">
        <v>4</v>
      </c>
      <c r="P377">
        <v>-76.67</v>
      </c>
      <c r="Q377">
        <v>8.5590000000000011</v>
      </c>
      <c r="R377" t="s">
        <v>26</v>
      </c>
      <c r="S377" t="b">
        <v>1</v>
      </c>
      <c r="T377" t="b">
        <v>0</v>
      </c>
    </row>
    <row r="378" spans="1:20" x14ac:dyDescent="0.3">
      <c r="A378" t="s">
        <v>820</v>
      </c>
      <c r="B378" s="1">
        <v>41178</v>
      </c>
      <c r="C378" s="1">
        <v>41182</v>
      </c>
      <c r="D378" t="s">
        <v>821</v>
      </c>
      <c r="E378" t="s">
        <v>368</v>
      </c>
      <c r="F378" t="s">
        <v>45</v>
      </c>
      <c r="G378" t="s">
        <v>825</v>
      </c>
      <c r="H378">
        <v>119.904</v>
      </c>
      <c r="I378">
        <v>6</v>
      </c>
      <c r="J378">
        <v>-1.4987999999999999</v>
      </c>
      <c r="K378">
        <v>2012</v>
      </c>
      <c r="L378">
        <v>9</v>
      </c>
      <c r="M378" t="s">
        <v>87</v>
      </c>
      <c r="N378">
        <v>26</v>
      </c>
      <c r="O378">
        <v>4</v>
      </c>
      <c r="P378">
        <v>-1.25</v>
      </c>
      <c r="Q378">
        <v>19.984000000000002</v>
      </c>
      <c r="R378" t="s">
        <v>26</v>
      </c>
      <c r="S378" t="b">
        <v>1</v>
      </c>
      <c r="T378" t="b">
        <v>0</v>
      </c>
    </row>
    <row r="379" spans="1:20" x14ac:dyDescent="0.3">
      <c r="A379" t="s">
        <v>820</v>
      </c>
      <c r="B379" s="1">
        <v>41178</v>
      </c>
      <c r="C379" s="1">
        <v>41182</v>
      </c>
      <c r="D379" t="s">
        <v>821</v>
      </c>
      <c r="E379" t="s">
        <v>368</v>
      </c>
      <c r="F379" t="s">
        <v>54</v>
      </c>
      <c r="G379" t="s">
        <v>826</v>
      </c>
      <c r="H379">
        <v>263.95999999999998</v>
      </c>
      <c r="I379">
        <v>5</v>
      </c>
      <c r="J379">
        <v>23.096499999999999</v>
      </c>
      <c r="K379">
        <v>2012</v>
      </c>
      <c r="L379">
        <v>9</v>
      </c>
      <c r="M379" t="s">
        <v>87</v>
      </c>
      <c r="N379">
        <v>26</v>
      </c>
      <c r="O379">
        <v>4</v>
      </c>
      <c r="P379">
        <v>8.75</v>
      </c>
      <c r="Q379">
        <v>52.791999999999987</v>
      </c>
      <c r="R379" t="s">
        <v>26</v>
      </c>
      <c r="S379" t="b">
        <v>0</v>
      </c>
      <c r="T379" t="b">
        <v>1</v>
      </c>
    </row>
    <row r="380" spans="1:20" x14ac:dyDescent="0.3">
      <c r="A380" t="s">
        <v>820</v>
      </c>
      <c r="B380" s="1">
        <v>41178</v>
      </c>
      <c r="C380" s="1">
        <v>41182</v>
      </c>
      <c r="D380" t="s">
        <v>821</v>
      </c>
      <c r="E380" t="s">
        <v>368</v>
      </c>
      <c r="F380" t="s">
        <v>45</v>
      </c>
      <c r="G380" t="s">
        <v>316</v>
      </c>
      <c r="H380">
        <v>363.64800000000002</v>
      </c>
      <c r="I380">
        <v>4</v>
      </c>
      <c r="J380">
        <v>-86.366399999999999</v>
      </c>
      <c r="K380">
        <v>2012</v>
      </c>
      <c r="L380">
        <v>9</v>
      </c>
      <c r="M380" t="s">
        <v>87</v>
      </c>
      <c r="N380">
        <v>26</v>
      </c>
      <c r="O380">
        <v>4</v>
      </c>
      <c r="P380">
        <v>-23.75</v>
      </c>
      <c r="Q380">
        <v>90.912000000000006</v>
      </c>
      <c r="R380" t="s">
        <v>26</v>
      </c>
      <c r="S380" t="b">
        <v>1</v>
      </c>
      <c r="T380" t="b">
        <v>1</v>
      </c>
    </row>
    <row r="381" spans="1:20" x14ac:dyDescent="0.3">
      <c r="A381" t="s">
        <v>827</v>
      </c>
      <c r="B381" s="1">
        <v>41213</v>
      </c>
      <c r="C381" s="1">
        <v>41217</v>
      </c>
      <c r="D381" t="s">
        <v>828</v>
      </c>
      <c r="E381" t="s">
        <v>540</v>
      </c>
      <c r="F381" t="s">
        <v>33</v>
      </c>
      <c r="G381" t="s">
        <v>829</v>
      </c>
      <c r="H381">
        <v>9.7279999999999998</v>
      </c>
      <c r="I381">
        <v>2</v>
      </c>
      <c r="J381">
        <v>3.2831999999999999</v>
      </c>
      <c r="K381">
        <v>2012</v>
      </c>
      <c r="L381">
        <v>10</v>
      </c>
      <c r="M381" t="s">
        <v>82</v>
      </c>
      <c r="N381">
        <v>31</v>
      </c>
      <c r="O381">
        <v>4</v>
      </c>
      <c r="P381">
        <v>33.75</v>
      </c>
      <c r="Q381">
        <v>4.8639999999999999</v>
      </c>
      <c r="R381" t="s">
        <v>26</v>
      </c>
      <c r="S381" t="b">
        <v>0</v>
      </c>
      <c r="T381" t="b">
        <v>0</v>
      </c>
    </row>
    <row r="382" spans="1:20" x14ac:dyDescent="0.3">
      <c r="A382" t="s">
        <v>827</v>
      </c>
      <c r="B382" s="1">
        <v>41213</v>
      </c>
      <c r="C382" s="1">
        <v>41217</v>
      </c>
      <c r="D382" t="s">
        <v>828</v>
      </c>
      <c r="E382" t="s">
        <v>540</v>
      </c>
      <c r="F382" t="s">
        <v>128</v>
      </c>
      <c r="G382" t="s">
        <v>617</v>
      </c>
      <c r="H382">
        <v>14.75</v>
      </c>
      <c r="I382">
        <v>5</v>
      </c>
      <c r="J382">
        <v>7.08</v>
      </c>
      <c r="K382">
        <v>2012</v>
      </c>
      <c r="L382">
        <v>10</v>
      </c>
      <c r="M382" t="s">
        <v>82</v>
      </c>
      <c r="N382">
        <v>31</v>
      </c>
      <c r="O382">
        <v>4</v>
      </c>
      <c r="P382">
        <v>48</v>
      </c>
      <c r="Q382">
        <v>2.95</v>
      </c>
      <c r="R382" t="s">
        <v>26</v>
      </c>
      <c r="S382" t="b">
        <v>0</v>
      </c>
      <c r="T382" t="b">
        <v>0</v>
      </c>
    </row>
    <row r="383" spans="1:20" x14ac:dyDescent="0.3">
      <c r="A383" t="s">
        <v>827</v>
      </c>
      <c r="B383" s="1">
        <v>41213</v>
      </c>
      <c r="C383" s="1">
        <v>41217</v>
      </c>
      <c r="D383" t="s">
        <v>828</v>
      </c>
      <c r="E383" t="s">
        <v>540</v>
      </c>
      <c r="F383" t="s">
        <v>33</v>
      </c>
      <c r="G383" t="s">
        <v>830</v>
      </c>
      <c r="H383">
        <v>29.8</v>
      </c>
      <c r="I383">
        <v>5</v>
      </c>
      <c r="J383">
        <v>9.3125</v>
      </c>
      <c r="K383">
        <v>2012</v>
      </c>
      <c r="L383">
        <v>10</v>
      </c>
      <c r="M383" t="s">
        <v>82</v>
      </c>
      <c r="N383">
        <v>31</v>
      </c>
      <c r="O383">
        <v>4</v>
      </c>
      <c r="P383">
        <v>31.25</v>
      </c>
      <c r="Q383">
        <v>5.96</v>
      </c>
      <c r="R383" t="s">
        <v>26</v>
      </c>
      <c r="S383" t="b">
        <v>0</v>
      </c>
      <c r="T383" t="b">
        <v>0</v>
      </c>
    </row>
    <row r="384" spans="1:20" x14ac:dyDescent="0.3">
      <c r="A384" t="s">
        <v>827</v>
      </c>
      <c r="B384" s="1">
        <v>41213</v>
      </c>
      <c r="C384" s="1">
        <v>41217</v>
      </c>
      <c r="D384" t="s">
        <v>828</v>
      </c>
      <c r="E384" t="s">
        <v>540</v>
      </c>
      <c r="F384" t="s">
        <v>23</v>
      </c>
      <c r="G384" t="s">
        <v>831</v>
      </c>
      <c r="H384">
        <v>427.42</v>
      </c>
      <c r="I384">
        <v>14</v>
      </c>
      <c r="J384">
        <v>196.61320000000001</v>
      </c>
      <c r="K384">
        <v>2012</v>
      </c>
      <c r="L384">
        <v>10</v>
      </c>
      <c r="M384" t="s">
        <v>82</v>
      </c>
      <c r="N384">
        <v>31</v>
      </c>
      <c r="O384">
        <v>4</v>
      </c>
      <c r="P384">
        <v>46</v>
      </c>
      <c r="Q384">
        <v>30.53</v>
      </c>
      <c r="R384" t="s">
        <v>26</v>
      </c>
      <c r="S384" t="b">
        <v>0</v>
      </c>
      <c r="T384" t="b">
        <v>1</v>
      </c>
    </row>
    <row r="385" spans="1:20" x14ac:dyDescent="0.3">
      <c r="A385" t="s">
        <v>832</v>
      </c>
      <c r="B385" s="1">
        <v>41635</v>
      </c>
      <c r="C385" s="1">
        <v>41639</v>
      </c>
      <c r="D385" t="s">
        <v>385</v>
      </c>
      <c r="E385" t="s">
        <v>39</v>
      </c>
      <c r="F385" t="s">
        <v>72</v>
      </c>
      <c r="G385" t="s">
        <v>833</v>
      </c>
      <c r="H385">
        <v>33.9</v>
      </c>
      <c r="I385">
        <v>5</v>
      </c>
      <c r="J385">
        <v>15.593999999999999</v>
      </c>
      <c r="K385">
        <v>2013</v>
      </c>
      <c r="L385">
        <v>12</v>
      </c>
      <c r="M385" t="s">
        <v>41</v>
      </c>
      <c r="N385">
        <v>27</v>
      </c>
      <c r="O385">
        <v>4</v>
      </c>
      <c r="P385">
        <v>46</v>
      </c>
      <c r="Q385">
        <v>6.7799999999999994</v>
      </c>
      <c r="R385" t="s">
        <v>26</v>
      </c>
      <c r="S385" t="b">
        <v>0</v>
      </c>
      <c r="T385" t="b">
        <v>0</v>
      </c>
    </row>
    <row r="386" spans="1:20" x14ac:dyDescent="0.3">
      <c r="A386" t="s">
        <v>834</v>
      </c>
      <c r="B386" s="1">
        <v>41993</v>
      </c>
      <c r="C386" s="1">
        <v>41998</v>
      </c>
      <c r="D386" t="s">
        <v>835</v>
      </c>
      <c r="E386" t="s">
        <v>51</v>
      </c>
      <c r="F386" t="s">
        <v>33</v>
      </c>
      <c r="G386" t="s">
        <v>836</v>
      </c>
      <c r="H386">
        <v>36.671999999999997</v>
      </c>
      <c r="I386">
        <v>2</v>
      </c>
      <c r="J386">
        <v>11.46</v>
      </c>
      <c r="K386">
        <v>2014</v>
      </c>
      <c r="L386">
        <v>12</v>
      </c>
      <c r="M386" t="s">
        <v>41</v>
      </c>
      <c r="N386">
        <v>20</v>
      </c>
      <c r="O386">
        <v>5</v>
      </c>
      <c r="P386">
        <v>31.25</v>
      </c>
      <c r="Q386">
        <v>18.335999999999999</v>
      </c>
      <c r="R386" t="s">
        <v>26</v>
      </c>
      <c r="S386" t="b">
        <v>0</v>
      </c>
      <c r="T386" t="b">
        <v>0</v>
      </c>
    </row>
    <row r="387" spans="1:20" x14ac:dyDescent="0.3">
      <c r="A387" t="s">
        <v>837</v>
      </c>
      <c r="B387" s="1">
        <v>41183</v>
      </c>
      <c r="C387" s="1">
        <v>41188</v>
      </c>
      <c r="D387" t="s">
        <v>838</v>
      </c>
      <c r="E387" t="s">
        <v>99</v>
      </c>
      <c r="F387" t="s">
        <v>45</v>
      </c>
      <c r="G387" t="s">
        <v>107</v>
      </c>
      <c r="H387">
        <v>139.42400000000001</v>
      </c>
      <c r="I387">
        <v>4</v>
      </c>
      <c r="J387">
        <v>17.428000000000001</v>
      </c>
      <c r="K387">
        <v>2012</v>
      </c>
      <c r="L387">
        <v>10</v>
      </c>
      <c r="M387" t="s">
        <v>82</v>
      </c>
      <c r="N387">
        <v>1</v>
      </c>
      <c r="O387">
        <v>5</v>
      </c>
      <c r="P387">
        <v>12.5</v>
      </c>
      <c r="Q387">
        <v>34.856000000000002</v>
      </c>
      <c r="R387" t="s">
        <v>26</v>
      </c>
      <c r="S387" t="b">
        <v>0</v>
      </c>
      <c r="T387" t="b">
        <v>0</v>
      </c>
    </row>
    <row r="388" spans="1:20" x14ac:dyDescent="0.3">
      <c r="A388" t="s">
        <v>839</v>
      </c>
      <c r="B388" s="1">
        <v>41030</v>
      </c>
      <c r="C388" s="1">
        <v>41036</v>
      </c>
      <c r="D388" t="s">
        <v>840</v>
      </c>
      <c r="E388" t="s">
        <v>22</v>
      </c>
      <c r="F388" t="s">
        <v>54</v>
      </c>
      <c r="G388" t="s">
        <v>841</v>
      </c>
      <c r="H388">
        <v>88.751999999999995</v>
      </c>
      <c r="I388">
        <v>3</v>
      </c>
      <c r="J388">
        <v>11.093999999999999</v>
      </c>
      <c r="K388">
        <v>2012</v>
      </c>
      <c r="L388">
        <v>5</v>
      </c>
      <c r="M388" t="s">
        <v>47</v>
      </c>
      <c r="N388">
        <v>1</v>
      </c>
      <c r="O388">
        <v>6</v>
      </c>
      <c r="P388">
        <v>12.5</v>
      </c>
      <c r="Q388">
        <v>29.584</v>
      </c>
      <c r="R388" t="s">
        <v>26</v>
      </c>
      <c r="S388" t="b">
        <v>0</v>
      </c>
      <c r="T388" t="b">
        <v>0</v>
      </c>
    </row>
    <row r="389" spans="1:20" x14ac:dyDescent="0.3">
      <c r="A389" t="s">
        <v>842</v>
      </c>
      <c r="B389" s="1">
        <v>41109</v>
      </c>
      <c r="C389" s="1">
        <v>41110</v>
      </c>
      <c r="D389" t="s">
        <v>843</v>
      </c>
      <c r="E389" t="s">
        <v>105</v>
      </c>
      <c r="F389" t="s">
        <v>33</v>
      </c>
      <c r="G389" t="s">
        <v>844</v>
      </c>
      <c r="H389">
        <v>2.0249999999999999</v>
      </c>
      <c r="I389">
        <v>1</v>
      </c>
      <c r="J389">
        <v>-1.35</v>
      </c>
      <c r="K389">
        <v>2012</v>
      </c>
      <c r="L389">
        <v>7</v>
      </c>
      <c r="M389" t="s">
        <v>66</v>
      </c>
      <c r="N389">
        <v>19</v>
      </c>
      <c r="O389">
        <v>1</v>
      </c>
      <c r="P389">
        <v>-66.67</v>
      </c>
      <c r="Q389">
        <v>2.0249999999999999</v>
      </c>
      <c r="R389" t="s">
        <v>48</v>
      </c>
      <c r="S389" t="b">
        <v>1</v>
      </c>
      <c r="T389" t="b">
        <v>0</v>
      </c>
    </row>
    <row r="390" spans="1:20" x14ac:dyDescent="0.3">
      <c r="A390" t="s">
        <v>845</v>
      </c>
      <c r="B390" s="1">
        <v>41244</v>
      </c>
      <c r="C390" s="1">
        <v>41251</v>
      </c>
      <c r="D390" t="s">
        <v>425</v>
      </c>
      <c r="E390" t="s">
        <v>39</v>
      </c>
      <c r="F390" t="s">
        <v>33</v>
      </c>
      <c r="G390" t="s">
        <v>846</v>
      </c>
      <c r="H390">
        <v>55.423999999999999</v>
      </c>
      <c r="I390">
        <v>2</v>
      </c>
      <c r="J390">
        <v>19.398399999999999</v>
      </c>
      <c r="K390">
        <v>2012</v>
      </c>
      <c r="L390">
        <v>12</v>
      </c>
      <c r="M390" t="s">
        <v>41</v>
      </c>
      <c r="N390">
        <v>1</v>
      </c>
      <c r="O390">
        <v>7</v>
      </c>
      <c r="P390">
        <v>35</v>
      </c>
      <c r="Q390">
        <v>27.712</v>
      </c>
      <c r="R390" t="s">
        <v>26</v>
      </c>
      <c r="S390" t="b">
        <v>0</v>
      </c>
      <c r="T390" t="b">
        <v>0</v>
      </c>
    </row>
    <row r="391" spans="1:20" x14ac:dyDescent="0.3">
      <c r="A391" t="s">
        <v>847</v>
      </c>
      <c r="B391" s="1">
        <v>40763</v>
      </c>
      <c r="C391" s="1">
        <v>40769</v>
      </c>
      <c r="D391" t="s">
        <v>848</v>
      </c>
      <c r="E391" t="s">
        <v>849</v>
      </c>
      <c r="F391" t="s">
        <v>29</v>
      </c>
      <c r="G391" t="s">
        <v>621</v>
      </c>
      <c r="H391">
        <v>121.376</v>
      </c>
      <c r="I391">
        <v>4</v>
      </c>
      <c r="J391">
        <v>-3.0344000000000002</v>
      </c>
      <c r="K391">
        <v>2011</v>
      </c>
      <c r="L391">
        <v>8</v>
      </c>
      <c r="M391" t="s">
        <v>53</v>
      </c>
      <c r="N391">
        <v>8</v>
      </c>
      <c r="O391">
        <v>6</v>
      </c>
      <c r="P391">
        <v>-2.5</v>
      </c>
      <c r="Q391">
        <v>30.344000000000001</v>
      </c>
      <c r="R391" t="s">
        <v>26</v>
      </c>
      <c r="S391" t="b">
        <v>1</v>
      </c>
      <c r="T391" t="b">
        <v>0</v>
      </c>
    </row>
    <row r="392" spans="1:20" x14ac:dyDescent="0.3">
      <c r="A392" t="s">
        <v>847</v>
      </c>
      <c r="B392" s="1">
        <v>40763</v>
      </c>
      <c r="C392" s="1">
        <v>40769</v>
      </c>
      <c r="D392" t="s">
        <v>848</v>
      </c>
      <c r="E392" t="s">
        <v>849</v>
      </c>
      <c r="F392" t="s">
        <v>61</v>
      </c>
      <c r="G392" t="s">
        <v>850</v>
      </c>
      <c r="H392">
        <v>95.975999999999999</v>
      </c>
      <c r="I392">
        <v>3</v>
      </c>
      <c r="J392">
        <v>-10.7973</v>
      </c>
      <c r="K392">
        <v>2011</v>
      </c>
      <c r="L392">
        <v>8</v>
      </c>
      <c r="M392" t="s">
        <v>53</v>
      </c>
      <c r="N392">
        <v>8</v>
      </c>
      <c r="O392">
        <v>6</v>
      </c>
      <c r="P392">
        <v>-11.25</v>
      </c>
      <c r="Q392">
        <v>31.992000000000001</v>
      </c>
      <c r="R392" t="s">
        <v>26</v>
      </c>
      <c r="S392" t="b">
        <v>1</v>
      </c>
      <c r="T392" t="b">
        <v>0</v>
      </c>
    </row>
    <row r="393" spans="1:20" x14ac:dyDescent="0.3">
      <c r="A393" t="s">
        <v>851</v>
      </c>
      <c r="B393" s="1">
        <v>41832</v>
      </c>
      <c r="C393" s="1">
        <v>41836</v>
      </c>
      <c r="D393" t="s">
        <v>852</v>
      </c>
      <c r="E393" t="s">
        <v>22</v>
      </c>
      <c r="F393" t="s">
        <v>23</v>
      </c>
      <c r="G393" t="s">
        <v>853</v>
      </c>
      <c r="H393">
        <v>8.67</v>
      </c>
      <c r="I393">
        <v>3</v>
      </c>
      <c r="J393">
        <v>4.0749000000000004</v>
      </c>
      <c r="K393">
        <v>2014</v>
      </c>
      <c r="L393">
        <v>7</v>
      </c>
      <c r="M393" t="s">
        <v>66</v>
      </c>
      <c r="N393">
        <v>12</v>
      </c>
      <c r="O393">
        <v>4</v>
      </c>
      <c r="P393">
        <v>47</v>
      </c>
      <c r="Q393">
        <v>2.89</v>
      </c>
      <c r="R393" t="s">
        <v>26</v>
      </c>
      <c r="S393" t="b">
        <v>0</v>
      </c>
      <c r="T393" t="b">
        <v>0</v>
      </c>
    </row>
    <row r="394" spans="1:20" x14ac:dyDescent="0.3">
      <c r="A394" t="s">
        <v>854</v>
      </c>
      <c r="B394" s="1">
        <v>41963</v>
      </c>
      <c r="C394" s="1">
        <v>41964</v>
      </c>
      <c r="D394" t="s">
        <v>95</v>
      </c>
      <c r="E394" t="s">
        <v>855</v>
      </c>
      <c r="F394" t="s">
        <v>54</v>
      </c>
      <c r="G394" t="s">
        <v>856</v>
      </c>
      <c r="H394">
        <v>31.968</v>
      </c>
      <c r="I394">
        <v>4</v>
      </c>
      <c r="J394">
        <v>2.3976000000000002</v>
      </c>
      <c r="K394">
        <v>2014</v>
      </c>
      <c r="L394">
        <v>11</v>
      </c>
      <c r="M394" t="s">
        <v>70</v>
      </c>
      <c r="N394">
        <v>20</v>
      </c>
      <c r="O394">
        <v>1</v>
      </c>
      <c r="P394">
        <v>7.5</v>
      </c>
      <c r="Q394">
        <v>7.992</v>
      </c>
      <c r="R394" t="s">
        <v>26</v>
      </c>
      <c r="S394" t="b">
        <v>0</v>
      </c>
      <c r="T394" t="b">
        <v>0</v>
      </c>
    </row>
    <row r="395" spans="1:20" x14ac:dyDescent="0.3">
      <c r="A395" t="s">
        <v>857</v>
      </c>
      <c r="B395" s="1">
        <v>41611</v>
      </c>
      <c r="C395" s="1">
        <v>41617</v>
      </c>
      <c r="D395" t="s">
        <v>858</v>
      </c>
      <c r="E395" t="s">
        <v>51</v>
      </c>
      <c r="F395" t="s">
        <v>72</v>
      </c>
      <c r="G395" t="s">
        <v>859</v>
      </c>
      <c r="H395">
        <v>25.92</v>
      </c>
      <c r="I395">
        <v>4</v>
      </c>
      <c r="J395">
        <v>12.441599999999999</v>
      </c>
      <c r="K395">
        <v>2013</v>
      </c>
      <c r="L395">
        <v>12</v>
      </c>
      <c r="M395" t="s">
        <v>41</v>
      </c>
      <c r="N395">
        <v>3</v>
      </c>
      <c r="O395">
        <v>6</v>
      </c>
      <c r="P395">
        <v>48</v>
      </c>
      <c r="Q395">
        <v>6.48</v>
      </c>
      <c r="R395" t="s">
        <v>26</v>
      </c>
      <c r="S395" t="b">
        <v>0</v>
      </c>
      <c r="T395" t="b">
        <v>0</v>
      </c>
    </row>
    <row r="396" spans="1:20" x14ac:dyDescent="0.3">
      <c r="A396" t="s">
        <v>857</v>
      </c>
      <c r="B396" s="1">
        <v>41611</v>
      </c>
      <c r="C396" s="1">
        <v>41617</v>
      </c>
      <c r="D396" t="s">
        <v>858</v>
      </c>
      <c r="E396" t="s">
        <v>51</v>
      </c>
      <c r="F396" t="s">
        <v>72</v>
      </c>
      <c r="G396" t="s">
        <v>860</v>
      </c>
      <c r="H396">
        <v>40.46</v>
      </c>
      <c r="I396">
        <v>7</v>
      </c>
      <c r="J396">
        <v>19.825399999999998</v>
      </c>
      <c r="K396">
        <v>2013</v>
      </c>
      <c r="L396">
        <v>12</v>
      </c>
      <c r="M396" t="s">
        <v>41</v>
      </c>
      <c r="N396">
        <v>3</v>
      </c>
      <c r="O396">
        <v>6</v>
      </c>
      <c r="P396">
        <v>49</v>
      </c>
      <c r="Q396">
        <v>5.78</v>
      </c>
      <c r="R396" t="s">
        <v>26</v>
      </c>
      <c r="S396" t="b">
        <v>0</v>
      </c>
      <c r="T396" t="b">
        <v>0</v>
      </c>
    </row>
    <row r="397" spans="1:20" x14ac:dyDescent="0.3">
      <c r="A397" t="s">
        <v>857</v>
      </c>
      <c r="B397" s="1">
        <v>41611</v>
      </c>
      <c r="C397" s="1">
        <v>41617</v>
      </c>
      <c r="D397" t="s">
        <v>858</v>
      </c>
      <c r="E397" t="s">
        <v>51</v>
      </c>
      <c r="F397" t="s">
        <v>45</v>
      </c>
      <c r="G397" t="s">
        <v>861</v>
      </c>
      <c r="H397">
        <v>33.869999999999997</v>
      </c>
      <c r="I397">
        <v>3</v>
      </c>
      <c r="J397">
        <v>8.8062000000000005</v>
      </c>
      <c r="K397">
        <v>2013</v>
      </c>
      <c r="L397">
        <v>12</v>
      </c>
      <c r="M397" t="s">
        <v>41</v>
      </c>
      <c r="N397">
        <v>3</v>
      </c>
      <c r="O397">
        <v>6</v>
      </c>
      <c r="P397">
        <v>26</v>
      </c>
      <c r="Q397">
        <v>11.29</v>
      </c>
      <c r="R397" t="s">
        <v>26</v>
      </c>
      <c r="S397" t="b">
        <v>0</v>
      </c>
      <c r="T397" t="b">
        <v>0</v>
      </c>
    </row>
    <row r="398" spans="1:20" x14ac:dyDescent="0.3">
      <c r="A398" t="s">
        <v>862</v>
      </c>
      <c r="B398" s="1">
        <v>41562</v>
      </c>
      <c r="C398" s="1">
        <v>41566</v>
      </c>
      <c r="D398" t="s">
        <v>863</v>
      </c>
      <c r="E398" t="s">
        <v>39</v>
      </c>
      <c r="F398" t="s">
        <v>61</v>
      </c>
      <c r="G398" t="s">
        <v>864</v>
      </c>
      <c r="H398">
        <v>177</v>
      </c>
      <c r="I398">
        <v>3</v>
      </c>
      <c r="J398">
        <v>30.09</v>
      </c>
      <c r="K398">
        <v>2013</v>
      </c>
      <c r="L398">
        <v>10</v>
      </c>
      <c r="M398" t="s">
        <v>82</v>
      </c>
      <c r="N398">
        <v>15</v>
      </c>
      <c r="O398">
        <v>4</v>
      </c>
      <c r="P398">
        <v>17</v>
      </c>
      <c r="Q398">
        <v>59</v>
      </c>
      <c r="R398" t="s">
        <v>26</v>
      </c>
      <c r="S398" t="b">
        <v>0</v>
      </c>
      <c r="T398" t="b">
        <v>0</v>
      </c>
    </row>
    <row r="399" spans="1:20" x14ac:dyDescent="0.3">
      <c r="A399" t="s">
        <v>865</v>
      </c>
      <c r="B399" s="1">
        <v>41216</v>
      </c>
      <c r="C399" s="1">
        <v>41220</v>
      </c>
      <c r="D399" t="s">
        <v>866</v>
      </c>
      <c r="E399" t="s">
        <v>22</v>
      </c>
      <c r="F399" t="s">
        <v>61</v>
      </c>
      <c r="G399" t="s">
        <v>867</v>
      </c>
      <c r="H399">
        <v>89.97</v>
      </c>
      <c r="I399">
        <v>3</v>
      </c>
      <c r="J399">
        <v>37.787399999999998</v>
      </c>
      <c r="K399">
        <v>2012</v>
      </c>
      <c r="L399">
        <v>11</v>
      </c>
      <c r="M399" t="s">
        <v>70</v>
      </c>
      <c r="N399">
        <v>3</v>
      </c>
      <c r="O399">
        <v>4</v>
      </c>
      <c r="P399">
        <v>42</v>
      </c>
      <c r="Q399">
        <v>29.99</v>
      </c>
      <c r="R399" t="s">
        <v>26</v>
      </c>
      <c r="S399" t="b">
        <v>0</v>
      </c>
      <c r="T399" t="b">
        <v>0</v>
      </c>
    </row>
    <row r="400" spans="1:20" x14ac:dyDescent="0.3">
      <c r="A400" t="s">
        <v>865</v>
      </c>
      <c r="B400" s="1">
        <v>41216</v>
      </c>
      <c r="C400" s="1">
        <v>41220</v>
      </c>
      <c r="D400" t="s">
        <v>866</v>
      </c>
      <c r="E400" t="s">
        <v>22</v>
      </c>
      <c r="F400" t="s">
        <v>29</v>
      </c>
      <c r="G400" t="s">
        <v>379</v>
      </c>
      <c r="H400">
        <v>42.6</v>
      </c>
      <c r="I400">
        <v>3</v>
      </c>
      <c r="J400">
        <v>16.614000000000001</v>
      </c>
      <c r="K400">
        <v>2012</v>
      </c>
      <c r="L400">
        <v>11</v>
      </c>
      <c r="M400" t="s">
        <v>70</v>
      </c>
      <c r="N400">
        <v>3</v>
      </c>
      <c r="O400">
        <v>4</v>
      </c>
      <c r="P400">
        <v>39</v>
      </c>
      <c r="Q400">
        <v>14.2</v>
      </c>
      <c r="R400" t="s">
        <v>26</v>
      </c>
      <c r="S400" t="b">
        <v>0</v>
      </c>
      <c r="T400" t="b">
        <v>0</v>
      </c>
    </row>
    <row r="401" spans="1:20" x14ac:dyDescent="0.3">
      <c r="A401" t="s">
        <v>868</v>
      </c>
      <c r="B401" s="1">
        <v>41943</v>
      </c>
      <c r="C401" s="1">
        <v>41947</v>
      </c>
      <c r="D401" t="s">
        <v>869</v>
      </c>
      <c r="E401" t="s">
        <v>450</v>
      </c>
      <c r="F401" t="s">
        <v>29</v>
      </c>
      <c r="G401" t="s">
        <v>870</v>
      </c>
      <c r="H401">
        <v>9.64</v>
      </c>
      <c r="I401">
        <v>2</v>
      </c>
      <c r="J401">
        <v>3.6631999999999998</v>
      </c>
      <c r="K401">
        <v>2014</v>
      </c>
      <c r="L401">
        <v>10</v>
      </c>
      <c r="M401" t="s">
        <v>82</v>
      </c>
      <c r="N401">
        <v>31</v>
      </c>
      <c r="O401">
        <v>4</v>
      </c>
      <c r="P401">
        <v>38</v>
      </c>
      <c r="Q401">
        <v>4.82</v>
      </c>
      <c r="R401" t="s">
        <v>26</v>
      </c>
      <c r="S401" t="b">
        <v>0</v>
      </c>
      <c r="T401" t="b">
        <v>0</v>
      </c>
    </row>
    <row r="402" spans="1:20" x14ac:dyDescent="0.3">
      <c r="A402" t="s">
        <v>871</v>
      </c>
      <c r="B402" s="1">
        <v>41565</v>
      </c>
      <c r="C402" s="1">
        <v>41568</v>
      </c>
      <c r="D402" t="s">
        <v>144</v>
      </c>
      <c r="E402" t="s">
        <v>51</v>
      </c>
      <c r="F402" t="s">
        <v>33</v>
      </c>
      <c r="G402" t="s">
        <v>872</v>
      </c>
      <c r="H402">
        <v>18.16</v>
      </c>
      <c r="I402">
        <v>5</v>
      </c>
      <c r="J402">
        <v>6.5830000000000002</v>
      </c>
      <c r="K402">
        <v>2013</v>
      </c>
      <c r="L402">
        <v>10</v>
      </c>
      <c r="M402" t="s">
        <v>82</v>
      </c>
      <c r="N402">
        <v>18</v>
      </c>
      <c r="O402">
        <v>3</v>
      </c>
      <c r="P402">
        <v>36.25</v>
      </c>
      <c r="Q402">
        <v>3.6320000000000001</v>
      </c>
      <c r="R402" t="s">
        <v>26</v>
      </c>
      <c r="S402" t="b">
        <v>0</v>
      </c>
      <c r="T402" t="b">
        <v>0</v>
      </c>
    </row>
    <row r="403" spans="1:20" x14ac:dyDescent="0.3">
      <c r="A403" t="s">
        <v>873</v>
      </c>
      <c r="B403" s="1">
        <v>41603</v>
      </c>
      <c r="C403" s="1">
        <v>41610</v>
      </c>
      <c r="D403" t="s">
        <v>710</v>
      </c>
      <c r="E403" t="s">
        <v>22</v>
      </c>
      <c r="F403" t="s">
        <v>54</v>
      </c>
      <c r="G403" t="s">
        <v>874</v>
      </c>
      <c r="H403">
        <v>33.520000000000003</v>
      </c>
      <c r="I403">
        <v>2</v>
      </c>
      <c r="J403">
        <v>3.3519999999999999</v>
      </c>
      <c r="K403">
        <v>2013</v>
      </c>
      <c r="L403">
        <v>11</v>
      </c>
      <c r="M403" t="s">
        <v>70</v>
      </c>
      <c r="N403">
        <v>25</v>
      </c>
      <c r="O403">
        <v>7</v>
      </c>
      <c r="P403">
        <v>10</v>
      </c>
      <c r="Q403">
        <v>16.760000000000002</v>
      </c>
      <c r="R403" t="s">
        <v>26</v>
      </c>
      <c r="S403" t="b">
        <v>0</v>
      </c>
      <c r="T403" t="b">
        <v>0</v>
      </c>
    </row>
    <row r="404" spans="1:20" x14ac:dyDescent="0.3">
      <c r="A404" t="s">
        <v>873</v>
      </c>
      <c r="B404" s="1">
        <v>41603</v>
      </c>
      <c r="C404" s="1">
        <v>41610</v>
      </c>
      <c r="D404" t="s">
        <v>710</v>
      </c>
      <c r="E404" t="s">
        <v>22</v>
      </c>
      <c r="F404" t="s">
        <v>29</v>
      </c>
      <c r="G404" t="s">
        <v>875</v>
      </c>
      <c r="H404">
        <v>9.94</v>
      </c>
      <c r="I404">
        <v>2</v>
      </c>
      <c r="J404">
        <v>3.0813999999999999</v>
      </c>
      <c r="K404">
        <v>2013</v>
      </c>
      <c r="L404">
        <v>11</v>
      </c>
      <c r="M404" t="s">
        <v>70</v>
      </c>
      <c r="N404">
        <v>25</v>
      </c>
      <c r="O404">
        <v>7</v>
      </c>
      <c r="P404">
        <v>31</v>
      </c>
      <c r="Q404">
        <v>4.97</v>
      </c>
      <c r="R404" t="s">
        <v>26</v>
      </c>
      <c r="S404" t="b">
        <v>0</v>
      </c>
      <c r="T404" t="b">
        <v>0</v>
      </c>
    </row>
    <row r="405" spans="1:20" x14ac:dyDescent="0.3">
      <c r="A405" t="s">
        <v>876</v>
      </c>
      <c r="B405" s="1">
        <v>41122</v>
      </c>
      <c r="C405" s="1">
        <v>41128</v>
      </c>
      <c r="D405" t="s">
        <v>877</v>
      </c>
      <c r="E405" t="s">
        <v>22</v>
      </c>
      <c r="F405" t="s">
        <v>31</v>
      </c>
      <c r="G405" t="s">
        <v>878</v>
      </c>
      <c r="H405">
        <v>6.72</v>
      </c>
      <c r="I405">
        <v>4</v>
      </c>
      <c r="J405">
        <v>3.36</v>
      </c>
      <c r="K405">
        <v>2012</v>
      </c>
      <c r="L405">
        <v>8</v>
      </c>
      <c r="M405" t="s">
        <v>53</v>
      </c>
      <c r="N405">
        <v>1</v>
      </c>
      <c r="O405">
        <v>6</v>
      </c>
      <c r="P405">
        <v>50</v>
      </c>
      <c r="Q405">
        <v>1.68</v>
      </c>
      <c r="R405" t="s">
        <v>26</v>
      </c>
      <c r="S405" t="b">
        <v>0</v>
      </c>
      <c r="T405" t="b">
        <v>0</v>
      </c>
    </row>
    <row r="406" spans="1:20" x14ac:dyDescent="0.3">
      <c r="A406" t="s">
        <v>879</v>
      </c>
      <c r="B406" s="1">
        <v>41895</v>
      </c>
      <c r="C406" s="1">
        <v>41898</v>
      </c>
      <c r="D406" t="s">
        <v>880</v>
      </c>
      <c r="E406" t="s">
        <v>22</v>
      </c>
      <c r="F406" t="s">
        <v>29</v>
      </c>
      <c r="G406" t="s">
        <v>881</v>
      </c>
      <c r="H406">
        <v>8.36</v>
      </c>
      <c r="I406">
        <v>2</v>
      </c>
      <c r="J406">
        <v>3.0095999999999998</v>
      </c>
      <c r="K406">
        <v>2014</v>
      </c>
      <c r="L406">
        <v>9</v>
      </c>
      <c r="M406" t="s">
        <v>87</v>
      </c>
      <c r="N406">
        <v>13</v>
      </c>
      <c r="O406">
        <v>3</v>
      </c>
      <c r="P406">
        <v>36</v>
      </c>
      <c r="Q406">
        <v>4.18</v>
      </c>
      <c r="R406" t="s">
        <v>26</v>
      </c>
      <c r="S406" t="b">
        <v>0</v>
      </c>
      <c r="T406" t="b">
        <v>0</v>
      </c>
    </row>
    <row r="407" spans="1:20" x14ac:dyDescent="0.3">
      <c r="A407" t="s">
        <v>882</v>
      </c>
      <c r="B407" s="1">
        <v>41815</v>
      </c>
      <c r="C407" s="1">
        <v>41822</v>
      </c>
      <c r="D407" t="s">
        <v>883</v>
      </c>
      <c r="E407" t="s">
        <v>884</v>
      </c>
      <c r="F407" t="s">
        <v>31</v>
      </c>
      <c r="G407" t="s">
        <v>885</v>
      </c>
      <c r="H407">
        <v>385.6</v>
      </c>
      <c r="I407">
        <v>8</v>
      </c>
      <c r="J407">
        <v>111.824</v>
      </c>
      <c r="K407">
        <v>2014</v>
      </c>
      <c r="L407">
        <v>6</v>
      </c>
      <c r="M407" t="s">
        <v>25</v>
      </c>
      <c r="N407">
        <v>25</v>
      </c>
      <c r="O407">
        <v>7</v>
      </c>
      <c r="P407">
        <v>29</v>
      </c>
      <c r="Q407">
        <v>48.2</v>
      </c>
      <c r="R407" t="s">
        <v>26</v>
      </c>
      <c r="S407" t="b">
        <v>0</v>
      </c>
      <c r="T407" t="b">
        <v>1</v>
      </c>
    </row>
    <row r="408" spans="1:20" x14ac:dyDescent="0.3">
      <c r="A408" t="s">
        <v>882</v>
      </c>
      <c r="B408" s="1">
        <v>41815</v>
      </c>
      <c r="C408" s="1">
        <v>41822</v>
      </c>
      <c r="D408" t="s">
        <v>883</v>
      </c>
      <c r="E408" t="s">
        <v>884</v>
      </c>
      <c r="F408" t="s">
        <v>31</v>
      </c>
      <c r="G408" t="s">
        <v>886</v>
      </c>
      <c r="H408">
        <v>35.82</v>
      </c>
      <c r="I408">
        <v>9</v>
      </c>
      <c r="J408">
        <v>11.820600000000001</v>
      </c>
      <c r="K408">
        <v>2014</v>
      </c>
      <c r="L408">
        <v>6</v>
      </c>
      <c r="M408" t="s">
        <v>25</v>
      </c>
      <c r="N408">
        <v>25</v>
      </c>
      <c r="O408">
        <v>7</v>
      </c>
      <c r="P408">
        <v>33</v>
      </c>
      <c r="Q408">
        <v>3.98</v>
      </c>
      <c r="R408" t="s">
        <v>26</v>
      </c>
      <c r="S408" t="b">
        <v>0</v>
      </c>
      <c r="T408" t="b">
        <v>0</v>
      </c>
    </row>
    <row r="409" spans="1:20" x14ac:dyDescent="0.3">
      <c r="A409" t="s">
        <v>887</v>
      </c>
      <c r="B409" s="1">
        <v>40578</v>
      </c>
      <c r="C409" s="1">
        <v>40581</v>
      </c>
      <c r="D409" t="s">
        <v>888</v>
      </c>
      <c r="E409" t="s">
        <v>39</v>
      </c>
      <c r="F409" t="s">
        <v>33</v>
      </c>
      <c r="G409" t="s">
        <v>220</v>
      </c>
      <c r="H409">
        <v>83.84</v>
      </c>
      <c r="I409">
        <v>2</v>
      </c>
      <c r="J409">
        <v>27.248000000000001</v>
      </c>
      <c r="K409">
        <v>2011</v>
      </c>
      <c r="L409">
        <v>2</v>
      </c>
      <c r="M409" t="s">
        <v>303</v>
      </c>
      <c r="N409">
        <v>4</v>
      </c>
      <c r="O409">
        <v>3</v>
      </c>
      <c r="P409">
        <v>32.5</v>
      </c>
      <c r="Q409">
        <v>41.92</v>
      </c>
      <c r="R409" t="s">
        <v>26</v>
      </c>
      <c r="S409" t="b">
        <v>0</v>
      </c>
      <c r="T409" t="b">
        <v>0</v>
      </c>
    </row>
    <row r="410" spans="1:20" x14ac:dyDescent="0.3">
      <c r="A410" t="s">
        <v>887</v>
      </c>
      <c r="B410" s="1">
        <v>40578</v>
      </c>
      <c r="C410" s="1">
        <v>40581</v>
      </c>
      <c r="D410" t="s">
        <v>888</v>
      </c>
      <c r="E410" t="s">
        <v>39</v>
      </c>
      <c r="F410" t="s">
        <v>33</v>
      </c>
      <c r="G410" t="s">
        <v>889</v>
      </c>
      <c r="H410">
        <v>13.272</v>
      </c>
      <c r="I410">
        <v>3</v>
      </c>
      <c r="J410">
        <v>4.3133999999999997</v>
      </c>
      <c r="K410">
        <v>2011</v>
      </c>
      <c r="L410">
        <v>2</v>
      </c>
      <c r="M410" t="s">
        <v>303</v>
      </c>
      <c r="N410">
        <v>4</v>
      </c>
      <c r="O410">
        <v>3</v>
      </c>
      <c r="P410">
        <v>32.5</v>
      </c>
      <c r="Q410">
        <v>4.4240000000000004</v>
      </c>
      <c r="R410" t="s">
        <v>26</v>
      </c>
      <c r="S410" t="b">
        <v>0</v>
      </c>
      <c r="T410" t="b">
        <v>0</v>
      </c>
    </row>
    <row r="411" spans="1:20" x14ac:dyDescent="0.3">
      <c r="A411" t="s">
        <v>890</v>
      </c>
      <c r="B411" s="1">
        <v>41682</v>
      </c>
      <c r="C411" s="1">
        <v>41685</v>
      </c>
      <c r="D411" t="s">
        <v>891</v>
      </c>
      <c r="E411" t="s">
        <v>51</v>
      </c>
      <c r="F411" t="s">
        <v>33</v>
      </c>
      <c r="G411" t="s">
        <v>578</v>
      </c>
      <c r="H411">
        <v>21.335999999999999</v>
      </c>
      <c r="I411">
        <v>7</v>
      </c>
      <c r="J411">
        <v>7.7343000000000002</v>
      </c>
      <c r="K411">
        <v>2014</v>
      </c>
      <c r="L411">
        <v>2</v>
      </c>
      <c r="M411" t="s">
        <v>303</v>
      </c>
      <c r="N411">
        <v>12</v>
      </c>
      <c r="O411">
        <v>3</v>
      </c>
      <c r="P411">
        <v>36.25</v>
      </c>
      <c r="Q411">
        <v>3.048</v>
      </c>
      <c r="R411" t="s">
        <v>26</v>
      </c>
      <c r="S411" t="b">
        <v>0</v>
      </c>
      <c r="T411" t="b">
        <v>0</v>
      </c>
    </row>
    <row r="412" spans="1:20" x14ac:dyDescent="0.3">
      <c r="A412" t="s">
        <v>892</v>
      </c>
      <c r="B412" s="1">
        <v>41249</v>
      </c>
      <c r="C412" s="1">
        <v>41254</v>
      </c>
      <c r="D412" t="s">
        <v>893</v>
      </c>
      <c r="E412" t="s">
        <v>257</v>
      </c>
      <c r="F412" t="s">
        <v>29</v>
      </c>
      <c r="G412" t="s">
        <v>894</v>
      </c>
      <c r="H412">
        <v>206.11199999999999</v>
      </c>
      <c r="I412">
        <v>6</v>
      </c>
      <c r="J412">
        <v>48.951599999999999</v>
      </c>
      <c r="K412">
        <v>2012</v>
      </c>
      <c r="L412">
        <v>12</v>
      </c>
      <c r="M412" t="s">
        <v>41</v>
      </c>
      <c r="N412">
        <v>6</v>
      </c>
      <c r="O412">
        <v>5</v>
      </c>
      <c r="P412">
        <v>23.75</v>
      </c>
      <c r="Q412">
        <v>34.351999999999997</v>
      </c>
      <c r="R412" t="s">
        <v>26</v>
      </c>
      <c r="S412" t="b">
        <v>0</v>
      </c>
      <c r="T412" t="b">
        <v>0</v>
      </c>
    </row>
    <row r="413" spans="1:20" x14ac:dyDescent="0.3">
      <c r="A413" t="s">
        <v>892</v>
      </c>
      <c r="B413" s="1">
        <v>41249</v>
      </c>
      <c r="C413" s="1">
        <v>41254</v>
      </c>
      <c r="D413" t="s">
        <v>893</v>
      </c>
      <c r="E413" t="s">
        <v>257</v>
      </c>
      <c r="F413" t="s">
        <v>72</v>
      </c>
      <c r="G413" t="s">
        <v>895</v>
      </c>
      <c r="H413">
        <v>19.920000000000002</v>
      </c>
      <c r="I413">
        <v>5</v>
      </c>
      <c r="J413">
        <v>6.7229999999999999</v>
      </c>
      <c r="K413">
        <v>2012</v>
      </c>
      <c r="L413">
        <v>12</v>
      </c>
      <c r="M413" t="s">
        <v>41</v>
      </c>
      <c r="N413">
        <v>6</v>
      </c>
      <c r="O413">
        <v>5</v>
      </c>
      <c r="P413">
        <v>33.75</v>
      </c>
      <c r="Q413">
        <v>3.984</v>
      </c>
      <c r="R413" t="s">
        <v>26</v>
      </c>
      <c r="S413" t="b">
        <v>0</v>
      </c>
      <c r="T413" t="b">
        <v>0</v>
      </c>
    </row>
    <row r="414" spans="1:20" x14ac:dyDescent="0.3">
      <c r="A414" t="s">
        <v>892</v>
      </c>
      <c r="B414" s="1">
        <v>41249</v>
      </c>
      <c r="C414" s="1">
        <v>41254</v>
      </c>
      <c r="D414" t="s">
        <v>893</v>
      </c>
      <c r="E414" t="s">
        <v>257</v>
      </c>
      <c r="F414" t="s">
        <v>72</v>
      </c>
      <c r="G414" t="s">
        <v>896</v>
      </c>
      <c r="H414">
        <v>198.27199999999999</v>
      </c>
      <c r="I414">
        <v>8</v>
      </c>
      <c r="J414">
        <v>61.96</v>
      </c>
      <c r="K414">
        <v>2012</v>
      </c>
      <c r="L414">
        <v>12</v>
      </c>
      <c r="M414" t="s">
        <v>41</v>
      </c>
      <c r="N414">
        <v>6</v>
      </c>
      <c r="O414">
        <v>5</v>
      </c>
      <c r="P414">
        <v>31.25</v>
      </c>
      <c r="Q414">
        <v>24.783999999999999</v>
      </c>
      <c r="R414" t="s">
        <v>26</v>
      </c>
      <c r="S414" t="b">
        <v>0</v>
      </c>
      <c r="T414" t="b">
        <v>0</v>
      </c>
    </row>
    <row r="415" spans="1:20" x14ac:dyDescent="0.3">
      <c r="A415" t="s">
        <v>892</v>
      </c>
      <c r="B415" s="1">
        <v>41249</v>
      </c>
      <c r="C415" s="1">
        <v>41254</v>
      </c>
      <c r="D415" t="s">
        <v>893</v>
      </c>
      <c r="E415" t="s">
        <v>257</v>
      </c>
      <c r="F415" t="s">
        <v>45</v>
      </c>
      <c r="G415" t="s">
        <v>897</v>
      </c>
      <c r="H415">
        <v>247.10400000000001</v>
      </c>
      <c r="I415">
        <v>6</v>
      </c>
      <c r="J415">
        <v>-58.687199999999997</v>
      </c>
      <c r="K415">
        <v>2012</v>
      </c>
      <c r="L415">
        <v>12</v>
      </c>
      <c r="M415" t="s">
        <v>41</v>
      </c>
      <c r="N415">
        <v>6</v>
      </c>
      <c r="O415">
        <v>5</v>
      </c>
      <c r="P415">
        <v>-23.75</v>
      </c>
      <c r="Q415">
        <v>41.183999999999997</v>
      </c>
      <c r="R415" t="s">
        <v>26</v>
      </c>
      <c r="S415" t="b">
        <v>1</v>
      </c>
      <c r="T415" t="b">
        <v>1</v>
      </c>
    </row>
    <row r="416" spans="1:20" x14ac:dyDescent="0.3">
      <c r="A416" t="s">
        <v>892</v>
      </c>
      <c r="B416" s="1">
        <v>41249</v>
      </c>
      <c r="C416" s="1">
        <v>41254</v>
      </c>
      <c r="D416" t="s">
        <v>893</v>
      </c>
      <c r="E416" t="s">
        <v>257</v>
      </c>
      <c r="F416" t="s">
        <v>31</v>
      </c>
      <c r="G416" t="s">
        <v>705</v>
      </c>
      <c r="H416">
        <v>86.304000000000002</v>
      </c>
      <c r="I416">
        <v>6</v>
      </c>
      <c r="J416">
        <v>9.7091999999999992</v>
      </c>
      <c r="K416">
        <v>2012</v>
      </c>
      <c r="L416">
        <v>12</v>
      </c>
      <c r="M416" t="s">
        <v>41</v>
      </c>
      <c r="N416">
        <v>6</v>
      </c>
      <c r="O416">
        <v>5</v>
      </c>
      <c r="P416">
        <v>11.25</v>
      </c>
      <c r="Q416">
        <v>14.384</v>
      </c>
      <c r="R416" t="s">
        <v>26</v>
      </c>
      <c r="S416" t="b">
        <v>0</v>
      </c>
      <c r="T416" t="b">
        <v>0</v>
      </c>
    </row>
    <row r="417" spans="1:20" x14ac:dyDescent="0.3">
      <c r="A417" t="s">
        <v>898</v>
      </c>
      <c r="B417" s="1">
        <v>41883</v>
      </c>
      <c r="C417" s="1">
        <v>41888</v>
      </c>
      <c r="D417" t="s">
        <v>382</v>
      </c>
      <c r="E417" t="s">
        <v>899</v>
      </c>
      <c r="F417" t="s">
        <v>45</v>
      </c>
      <c r="G417" t="s">
        <v>900</v>
      </c>
      <c r="H417">
        <v>10.744</v>
      </c>
      <c r="I417">
        <v>1</v>
      </c>
      <c r="J417">
        <v>0.80579999999999996</v>
      </c>
      <c r="K417">
        <v>2014</v>
      </c>
      <c r="L417">
        <v>9</v>
      </c>
      <c r="M417" t="s">
        <v>87</v>
      </c>
      <c r="N417">
        <v>1</v>
      </c>
      <c r="O417">
        <v>5</v>
      </c>
      <c r="P417">
        <v>7.5</v>
      </c>
      <c r="Q417">
        <v>10.744</v>
      </c>
      <c r="R417" t="s">
        <v>26</v>
      </c>
      <c r="S417" t="b">
        <v>0</v>
      </c>
      <c r="T417" t="b">
        <v>0</v>
      </c>
    </row>
    <row r="418" spans="1:20" x14ac:dyDescent="0.3">
      <c r="A418" t="s">
        <v>898</v>
      </c>
      <c r="B418" s="1">
        <v>41883</v>
      </c>
      <c r="C418" s="1">
        <v>41888</v>
      </c>
      <c r="D418" t="s">
        <v>382</v>
      </c>
      <c r="E418" t="s">
        <v>899</v>
      </c>
      <c r="F418" t="s">
        <v>119</v>
      </c>
      <c r="G418" t="s">
        <v>901</v>
      </c>
      <c r="H418">
        <v>8.3759999999999994</v>
      </c>
      <c r="I418">
        <v>3</v>
      </c>
      <c r="J418">
        <v>2.7222</v>
      </c>
      <c r="K418">
        <v>2014</v>
      </c>
      <c r="L418">
        <v>9</v>
      </c>
      <c r="M418" t="s">
        <v>87</v>
      </c>
      <c r="N418">
        <v>1</v>
      </c>
      <c r="O418">
        <v>5</v>
      </c>
      <c r="P418">
        <v>32.5</v>
      </c>
      <c r="Q418">
        <v>2.7919999999999998</v>
      </c>
      <c r="R418" t="s">
        <v>26</v>
      </c>
      <c r="S418" t="b">
        <v>0</v>
      </c>
      <c r="T418" t="b">
        <v>0</v>
      </c>
    </row>
    <row r="419" spans="1:20" x14ac:dyDescent="0.3">
      <c r="A419" t="s">
        <v>902</v>
      </c>
      <c r="B419" s="1">
        <v>41681</v>
      </c>
      <c r="C419" s="1">
        <v>41685</v>
      </c>
      <c r="D419" t="s">
        <v>903</v>
      </c>
      <c r="E419" t="s">
        <v>904</v>
      </c>
      <c r="F419" t="s">
        <v>317</v>
      </c>
      <c r="G419" t="s">
        <v>905</v>
      </c>
      <c r="H419">
        <v>203.983</v>
      </c>
      <c r="I419">
        <v>2</v>
      </c>
      <c r="J419">
        <v>16.7986</v>
      </c>
      <c r="K419">
        <v>2014</v>
      </c>
      <c r="L419">
        <v>2</v>
      </c>
      <c r="M419" t="s">
        <v>303</v>
      </c>
      <c r="N419">
        <v>11</v>
      </c>
      <c r="O419">
        <v>4</v>
      </c>
      <c r="P419">
        <v>8.24</v>
      </c>
      <c r="Q419">
        <v>101.9915</v>
      </c>
      <c r="R419" t="s">
        <v>26</v>
      </c>
      <c r="S419" t="b">
        <v>0</v>
      </c>
      <c r="T419" t="b">
        <v>0</v>
      </c>
    </row>
    <row r="420" spans="1:20" x14ac:dyDescent="0.3">
      <c r="A420" t="s">
        <v>906</v>
      </c>
      <c r="B420" s="1">
        <v>40579</v>
      </c>
      <c r="C420" s="1">
        <v>40583</v>
      </c>
      <c r="D420" t="s">
        <v>907</v>
      </c>
      <c r="E420" t="s">
        <v>194</v>
      </c>
      <c r="F420" t="s">
        <v>33</v>
      </c>
      <c r="G420" t="s">
        <v>908</v>
      </c>
      <c r="H420">
        <v>82.896000000000001</v>
      </c>
      <c r="I420">
        <v>3</v>
      </c>
      <c r="J420">
        <v>29.0136</v>
      </c>
      <c r="K420">
        <v>2011</v>
      </c>
      <c r="L420">
        <v>2</v>
      </c>
      <c r="M420" t="s">
        <v>303</v>
      </c>
      <c r="N420">
        <v>5</v>
      </c>
      <c r="O420">
        <v>4</v>
      </c>
      <c r="P420">
        <v>35</v>
      </c>
      <c r="Q420">
        <v>27.632000000000001</v>
      </c>
      <c r="R420" t="s">
        <v>26</v>
      </c>
      <c r="S420" t="b">
        <v>0</v>
      </c>
      <c r="T420" t="b">
        <v>0</v>
      </c>
    </row>
    <row r="421" spans="1:20" x14ac:dyDescent="0.3">
      <c r="A421" t="s">
        <v>906</v>
      </c>
      <c r="B421" s="1">
        <v>40579</v>
      </c>
      <c r="C421" s="1">
        <v>40583</v>
      </c>
      <c r="D421" t="s">
        <v>907</v>
      </c>
      <c r="E421" t="s">
        <v>194</v>
      </c>
      <c r="F421" t="s">
        <v>72</v>
      </c>
      <c r="G421" t="s">
        <v>574</v>
      </c>
      <c r="H421">
        <v>34.24</v>
      </c>
      <c r="I421">
        <v>4</v>
      </c>
      <c r="J421">
        <v>16.0928</v>
      </c>
      <c r="K421">
        <v>2011</v>
      </c>
      <c r="L421">
        <v>2</v>
      </c>
      <c r="M421" t="s">
        <v>303</v>
      </c>
      <c r="N421">
        <v>5</v>
      </c>
      <c r="O421">
        <v>4</v>
      </c>
      <c r="P421">
        <v>47</v>
      </c>
      <c r="Q421">
        <v>8.56</v>
      </c>
      <c r="R421" t="s">
        <v>26</v>
      </c>
      <c r="S421" t="b">
        <v>0</v>
      </c>
      <c r="T421" t="b">
        <v>0</v>
      </c>
    </row>
    <row r="422" spans="1:20" x14ac:dyDescent="0.3">
      <c r="A422" t="s">
        <v>909</v>
      </c>
      <c r="B422" s="1">
        <v>41443</v>
      </c>
      <c r="C422" s="1">
        <v>41448</v>
      </c>
      <c r="D422" t="s">
        <v>910</v>
      </c>
      <c r="E422" t="s">
        <v>194</v>
      </c>
      <c r="F422" t="s">
        <v>72</v>
      </c>
      <c r="G422" t="s">
        <v>809</v>
      </c>
      <c r="H422">
        <v>111.96</v>
      </c>
      <c r="I422">
        <v>2</v>
      </c>
      <c r="J422">
        <v>54.860399999999998</v>
      </c>
      <c r="K422">
        <v>2013</v>
      </c>
      <c r="L422">
        <v>6</v>
      </c>
      <c r="M422" t="s">
        <v>25</v>
      </c>
      <c r="N422">
        <v>18</v>
      </c>
      <c r="O422">
        <v>5</v>
      </c>
      <c r="P422">
        <v>49</v>
      </c>
      <c r="Q422">
        <v>55.98</v>
      </c>
      <c r="R422" t="s">
        <v>26</v>
      </c>
      <c r="S422" t="b">
        <v>0</v>
      </c>
      <c r="T422" t="b">
        <v>0</v>
      </c>
    </row>
    <row r="423" spans="1:20" x14ac:dyDescent="0.3">
      <c r="A423" t="s">
        <v>911</v>
      </c>
      <c r="B423" s="1">
        <v>40945</v>
      </c>
      <c r="C423" s="1">
        <v>40952</v>
      </c>
      <c r="D423" t="s">
        <v>891</v>
      </c>
      <c r="E423" t="s">
        <v>912</v>
      </c>
      <c r="F423" t="s">
        <v>31</v>
      </c>
      <c r="G423" t="s">
        <v>913</v>
      </c>
      <c r="H423">
        <v>5.28</v>
      </c>
      <c r="I423">
        <v>3</v>
      </c>
      <c r="J423">
        <v>1.5311999999999999</v>
      </c>
      <c r="K423">
        <v>2012</v>
      </c>
      <c r="L423">
        <v>2</v>
      </c>
      <c r="M423" t="s">
        <v>303</v>
      </c>
      <c r="N423">
        <v>6</v>
      </c>
      <c r="O423">
        <v>7</v>
      </c>
      <c r="P423">
        <v>29</v>
      </c>
      <c r="Q423">
        <v>1.76</v>
      </c>
      <c r="R423" t="s">
        <v>26</v>
      </c>
      <c r="S423" t="b">
        <v>0</v>
      </c>
      <c r="T423" t="b">
        <v>0</v>
      </c>
    </row>
    <row r="424" spans="1:20" x14ac:dyDescent="0.3">
      <c r="A424" t="s">
        <v>914</v>
      </c>
      <c r="B424" s="1">
        <v>40984</v>
      </c>
      <c r="C424" s="1">
        <v>40986</v>
      </c>
      <c r="D424" t="s">
        <v>915</v>
      </c>
      <c r="E424" t="s">
        <v>39</v>
      </c>
      <c r="F424" t="s">
        <v>174</v>
      </c>
      <c r="G424" t="s">
        <v>916</v>
      </c>
      <c r="H424">
        <v>171.96</v>
      </c>
      <c r="I424">
        <v>2</v>
      </c>
      <c r="J424">
        <v>44.709600000000002</v>
      </c>
      <c r="K424">
        <v>2012</v>
      </c>
      <c r="L424">
        <v>3</v>
      </c>
      <c r="M424" t="s">
        <v>135</v>
      </c>
      <c r="N424">
        <v>16</v>
      </c>
      <c r="O424">
        <v>2</v>
      </c>
      <c r="P424">
        <v>26</v>
      </c>
      <c r="Q424">
        <v>85.98</v>
      </c>
      <c r="R424" t="s">
        <v>26</v>
      </c>
      <c r="S424" t="b">
        <v>0</v>
      </c>
      <c r="T424" t="b">
        <v>0</v>
      </c>
    </row>
    <row r="425" spans="1:20" x14ac:dyDescent="0.3">
      <c r="A425" t="s">
        <v>917</v>
      </c>
      <c r="B425" s="1">
        <v>41374</v>
      </c>
      <c r="C425" s="1">
        <v>41378</v>
      </c>
      <c r="D425" t="s">
        <v>918</v>
      </c>
      <c r="E425" t="s">
        <v>39</v>
      </c>
      <c r="F425" t="s">
        <v>33</v>
      </c>
      <c r="G425" t="s">
        <v>919</v>
      </c>
      <c r="H425">
        <v>35.351999999999997</v>
      </c>
      <c r="I425">
        <v>9</v>
      </c>
      <c r="J425">
        <v>12.815099999999999</v>
      </c>
      <c r="K425">
        <v>2013</v>
      </c>
      <c r="L425">
        <v>4</v>
      </c>
      <c r="M425" t="s">
        <v>236</v>
      </c>
      <c r="N425">
        <v>10</v>
      </c>
      <c r="O425">
        <v>4</v>
      </c>
      <c r="P425">
        <v>36.25</v>
      </c>
      <c r="Q425">
        <v>3.927999999999999</v>
      </c>
      <c r="R425" t="s">
        <v>26</v>
      </c>
      <c r="S425" t="b">
        <v>0</v>
      </c>
      <c r="T425" t="b">
        <v>0</v>
      </c>
    </row>
    <row r="426" spans="1:20" x14ac:dyDescent="0.3">
      <c r="A426" t="s">
        <v>920</v>
      </c>
      <c r="B426" s="1">
        <v>40637</v>
      </c>
      <c r="C426" s="1">
        <v>40642</v>
      </c>
      <c r="D426" t="s">
        <v>921</v>
      </c>
      <c r="E426" t="s">
        <v>51</v>
      </c>
      <c r="F426" t="s">
        <v>23</v>
      </c>
      <c r="G426" t="s">
        <v>922</v>
      </c>
      <c r="H426">
        <v>18.899999999999999</v>
      </c>
      <c r="I426">
        <v>6</v>
      </c>
      <c r="J426">
        <v>9.0719999999999992</v>
      </c>
      <c r="K426">
        <v>2011</v>
      </c>
      <c r="L426">
        <v>4</v>
      </c>
      <c r="M426" t="s">
        <v>236</v>
      </c>
      <c r="N426">
        <v>4</v>
      </c>
      <c r="O426">
        <v>5</v>
      </c>
      <c r="P426">
        <v>48</v>
      </c>
      <c r="Q426">
        <v>3.15</v>
      </c>
      <c r="R426" t="s">
        <v>48</v>
      </c>
      <c r="S426" t="b">
        <v>0</v>
      </c>
      <c r="T426" t="b">
        <v>0</v>
      </c>
    </row>
    <row r="427" spans="1:20" x14ac:dyDescent="0.3">
      <c r="A427" t="s">
        <v>923</v>
      </c>
      <c r="B427" s="1">
        <v>41888</v>
      </c>
      <c r="C427" s="1">
        <v>41889</v>
      </c>
      <c r="D427" t="s">
        <v>924</v>
      </c>
      <c r="E427" t="s">
        <v>39</v>
      </c>
      <c r="F427" t="s">
        <v>31</v>
      </c>
      <c r="G427" t="s">
        <v>648</v>
      </c>
      <c r="H427">
        <v>2.78</v>
      </c>
      <c r="I427">
        <v>1</v>
      </c>
      <c r="J427">
        <v>0.7228</v>
      </c>
      <c r="K427">
        <v>2014</v>
      </c>
      <c r="L427">
        <v>9</v>
      </c>
      <c r="M427" t="s">
        <v>87</v>
      </c>
      <c r="N427">
        <v>6</v>
      </c>
      <c r="O427">
        <v>1</v>
      </c>
      <c r="P427">
        <v>26</v>
      </c>
      <c r="Q427">
        <v>2.78</v>
      </c>
      <c r="R427" t="s">
        <v>26</v>
      </c>
      <c r="S427" t="b">
        <v>0</v>
      </c>
      <c r="T427" t="b">
        <v>0</v>
      </c>
    </row>
    <row r="428" spans="1:20" x14ac:dyDescent="0.3">
      <c r="A428" t="s">
        <v>925</v>
      </c>
      <c r="B428" s="1">
        <v>40987</v>
      </c>
      <c r="C428" s="1">
        <v>40993</v>
      </c>
      <c r="D428" t="s">
        <v>926</v>
      </c>
      <c r="E428" t="s">
        <v>39</v>
      </c>
      <c r="F428" t="s">
        <v>54</v>
      </c>
      <c r="G428" t="s">
        <v>927</v>
      </c>
      <c r="H428">
        <v>453.57600000000002</v>
      </c>
      <c r="I428">
        <v>3</v>
      </c>
      <c r="J428">
        <v>39.687899999999999</v>
      </c>
      <c r="K428">
        <v>2012</v>
      </c>
      <c r="L428">
        <v>3</v>
      </c>
      <c r="M428" t="s">
        <v>135</v>
      </c>
      <c r="N428">
        <v>19</v>
      </c>
      <c r="O428">
        <v>6</v>
      </c>
      <c r="P428">
        <v>8.75</v>
      </c>
      <c r="Q428">
        <v>151.19200000000001</v>
      </c>
      <c r="R428" t="s">
        <v>26</v>
      </c>
      <c r="S428" t="b">
        <v>0</v>
      </c>
      <c r="T428" t="b">
        <v>1</v>
      </c>
    </row>
    <row r="429" spans="1:20" x14ac:dyDescent="0.3">
      <c r="A429" t="s">
        <v>928</v>
      </c>
      <c r="B429" s="1">
        <v>41802</v>
      </c>
      <c r="C429" s="1">
        <v>41802</v>
      </c>
      <c r="D429" t="s">
        <v>405</v>
      </c>
      <c r="E429" t="s">
        <v>22</v>
      </c>
      <c r="F429" t="s">
        <v>72</v>
      </c>
      <c r="G429" t="s">
        <v>347</v>
      </c>
      <c r="H429">
        <v>122.97</v>
      </c>
      <c r="I429">
        <v>3</v>
      </c>
      <c r="J429">
        <v>60.255299999999998</v>
      </c>
      <c r="K429">
        <v>2014</v>
      </c>
      <c r="L429">
        <v>6</v>
      </c>
      <c r="M429" t="s">
        <v>25</v>
      </c>
      <c r="N429">
        <v>12</v>
      </c>
      <c r="O429">
        <v>0</v>
      </c>
      <c r="P429">
        <v>49</v>
      </c>
      <c r="Q429">
        <v>40.99</v>
      </c>
      <c r="R429" t="s">
        <v>26</v>
      </c>
      <c r="S429" t="b">
        <v>0</v>
      </c>
      <c r="T429" t="b">
        <v>0</v>
      </c>
    </row>
    <row r="430" spans="1:20" x14ac:dyDescent="0.3">
      <c r="A430" t="s">
        <v>929</v>
      </c>
      <c r="B430" s="1">
        <v>40870</v>
      </c>
      <c r="C430" s="1">
        <v>40872</v>
      </c>
      <c r="D430" t="s">
        <v>300</v>
      </c>
      <c r="E430" t="s">
        <v>22</v>
      </c>
      <c r="F430" t="s">
        <v>128</v>
      </c>
      <c r="G430" t="s">
        <v>930</v>
      </c>
      <c r="H430">
        <v>21.84</v>
      </c>
      <c r="I430">
        <v>3</v>
      </c>
      <c r="J430">
        <v>10.4832</v>
      </c>
      <c r="K430">
        <v>2011</v>
      </c>
      <c r="L430">
        <v>11</v>
      </c>
      <c r="M430" t="s">
        <v>70</v>
      </c>
      <c r="N430">
        <v>23</v>
      </c>
      <c r="O430">
        <v>2</v>
      </c>
      <c r="P430">
        <v>48</v>
      </c>
      <c r="Q430">
        <v>7.28</v>
      </c>
      <c r="R430" t="s">
        <v>26</v>
      </c>
      <c r="S430" t="b">
        <v>0</v>
      </c>
      <c r="T430" t="b">
        <v>0</v>
      </c>
    </row>
    <row r="431" spans="1:20" x14ac:dyDescent="0.3">
      <c r="A431" t="s">
        <v>929</v>
      </c>
      <c r="B431" s="1">
        <v>40870</v>
      </c>
      <c r="C431" s="1">
        <v>40872</v>
      </c>
      <c r="D431" t="s">
        <v>300</v>
      </c>
      <c r="E431" t="s">
        <v>22</v>
      </c>
      <c r="F431" t="s">
        <v>61</v>
      </c>
      <c r="G431" t="s">
        <v>931</v>
      </c>
      <c r="H431">
        <v>29.99</v>
      </c>
      <c r="I431">
        <v>1</v>
      </c>
      <c r="J431">
        <v>6.2979000000000003</v>
      </c>
      <c r="K431">
        <v>2011</v>
      </c>
      <c r="L431">
        <v>11</v>
      </c>
      <c r="M431" t="s">
        <v>70</v>
      </c>
      <c r="N431">
        <v>23</v>
      </c>
      <c r="O431">
        <v>2</v>
      </c>
      <c r="P431">
        <v>21</v>
      </c>
      <c r="Q431">
        <v>29.99</v>
      </c>
      <c r="R431" t="s">
        <v>26</v>
      </c>
      <c r="S431" t="b">
        <v>0</v>
      </c>
      <c r="T431" t="b">
        <v>0</v>
      </c>
    </row>
    <row r="432" spans="1:20" x14ac:dyDescent="0.3">
      <c r="A432" t="s">
        <v>929</v>
      </c>
      <c r="B432" s="1">
        <v>40870</v>
      </c>
      <c r="C432" s="1">
        <v>40872</v>
      </c>
      <c r="D432" t="s">
        <v>300</v>
      </c>
      <c r="E432" t="s">
        <v>22</v>
      </c>
      <c r="F432" t="s">
        <v>110</v>
      </c>
      <c r="G432" t="s">
        <v>362</v>
      </c>
      <c r="H432">
        <v>381.44</v>
      </c>
      <c r="I432">
        <v>2</v>
      </c>
      <c r="J432">
        <v>23.84</v>
      </c>
      <c r="K432">
        <v>2011</v>
      </c>
      <c r="L432">
        <v>11</v>
      </c>
      <c r="M432" t="s">
        <v>70</v>
      </c>
      <c r="N432">
        <v>23</v>
      </c>
      <c r="O432">
        <v>2</v>
      </c>
      <c r="P432">
        <v>6.25</v>
      </c>
      <c r="Q432">
        <v>190.72</v>
      </c>
      <c r="R432" t="s">
        <v>26</v>
      </c>
      <c r="S432" t="b">
        <v>0</v>
      </c>
      <c r="T432" t="b">
        <v>1</v>
      </c>
    </row>
    <row r="433" spans="1:20" x14ac:dyDescent="0.3">
      <c r="A433" t="s">
        <v>932</v>
      </c>
      <c r="B433" s="1">
        <v>41083</v>
      </c>
      <c r="C433" s="1">
        <v>41085</v>
      </c>
      <c r="D433" t="s">
        <v>933</v>
      </c>
      <c r="E433" t="s">
        <v>624</v>
      </c>
      <c r="F433" t="s">
        <v>54</v>
      </c>
      <c r="G433" t="s">
        <v>934</v>
      </c>
      <c r="H433">
        <v>201.56800000000001</v>
      </c>
      <c r="I433">
        <v>4</v>
      </c>
      <c r="J433">
        <v>22.676400000000001</v>
      </c>
      <c r="K433">
        <v>2012</v>
      </c>
      <c r="L433">
        <v>6</v>
      </c>
      <c r="M433" t="s">
        <v>25</v>
      </c>
      <c r="N433">
        <v>23</v>
      </c>
      <c r="O433">
        <v>2</v>
      </c>
      <c r="P433">
        <v>11.25</v>
      </c>
      <c r="Q433">
        <v>50.392000000000003</v>
      </c>
      <c r="R433" t="s">
        <v>26</v>
      </c>
      <c r="S433" t="b">
        <v>0</v>
      </c>
      <c r="T433" t="b">
        <v>0</v>
      </c>
    </row>
    <row r="434" spans="1:20" x14ac:dyDescent="0.3">
      <c r="A434" t="s">
        <v>935</v>
      </c>
      <c r="B434" s="1">
        <v>40835</v>
      </c>
      <c r="C434" s="1">
        <v>40835</v>
      </c>
      <c r="D434" t="s">
        <v>382</v>
      </c>
      <c r="E434" t="s">
        <v>22</v>
      </c>
      <c r="F434" t="s">
        <v>72</v>
      </c>
      <c r="G434" t="s">
        <v>936</v>
      </c>
      <c r="H434">
        <v>13.44</v>
      </c>
      <c r="I434">
        <v>3</v>
      </c>
      <c r="J434">
        <v>6.5856000000000003</v>
      </c>
      <c r="K434">
        <v>2011</v>
      </c>
      <c r="L434">
        <v>10</v>
      </c>
      <c r="M434" t="s">
        <v>82</v>
      </c>
      <c r="N434">
        <v>19</v>
      </c>
      <c r="O434">
        <v>0</v>
      </c>
      <c r="P434">
        <v>49</v>
      </c>
      <c r="Q434">
        <v>4.4800000000000004</v>
      </c>
      <c r="R434" t="s">
        <v>26</v>
      </c>
      <c r="S434" t="b">
        <v>0</v>
      </c>
      <c r="T434" t="b">
        <v>0</v>
      </c>
    </row>
    <row r="435" spans="1:20" x14ac:dyDescent="0.3">
      <c r="A435" t="s">
        <v>937</v>
      </c>
      <c r="B435" s="1">
        <v>41384</v>
      </c>
      <c r="C435" s="1">
        <v>41389</v>
      </c>
      <c r="D435" t="s">
        <v>938</v>
      </c>
      <c r="E435" t="s">
        <v>22</v>
      </c>
      <c r="F435" t="s">
        <v>54</v>
      </c>
      <c r="G435" t="s">
        <v>939</v>
      </c>
      <c r="H435">
        <v>39.96</v>
      </c>
      <c r="I435">
        <v>5</v>
      </c>
      <c r="J435">
        <v>12.987</v>
      </c>
      <c r="K435">
        <v>2013</v>
      </c>
      <c r="L435">
        <v>4</v>
      </c>
      <c r="M435" t="s">
        <v>236</v>
      </c>
      <c r="N435">
        <v>20</v>
      </c>
      <c r="O435">
        <v>5</v>
      </c>
      <c r="P435">
        <v>32.5</v>
      </c>
      <c r="Q435">
        <v>7.992</v>
      </c>
      <c r="R435" t="s">
        <v>26</v>
      </c>
      <c r="S435" t="b">
        <v>0</v>
      </c>
      <c r="T435" t="b">
        <v>0</v>
      </c>
    </row>
    <row r="436" spans="1:20" x14ac:dyDescent="0.3">
      <c r="A436" t="s">
        <v>937</v>
      </c>
      <c r="B436" s="1">
        <v>41384</v>
      </c>
      <c r="C436" s="1">
        <v>41389</v>
      </c>
      <c r="D436" t="s">
        <v>938</v>
      </c>
      <c r="E436" t="s">
        <v>22</v>
      </c>
      <c r="F436" t="s">
        <v>31</v>
      </c>
      <c r="G436" t="s">
        <v>940</v>
      </c>
      <c r="H436">
        <v>5.46</v>
      </c>
      <c r="I436">
        <v>3</v>
      </c>
      <c r="J436">
        <v>1.5287999999999999</v>
      </c>
      <c r="K436">
        <v>2013</v>
      </c>
      <c r="L436">
        <v>4</v>
      </c>
      <c r="M436" t="s">
        <v>236</v>
      </c>
      <c r="N436">
        <v>20</v>
      </c>
      <c r="O436">
        <v>5</v>
      </c>
      <c r="P436">
        <v>28</v>
      </c>
      <c r="Q436">
        <v>1.82</v>
      </c>
      <c r="R436" t="s">
        <v>26</v>
      </c>
      <c r="S436" t="b">
        <v>0</v>
      </c>
      <c r="T436" t="b">
        <v>0</v>
      </c>
    </row>
    <row r="437" spans="1:20" x14ac:dyDescent="0.3">
      <c r="A437" t="s">
        <v>937</v>
      </c>
      <c r="B437" s="1">
        <v>41384</v>
      </c>
      <c r="C437" s="1">
        <v>41389</v>
      </c>
      <c r="D437" t="s">
        <v>938</v>
      </c>
      <c r="E437" t="s">
        <v>22</v>
      </c>
      <c r="F437" t="s">
        <v>31</v>
      </c>
      <c r="G437" t="s">
        <v>941</v>
      </c>
      <c r="H437">
        <v>73.2</v>
      </c>
      <c r="I437">
        <v>5</v>
      </c>
      <c r="J437">
        <v>21.228000000000002</v>
      </c>
      <c r="K437">
        <v>2013</v>
      </c>
      <c r="L437">
        <v>4</v>
      </c>
      <c r="M437" t="s">
        <v>236</v>
      </c>
      <c r="N437">
        <v>20</v>
      </c>
      <c r="O437">
        <v>5</v>
      </c>
      <c r="P437">
        <v>29</v>
      </c>
      <c r="Q437">
        <v>14.64</v>
      </c>
      <c r="R437" t="s">
        <v>26</v>
      </c>
      <c r="S437" t="b">
        <v>0</v>
      </c>
      <c r="T437" t="b">
        <v>0</v>
      </c>
    </row>
    <row r="438" spans="1:20" x14ac:dyDescent="0.3">
      <c r="A438" t="s">
        <v>937</v>
      </c>
      <c r="B438" s="1">
        <v>41384</v>
      </c>
      <c r="C438" s="1">
        <v>41389</v>
      </c>
      <c r="D438" t="s">
        <v>938</v>
      </c>
      <c r="E438" t="s">
        <v>22</v>
      </c>
      <c r="F438" t="s">
        <v>33</v>
      </c>
      <c r="G438" t="s">
        <v>942</v>
      </c>
      <c r="H438">
        <v>5.84</v>
      </c>
      <c r="I438">
        <v>1</v>
      </c>
      <c r="J438">
        <v>1.9710000000000001</v>
      </c>
      <c r="K438">
        <v>2013</v>
      </c>
      <c r="L438">
        <v>4</v>
      </c>
      <c r="M438" t="s">
        <v>236</v>
      </c>
      <c r="N438">
        <v>20</v>
      </c>
      <c r="O438">
        <v>5</v>
      </c>
      <c r="P438">
        <v>33.75</v>
      </c>
      <c r="Q438">
        <v>5.84</v>
      </c>
      <c r="R438" t="s">
        <v>26</v>
      </c>
      <c r="S438" t="b">
        <v>0</v>
      </c>
      <c r="T438" t="b">
        <v>0</v>
      </c>
    </row>
    <row r="439" spans="1:20" x14ac:dyDescent="0.3">
      <c r="A439" t="s">
        <v>937</v>
      </c>
      <c r="B439" s="1">
        <v>41384</v>
      </c>
      <c r="C439" s="1">
        <v>41389</v>
      </c>
      <c r="D439" t="s">
        <v>938</v>
      </c>
      <c r="E439" t="s">
        <v>22</v>
      </c>
      <c r="F439" t="s">
        <v>72</v>
      </c>
      <c r="G439" t="s">
        <v>943</v>
      </c>
      <c r="H439">
        <v>22.72</v>
      </c>
      <c r="I439">
        <v>4</v>
      </c>
      <c r="J439">
        <v>10.224</v>
      </c>
      <c r="K439">
        <v>2013</v>
      </c>
      <c r="L439">
        <v>4</v>
      </c>
      <c r="M439" t="s">
        <v>236</v>
      </c>
      <c r="N439">
        <v>20</v>
      </c>
      <c r="O439">
        <v>5</v>
      </c>
      <c r="P439">
        <v>45</v>
      </c>
      <c r="Q439">
        <v>5.68</v>
      </c>
      <c r="R439" t="s">
        <v>26</v>
      </c>
      <c r="S439" t="b">
        <v>0</v>
      </c>
      <c r="T439" t="b">
        <v>0</v>
      </c>
    </row>
    <row r="440" spans="1:20" x14ac:dyDescent="0.3">
      <c r="A440" t="s">
        <v>937</v>
      </c>
      <c r="B440" s="1">
        <v>41384</v>
      </c>
      <c r="C440" s="1">
        <v>41389</v>
      </c>
      <c r="D440" t="s">
        <v>938</v>
      </c>
      <c r="E440" t="s">
        <v>22</v>
      </c>
      <c r="F440" t="s">
        <v>33</v>
      </c>
      <c r="G440" t="s">
        <v>944</v>
      </c>
      <c r="H440">
        <v>9.3360000000000003</v>
      </c>
      <c r="I440">
        <v>3</v>
      </c>
      <c r="J440">
        <v>3.2675999999999998</v>
      </c>
      <c r="K440">
        <v>2013</v>
      </c>
      <c r="L440">
        <v>4</v>
      </c>
      <c r="M440" t="s">
        <v>236</v>
      </c>
      <c r="N440">
        <v>20</v>
      </c>
      <c r="O440">
        <v>5</v>
      </c>
      <c r="P440">
        <v>35</v>
      </c>
      <c r="Q440">
        <v>3.1120000000000001</v>
      </c>
      <c r="R440" t="s">
        <v>26</v>
      </c>
      <c r="S440" t="b">
        <v>0</v>
      </c>
      <c r="T440" t="b">
        <v>0</v>
      </c>
    </row>
    <row r="441" spans="1:20" x14ac:dyDescent="0.3">
      <c r="A441" t="s">
        <v>945</v>
      </c>
      <c r="B441" s="1">
        <v>40689</v>
      </c>
      <c r="C441" s="1">
        <v>40693</v>
      </c>
      <c r="D441" t="s">
        <v>946</v>
      </c>
      <c r="E441" t="s">
        <v>22</v>
      </c>
      <c r="F441" t="s">
        <v>317</v>
      </c>
      <c r="G441" t="s">
        <v>947</v>
      </c>
      <c r="H441">
        <v>290.666</v>
      </c>
      <c r="I441">
        <v>2</v>
      </c>
      <c r="J441">
        <v>27.3568</v>
      </c>
      <c r="K441">
        <v>2011</v>
      </c>
      <c r="L441">
        <v>5</v>
      </c>
      <c r="M441" t="s">
        <v>47</v>
      </c>
      <c r="N441">
        <v>26</v>
      </c>
      <c r="O441">
        <v>4</v>
      </c>
      <c r="P441">
        <v>9.41</v>
      </c>
      <c r="Q441">
        <v>145.333</v>
      </c>
      <c r="R441" t="s">
        <v>26</v>
      </c>
      <c r="S441" t="b">
        <v>0</v>
      </c>
      <c r="T441" t="b">
        <v>1</v>
      </c>
    </row>
    <row r="442" spans="1:20" x14ac:dyDescent="0.3">
      <c r="A442" t="s">
        <v>945</v>
      </c>
      <c r="B442" s="1">
        <v>40689</v>
      </c>
      <c r="C442" s="1">
        <v>40693</v>
      </c>
      <c r="D442" t="s">
        <v>946</v>
      </c>
      <c r="E442" t="s">
        <v>22</v>
      </c>
      <c r="F442" t="s">
        <v>54</v>
      </c>
      <c r="G442" t="s">
        <v>948</v>
      </c>
      <c r="H442">
        <v>201.584</v>
      </c>
      <c r="I442">
        <v>2</v>
      </c>
      <c r="J442">
        <v>20.1584</v>
      </c>
      <c r="K442">
        <v>2011</v>
      </c>
      <c r="L442">
        <v>5</v>
      </c>
      <c r="M442" t="s">
        <v>47</v>
      </c>
      <c r="N442">
        <v>26</v>
      </c>
      <c r="O442">
        <v>4</v>
      </c>
      <c r="P442">
        <v>10</v>
      </c>
      <c r="Q442">
        <v>100.792</v>
      </c>
      <c r="R442" t="s">
        <v>26</v>
      </c>
      <c r="S442" t="b">
        <v>0</v>
      </c>
      <c r="T442" t="b">
        <v>0</v>
      </c>
    </row>
    <row r="443" spans="1:20" x14ac:dyDescent="0.3">
      <c r="A443" t="s">
        <v>945</v>
      </c>
      <c r="B443" s="1">
        <v>40689</v>
      </c>
      <c r="C443" s="1">
        <v>40693</v>
      </c>
      <c r="D443" t="s">
        <v>946</v>
      </c>
      <c r="E443" t="s">
        <v>22</v>
      </c>
      <c r="F443" t="s">
        <v>54</v>
      </c>
      <c r="G443" t="s">
        <v>78</v>
      </c>
      <c r="H443">
        <v>83.983999999999995</v>
      </c>
      <c r="I443">
        <v>2</v>
      </c>
      <c r="J443">
        <v>31.494</v>
      </c>
      <c r="K443">
        <v>2011</v>
      </c>
      <c r="L443">
        <v>5</v>
      </c>
      <c r="M443" t="s">
        <v>47</v>
      </c>
      <c r="N443">
        <v>26</v>
      </c>
      <c r="O443">
        <v>4</v>
      </c>
      <c r="P443">
        <v>37.5</v>
      </c>
      <c r="Q443">
        <v>41.991999999999997</v>
      </c>
      <c r="R443" t="s">
        <v>26</v>
      </c>
      <c r="S443" t="b">
        <v>0</v>
      </c>
      <c r="T443" t="b">
        <v>0</v>
      </c>
    </row>
    <row r="444" spans="1:20" x14ac:dyDescent="0.3">
      <c r="A444" t="s">
        <v>949</v>
      </c>
      <c r="B444" s="1">
        <v>41829</v>
      </c>
      <c r="C444" s="1">
        <v>41836</v>
      </c>
      <c r="D444" t="s">
        <v>950</v>
      </c>
      <c r="E444" t="s">
        <v>951</v>
      </c>
      <c r="F444" t="s">
        <v>29</v>
      </c>
      <c r="G444" t="s">
        <v>952</v>
      </c>
      <c r="H444">
        <v>198.46</v>
      </c>
      <c r="I444">
        <v>2</v>
      </c>
      <c r="J444">
        <v>99.23</v>
      </c>
      <c r="K444">
        <v>2014</v>
      </c>
      <c r="L444">
        <v>7</v>
      </c>
      <c r="M444" t="s">
        <v>66</v>
      </c>
      <c r="N444">
        <v>9</v>
      </c>
      <c r="O444">
        <v>7</v>
      </c>
      <c r="P444">
        <v>50</v>
      </c>
      <c r="Q444">
        <v>99.23</v>
      </c>
      <c r="R444" t="s">
        <v>26</v>
      </c>
      <c r="S444" t="b">
        <v>0</v>
      </c>
      <c r="T444" t="b">
        <v>0</v>
      </c>
    </row>
    <row r="445" spans="1:20" x14ac:dyDescent="0.3">
      <c r="A445" t="s">
        <v>949</v>
      </c>
      <c r="B445" s="1">
        <v>41829</v>
      </c>
      <c r="C445" s="1">
        <v>41836</v>
      </c>
      <c r="D445" t="s">
        <v>950</v>
      </c>
      <c r="E445" t="s">
        <v>951</v>
      </c>
      <c r="F445" t="s">
        <v>33</v>
      </c>
      <c r="G445" t="s">
        <v>390</v>
      </c>
      <c r="H445">
        <v>23.167999999999999</v>
      </c>
      <c r="I445">
        <v>2</v>
      </c>
      <c r="J445">
        <v>7.8192000000000004</v>
      </c>
      <c r="K445">
        <v>2014</v>
      </c>
      <c r="L445">
        <v>7</v>
      </c>
      <c r="M445" t="s">
        <v>66</v>
      </c>
      <c r="N445">
        <v>9</v>
      </c>
      <c r="O445">
        <v>7</v>
      </c>
      <c r="P445">
        <v>33.75</v>
      </c>
      <c r="Q445">
        <v>11.584</v>
      </c>
      <c r="R445" t="s">
        <v>26</v>
      </c>
      <c r="S445" t="b">
        <v>0</v>
      </c>
      <c r="T445" t="b">
        <v>0</v>
      </c>
    </row>
    <row r="446" spans="1:20" x14ac:dyDescent="0.3">
      <c r="A446" t="s">
        <v>949</v>
      </c>
      <c r="B446" s="1">
        <v>41829</v>
      </c>
      <c r="C446" s="1">
        <v>41836</v>
      </c>
      <c r="D446" t="s">
        <v>950</v>
      </c>
      <c r="E446" t="s">
        <v>951</v>
      </c>
      <c r="F446" t="s">
        <v>61</v>
      </c>
      <c r="G446" t="s">
        <v>953</v>
      </c>
      <c r="H446">
        <v>50</v>
      </c>
      <c r="I446">
        <v>2</v>
      </c>
      <c r="J446">
        <v>10.5</v>
      </c>
      <c r="K446">
        <v>2014</v>
      </c>
      <c r="L446">
        <v>7</v>
      </c>
      <c r="M446" t="s">
        <v>66</v>
      </c>
      <c r="N446">
        <v>9</v>
      </c>
      <c r="O446">
        <v>7</v>
      </c>
      <c r="P446">
        <v>21</v>
      </c>
      <c r="Q446">
        <v>25</v>
      </c>
      <c r="R446" t="s">
        <v>26</v>
      </c>
      <c r="S446" t="b">
        <v>0</v>
      </c>
      <c r="T446" t="b">
        <v>0</v>
      </c>
    </row>
    <row r="447" spans="1:20" x14ac:dyDescent="0.3">
      <c r="A447" t="s">
        <v>954</v>
      </c>
      <c r="B447" s="1">
        <v>40873</v>
      </c>
      <c r="C447" s="1">
        <v>40879</v>
      </c>
      <c r="D447" t="s">
        <v>955</v>
      </c>
      <c r="E447" t="s">
        <v>956</v>
      </c>
      <c r="F447" t="s">
        <v>72</v>
      </c>
      <c r="G447" t="s">
        <v>957</v>
      </c>
      <c r="H447">
        <v>15.552</v>
      </c>
      <c r="I447">
        <v>3</v>
      </c>
      <c r="J447">
        <v>5.4432</v>
      </c>
      <c r="K447">
        <v>2011</v>
      </c>
      <c r="L447">
        <v>11</v>
      </c>
      <c r="M447" t="s">
        <v>70</v>
      </c>
      <c r="N447">
        <v>26</v>
      </c>
      <c r="O447">
        <v>6</v>
      </c>
      <c r="P447">
        <v>35</v>
      </c>
      <c r="Q447">
        <v>5.1840000000000002</v>
      </c>
      <c r="R447" t="s">
        <v>26</v>
      </c>
      <c r="S447" t="b">
        <v>0</v>
      </c>
      <c r="T447" t="b">
        <v>0</v>
      </c>
    </row>
    <row r="448" spans="1:20" x14ac:dyDescent="0.3">
      <c r="A448" t="s">
        <v>954</v>
      </c>
      <c r="B448" s="1">
        <v>40873</v>
      </c>
      <c r="C448" s="1">
        <v>40879</v>
      </c>
      <c r="D448" t="s">
        <v>955</v>
      </c>
      <c r="E448" t="s">
        <v>956</v>
      </c>
      <c r="F448" t="s">
        <v>54</v>
      </c>
      <c r="G448" t="s">
        <v>958</v>
      </c>
      <c r="H448">
        <v>438.33600000000001</v>
      </c>
      <c r="I448">
        <v>4</v>
      </c>
      <c r="J448">
        <v>-87.667199999999994</v>
      </c>
      <c r="K448">
        <v>2011</v>
      </c>
      <c r="L448">
        <v>11</v>
      </c>
      <c r="M448" t="s">
        <v>70</v>
      </c>
      <c r="N448">
        <v>26</v>
      </c>
      <c r="O448">
        <v>6</v>
      </c>
      <c r="P448">
        <v>-20</v>
      </c>
      <c r="Q448">
        <v>109.584</v>
      </c>
      <c r="R448" t="s">
        <v>26</v>
      </c>
      <c r="S448" t="b">
        <v>1</v>
      </c>
      <c r="T448" t="b">
        <v>1</v>
      </c>
    </row>
    <row r="449" spans="1:20" x14ac:dyDescent="0.3">
      <c r="A449" t="s">
        <v>959</v>
      </c>
      <c r="B449" s="1">
        <v>40987</v>
      </c>
      <c r="C449" s="1">
        <v>40988</v>
      </c>
      <c r="D449" t="s">
        <v>960</v>
      </c>
      <c r="E449" t="s">
        <v>39</v>
      </c>
      <c r="F449" t="s">
        <v>72</v>
      </c>
      <c r="G449" t="s">
        <v>961</v>
      </c>
      <c r="H449">
        <v>209.7</v>
      </c>
      <c r="I449">
        <v>2</v>
      </c>
      <c r="J449">
        <v>100.65600000000001</v>
      </c>
      <c r="K449">
        <v>2012</v>
      </c>
      <c r="L449">
        <v>3</v>
      </c>
      <c r="M449" t="s">
        <v>135</v>
      </c>
      <c r="N449">
        <v>19</v>
      </c>
      <c r="O449">
        <v>1</v>
      </c>
      <c r="P449">
        <v>48</v>
      </c>
      <c r="Q449">
        <v>104.85</v>
      </c>
      <c r="R449" t="s">
        <v>26</v>
      </c>
      <c r="S449" t="b">
        <v>0</v>
      </c>
      <c r="T449" t="b">
        <v>0</v>
      </c>
    </row>
    <row r="450" spans="1:20" x14ac:dyDescent="0.3">
      <c r="A450" t="s">
        <v>962</v>
      </c>
      <c r="B450" s="1">
        <v>40784</v>
      </c>
      <c r="C450" s="1">
        <v>40784</v>
      </c>
      <c r="D450" t="s">
        <v>963</v>
      </c>
      <c r="E450" t="s">
        <v>51</v>
      </c>
      <c r="F450" t="s">
        <v>72</v>
      </c>
      <c r="G450" t="s">
        <v>964</v>
      </c>
      <c r="H450">
        <v>109.92</v>
      </c>
      <c r="I450">
        <v>2</v>
      </c>
      <c r="J450">
        <v>53.860799999999998</v>
      </c>
      <c r="K450">
        <v>2011</v>
      </c>
      <c r="L450">
        <v>8</v>
      </c>
      <c r="M450" t="s">
        <v>53</v>
      </c>
      <c r="N450">
        <v>29</v>
      </c>
      <c r="O450">
        <v>0</v>
      </c>
      <c r="P450">
        <v>49</v>
      </c>
      <c r="Q450">
        <v>54.96</v>
      </c>
      <c r="R450" t="s">
        <v>26</v>
      </c>
      <c r="S450" t="b">
        <v>0</v>
      </c>
      <c r="T450" t="b">
        <v>0</v>
      </c>
    </row>
    <row r="451" spans="1:20" x14ac:dyDescent="0.3">
      <c r="A451" t="s">
        <v>962</v>
      </c>
      <c r="B451" s="1">
        <v>40784</v>
      </c>
      <c r="C451" s="1">
        <v>40784</v>
      </c>
      <c r="D451" t="s">
        <v>963</v>
      </c>
      <c r="E451" t="s">
        <v>51</v>
      </c>
      <c r="F451" t="s">
        <v>72</v>
      </c>
      <c r="G451" t="s">
        <v>965</v>
      </c>
      <c r="H451">
        <v>13.36</v>
      </c>
      <c r="I451">
        <v>2</v>
      </c>
      <c r="J451">
        <v>6.4127999999999998</v>
      </c>
      <c r="K451">
        <v>2011</v>
      </c>
      <c r="L451">
        <v>8</v>
      </c>
      <c r="M451" t="s">
        <v>53</v>
      </c>
      <c r="N451">
        <v>29</v>
      </c>
      <c r="O451">
        <v>0</v>
      </c>
      <c r="P451">
        <v>48</v>
      </c>
      <c r="Q451">
        <v>6.68</v>
      </c>
      <c r="R451" t="s">
        <v>26</v>
      </c>
      <c r="S451" t="b">
        <v>0</v>
      </c>
      <c r="T451" t="b">
        <v>0</v>
      </c>
    </row>
    <row r="452" spans="1:20" x14ac:dyDescent="0.3">
      <c r="A452" t="s">
        <v>966</v>
      </c>
      <c r="B452" s="1">
        <v>41962</v>
      </c>
      <c r="C452" s="1">
        <v>41965</v>
      </c>
      <c r="D452" t="s">
        <v>967</v>
      </c>
      <c r="E452" t="s">
        <v>39</v>
      </c>
      <c r="F452" t="s">
        <v>45</v>
      </c>
      <c r="G452" t="s">
        <v>968</v>
      </c>
      <c r="H452">
        <v>169.68</v>
      </c>
      <c r="I452">
        <v>6</v>
      </c>
      <c r="J452">
        <v>45.813600000000001</v>
      </c>
      <c r="K452">
        <v>2014</v>
      </c>
      <c r="L452">
        <v>11</v>
      </c>
      <c r="M452" t="s">
        <v>70</v>
      </c>
      <c r="N452">
        <v>19</v>
      </c>
      <c r="O452">
        <v>3</v>
      </c>
      <c r="P452">
        <v>27</v>
      </c>
      <c r="Q452">
        <v>28.28</v>
      </c>
      <c r="R452" t="s">
        <v>26</v>
      </c>
      <c r="S452" t="b">
        <v>0</v>
      </c>
      <c r="T452" t="b">
        <v>0</v>
      </c>
    </row>
    <row r="453" spans="1:20" x14ac:dyDescent="0.3">
      <c r="A453" t="s">
        <v>966</v>
      </c>
      <c r="B453" s="1">
        <v>41962</v>
      </c>
      <c r="C453" s="1">
        <v>41965</v>
      </c>
      <c r="D453" t="s">
        <v>967</v>
      </c>
      <c r="E453" t="s">
        <v>39</v>
      </c>
      <c r="F453" t="s">
        <v>61</v>
      </c>
      <c r="G453" t="s">
        <v>359</v>
      </c>
      <c r="H453">
        <v>132.52000000000001</v>
      </c>
      <c r="I453">
        <v>4</v>
      </c>
      <c r="J453">
        <v>54.333199999999998</v>
      </c>
      <c r="K453">
        <v>2014</v>
      </c>
      <c r="L453">
        <v>11</v>
      </c>
      <c r="M453" t="s">
        <v>70</v>
      </c>
      <c r="N453">
        <v>19</v>
      </c>
      <c r="O453">
        <v>3</v>
      </c>
      <c r="P453">
        <v>41</v>
      </c>
      <c r="Q453">
        <v>33.130000000000003</v>
      </c>
      <c r="R453" t="s">
        <v>26</v>
      </c>
      <c r="S453" t="b">
        <v>0</v>
      </c>
      <c r="T453" t="b">
        <v>0</v>
      </c>
    </row>
    <row r="454" spans="1:20" x14ac:dyDescent="0.3">
      <c r="A454" t="s">
        <v>966</v>
      </c>
      <c r="B454" s="1">
        <v>41962</v>
      </c>
      <c r="C454" s="1">
        <v>41965</v>
      </c>
      <c r="D454" t="s">
        <v>967</v>
      </c>
      <c r="E454" t="s">
        <v>39</v>
      </c>
      <c r="F454" t="s">
        <v>119</v>
      </c>
      <c r="G454" t="s">
        <v>969</v>
      </c>
      <c r="H454">
        <v>2.96</v>
      </c>
      <c r="I454">
        <v>2</v>
      </c>
      <c r="J454">
        <v>1.4208000000000001</v>
      </c>
      <c r="K454">
        <v>2014</v>
      </c>
      <c r="L454">
        <v>11</v>
      </c>
      <c r="M454" t="s">
        <v>70</v>
      </c>
      <c r="N454">
        <v>19</v>
      </c>
      <c r="O454">
        <v>3</v>
      </c>
      <c r="P454">
        <v>48</v>
      </c>
      <c r="Q454">
        <v>1.48</v>
      </c>
      <c r="R454" t="s">
        <v>26</v>
      </c>
      <c r="S454" t="b">
        <v>0</v>
      </c>
      <c r="T454" t="b">
        <v>0</v>
      </c>
    </row>
    <row r="455" spans="1:20" x14ac:dyDescent="0.3">
      <c r="A455" t="s">
        <v>966</v>
      </c>
      <c r="B455" s="1">
        <v>41962</v>
      </c>
      <c r="C455" s="1">
        <v>41965</v>
      </c>
      <c r="D455" t="s">
        <v>967</v>
      </c>
      <c r="E455" t="s">
        <v>39</v>
      </c>
      <c r="F455" t="s">
        <v>33</v>
      </c>
      <c r="G455" t="s">
        <v>970</v>
      </c>
      <c r="H455">
        <v>8.4480000000000004</v>
      </c>
      <c r="I455">
        <v>2</v>
      </c>
      <c r="J455">
        <v>2.9567999999999999</v>
      </c>
      <c r="K455">
        <v>2014</v>
      </c>
      <c r="L455">
        <v>11</v>
      </c>
      <c r="M455" t="s">
        <v>70</v>
      </c>
      <c r="N455">
        <v>19</v>
      </c>
      <c r="O455">
        <v>3</v>
      </c>
      <c r="P455">
        <v>35</v>
      </c>
      <c r="Q455">
        <v>4.2240000000000002</v>
      </c>
      <c r="R455" t="s">
        <v>26</v>
      </c>
      <c r="S455" t="b">
        <v>0</v>
      </c>
      <c r="T455" t="b">
        <v>0</v>
      </c>
    </row>
    <row r="456" spans="1:20" x14ac:dyDescent="0.3">
      <c r="A456" t="s">
        <v>966</v>
      </c>
      <c r="B456" s="1">
        <v>41962</v>
      </c>
      <c r="C456" s="1">
        <v>41965</v>
      </c>
      <c r="D456" t="s">
        <v>967</v>
      </c>
      <c r="E456" t="s">
        <v>39</v>
      </c>
      <c r="F456" t="s">
        <v>45</v>
      </c>
      <c r="G456" t="s">
        <v>971</v>
      </c>
      <c r="H456">
        <v>95.94</v>
      </c>
      <c r="I456">
        <v>3</v>
      </c>
      <c r="J456">
        <v>9.5939999999999994</v>
      </c>
      <c r="K456">
        <v>2014</v>
      </c>
      <c r="L456">
        <v>11</v>
      </c>
      <c r="M456" t="s">
        <v>70</v>
      </c>
      <c r="N456">
        <v>19</v>
      </c>
      <c r="O456">
        <v>3</v>
      </c>
      <c r="P456">
        <v>10</v>
      </c>
      <c r="Q456">
        <v>31.98</v>
      </c>
      <c r="R456" t="s">
        <v>26</v>
      </c>
      <c r="S456" t="b">
        <v>0</v>
      </c>
      <c r="T456" t="b">
        <v>0</v>
      </c>
    </row>
    <row r="457" spans="1:20" x14ac:dyDescent="0.3">
      <c r="A457" t="s">
        <v>972</v>
      </c>
      <c r="B457" s="1">
        <v>41660</v>
      </c>
      <c r="C457" s="1">
        <v>41666</v>
      </c>
      <c r="D457" t="s">
        <v>973</v>
      </c>
      <c r="E457" t="s">
        <v>22</v>
      </c>
      <c r="F457" t="s">
        <v>54</v>
      </c>
      <c r="G457" t="s">
        <v>974</v>
      </c>
      <c r="H457">
        <v>160.77600000000001</v>
      </c>
      <c r="I457">
        <v>3</v>
      </c>
      <c r="J457">
        <v>10.048500000000001</v>
      </c>
      <c r="K457">
        <v>2014</v>
      </c>
      <c r="L457">
        <v>1</v>
      </c>
      <c r="M457" t="s">
        <v>60</v>
      </c>
      <c r="N457">
        <v>21</v>
      </c>
      <c r="O457">
        <v>6</v>
      </c>
      <c r="P457">
        <v>6.25</v>
      </c>
      <c r="Q457">
        <v>53.592000000000013</v>
      </c>
      <c r="R457" t="s">
        <v>26</v>
      </c>
      <c r="S457" t="b">
        <v>0</v>
      </c>
      <c r="T457" t="b">
        <v>0</v>
      </c>
    </row>
    <row r="458" spans="1:20" x14ac:dyDescent="0.3">
      <c r="A458" t="s">
        <v>975</v>
      </c>
      <c r="B458" s="1">
        <v>41943</v>
      </c>
      <c r="C458" s="1">
        <v>41950</v>
      </c>
      <c r="D458" t="s">
        <v>976</v>
      </c>
      <c r="E458" t="s">
        <v>39</v>
      </c>
      <c r="F458" t="s">
        <v>33</v>
      </c>
      <c r="G458" t="s">
        <v>977</v>
      </c>
      <c r="H458">
        <v>88.751999999999995</v>
      </c>
      <c r="I458">
        <v>3</v>
      </c>
      <c r="J458">
        <v>27.734999999999999</v>
      </c>
      <c r="K458">
        <v>2014</v>
      </c>
      <c r="L458">
        <v>10</v>
      </c>
      <c r="M458" t="s">
        <v>82</v>
      </c>
      <c r="N458">
        <v>31</v>
      </c>
      <c r="O458">
        <v>7</v>
      </c>
      <c r="P458">
        <v>31.25</v>
      </c>
      <c r="Q458">
        <v>29.584</v>
      </c>
      <c r="R458" t="s">
        <v>26</v>
      </c>
      <c r="S458" t="b">
        <v>0</v>
      </c>
      <c r="T458" t="b">
        <v>0</v>
      </c>
    </row>
    <row r="459" spans="1:20" x14ac:dyDescent="0.3">
      <c r="A459" t="s">
        <v>975</v>
      </c>
      <c r="B459" s="1">
        <v>41943</v>
      </c>
      <c r="C459" s="1">
        <v>41950</v>
      </c>
      <c r="D459" t="s">
        <v>976</v>
      </c>
      <c r="E459" t="s">
        <v>39</v>
      </c>
      <c r="F459" t="s">
        <v>33</v>
      </c>
      <c r="G459" t="s">
        <v>978</v>
      </c>
      <c r="H459">
        <v>13.904</v>
      </c>
      <c r="I459">
        <v>2</v>
      </c>
      <c r="J459">
        <v>5.2140000000000004</v>
      </c>
      <c r="K459">
        <v>2014</v>
      </c>
      <c r="L459">
        <v>10</v>
      </c>
      <c r="M459" t="s">
        <v>82</v>
      </c>
      <c r="N459">
        <v>31</v>
      </c>
      <c r="O459">
        <v>7</v>
      </c>
      <c r="P459">
        <v>37.5</v>
      </c>
      <c r="Q459">
        <v>6.952</v>
      </c>
      <c r="R459" t="s">
        <v>26</v>
      </c>
      <c r="S459" t="b">
        <v>0</v>
      </c>
      <c r="T459" t="b">
        <v>0</v>
      </c>
    </row>
    <row r="460" spans="1:20" x14ac:dyDescent="0.3">
      <c r="A460" t="s">
        <v>979</v>
      </c>
      <c r="B460" s="1">
        <v>41356</v>
      </c>
      <c r="C460" s="1">
        <v>41359</v>
      </c>
      <c r="D460" t="s">
        <v>980</v>
      </c>
      <c r="E460" t="s">
        <v>981</v>
      </c>
      <c r="F460" t="s">
        <v>61</v>
      </c>
      <c r="G460" t="s">
        <v>677</v>
      </c>
      <c r="H460">
        <v>58.58</v>
      </c>
      <c r="I460">
        <v>2</v>
      </c>
      <c r="J460">
        <v>19.331399999999999</v>
      </c>
      <c r="K460">
        <v>2013</v>
      </c>
      <c r="L460">
        <v>3</v>
      </c>
      <c r="M460" t="s">
        <v>135</v>
      </c>
      <c r="N460">
        <v>23</v>
      </c>
      <c r="O460">
        <v>3</v>
      </c>
      <c r="P460">
        <v>33</v>
      </c>
      <c r="Q460">
        <v>29.29</v>
      </c>
      <c r="R460" t="s">
        <v>26</v>
      </c>
      <c r="S460" t="b">
        <v>0</v>
      </c>
      <c r="T460" t="b">
        <v>0</v>
      </c>
    </row>
    <row r="461" spans="1:20" x14ac:dyDescent="0.3">
      <c r="A461" t="s">
        <v>982</v>
      </c>
      <c r="B461" s="1">
        <v>41413</v>
      </c>
      <c r="C461" s="1">
        <v>41419</v>
      </c>
      <c r="D461" t="s">
        <v>983</v>
      </c>
      <c r="E461" t="s">
        <v>51</v>
      </c>
      <c r="F461" t="s">
        <v>45</v>
      </c>
      <c r="G461" t="s">
        <v>984</v>
      </c>
      <c r="H461">
        <v>104.28</v>
      </c>
      <c r="I461">
        <v>3</v>
      </c>
      <c r="J461">
        <v>26.07</v>
      </c>
      <c r="K461">
        <v>2013</v>
      </c>
      <c r="L461">
        <v>5</v>
      </c>
      <c r="M461" t="s">
        <v>47</v>
      </c>
      <c r="N461">
        <v>19</v>
      </c>
      <c r="O461">
        <v>6</v>
      </c>
      <c r="P461">
        <v>25</v>
      </c>
      <c r="Q461">
        <v>34.76</v>
      </c>
      <c r="R461" t="s">
        <v>26</v>
      </c>
      <c r="S461" t="b">
        <v>0</v>
      </c>
      <c r="T461" t="b">
        <v>0</v>
      </c>
    </row>
    <row r="462" spans="1:20" x14ac:dyDescent="0.3">
      <c r="A462" t="s">
        <v>982</v>
      </c>
      <c r="B462" s="1">
        <v>41413</v>
      </c>
      <c r="C462" s="1">
        <v>41419</v>
      </c>
      <c r="D462" t="s">
        <v>983</v>
      </c>
      <c r="E462" t="s">
        <v>51</v>
      </c>
      <c r="F462" t="s">
        <v>72</v>
      </c>
      <c r="G462" t="s">
        <v>985</v>
      </c>
      <c r="H462">
        <v>17.940000000000001</v>
      </c>
      <c r="I462">
        <v>3</v>
      </c>
      <c r="J462">
        <v>8.7905999999999995</v>
      </c>
      <c r="K462">
        <v>2013</v>
      </c>
      <c r="L462">
        <v>5</v>
      </c>
      <c r="M462" t="s">
        <v>47</v>
      </c>
      <c r="N462">
        <v>19</v>
      </c>
      <c r="O462">
        <v>6</v>
      </c>
      <c r="P462">
        <v>49</v>
      </c>
      <c r="Q462">
        <v>5.98</v>
      </c>
      <c r="R462" t="s">
        <v>26</v>
      </c>
      <c r="S462" t="b">
        <v>0</v>
      </c>
      <c r="T462" t="b">
        <v>0</v>
      </c>
    </row>
    <row r="463" spans="1:20" x14ac:dyDescent="0.3">
      <c r="A463" t="s">
        <v>986</v>
      </c>
      <c r="B463" s="1">
        <v>41547</v>
      </c>
      <c r="C463" s="1">
        <v>41549</v>
      </c>
      <c r="D463" t="s">
        <v>987</v>
      </c>
      <c r="E463" t="s">
        <v>22</v>
      </c>
      <c r="F463" t="s">
        <v>72</v>
      </c>
      <c r="G463" t="s">
        <v>988</v>
      </c>
      <c r="H463">
        <v>18.97</v>
      </c>
      <c r="I463">
        <v>1</v>
      </c>
      <c r="J463">
        <v>9.1056000000000008</v>
      </c>
      <c r="K463">
        <v>2013</v>
      </c>
      <c r="L463">
        <v>9</v>
      </c>
      <c r="M463" t="s">
        <v>87</v>
      </c>
      <c r="N463">
        <v>30</v>
      </c>
      <c r="O463">
        <v>2</v>
      </c>
      <c r="P463">
        <v>48</v>
      </c>
      <c r="Q463">
        <v>18.97</v>
      </c>
      <c r="R463" t="s">
        <v>26</v>
      </c>
      <c r="S463" t="b">
        <v>0</v>
      </c>
      <c r="T463" t="b">
        <v>0</v>
      </c>
    </row>
    <row r="464" spans="1:20" x14ac:dyDescent="0.3">
      <c r="A464" t="s">
        <v>989</v>
      </c>
      <c r="B464" s="1">
        <v>41586</v>
      </c>
      <c r="C464" s="1">
        <v>41591</v>
      </c>
      <c r="D464" t="s">
        <v>990</v>
      </c>
      <c r="E464" t="s">
        <v>51</v>
      </c>
      <c r="F464" t="s">
        <v>29</v>
      </c>
      <c r="G464" t="s">
        <v>991</v>
      </c>
      <c r="H464">
        <v>14.82</v>
      </c>
      <c r="I464">
        <v>3</v>
      </c>
      <c r="J464">
        <v>6.2244000000000002</v>
      </c>
      <c r="K464">
        <v>2013</v>
      </c>
      <c r="L464">
        <v>11</v>
      </c>
      <c r="M464" t="s">
        <v>70</v>
      </c>
      <c r="N464">
        <v>8</v>
      </c>
      <c r="O464">
        <v>5</v>
      </c>
      <c r="P464">
        <v>42</v>
      </c>
      <c r="Q464">
        <v>4.9400000000000004</v>
      </c>
      <c r="R464" t="s">
        <v>26</v>
      </c>
      <c r="S464" t="b">
        <v>0</v>
      </c>
      <c r="T464" t="b">
        <v>0</v>
      </c>
    </row>
    <row r="465" spans="1:20" x14ac:dyDescent="0.3">
      <c r="A465" t="s">
        <v>992</v>
      </c>
      <c r="B465" s="1">
        <v>41270</v>
      </c>
      <c r="C465" s="1">
        <v>41274</v>
      </c>
      <c r="D465" t="s">
        <v>256</v>
      </c>
      <c r="E465" t="s">
        <v>22</v>
      </c>
      <c r="F465" t="s">
        <v>35</v>
      </c>
      <c r="G465" t="s">
        <v>523</v>
      </c>
      <c r="H465">
        <v>106.96</v>
      </c>
      <c r="I465">
        <v>2</v>
      </c>
      <c r="J465">
        <v>31.0184</v>
      </c>
      <c r="K465">
        <v>2012</v>
      </c>
      <c r="L465">
        <v>12</v>
      </c>
      <c r="M465" t="s">
        <v>41</v>
      </c>
      <c r="N465">
        <v>27</v>
      </c>
      <c r="O465">
        <v>4</v>
      </c>
      <c r="P465">
        <v>29</v>
      </c>
      <c r="Q465">
        <v>53.48</v>
      </c>
      <c r="R465" t="s">
        <v>26</v>
      </c>
      <c r="S465" t="b">
        <v>0</v>
      </c>
      <c r="T465" t="b">
        <v>0</v>
      </c>
    </row>
    <row r="466" spans="1:20" x14ac:dyDescent="0.3">
      <c r="A466" t="s">
        <v>992</v>
      </c>
      <c r="B466" s="1">
        <v>41270</v>
      </c>
      <c r="C466" s="1">
        <v>41274</v>
      </c>
      <c r="D466" t="s">
        <v>256</v>
      </c>
      <c r="E466" t="s">
        <v>22</v>
      </c>
      <c r="F466" t="s">
        <v>23</v>
      </c>
      <c r="G466" t="s">
        <v>993</v>
      </c>
      <c r="H466">
        <v>21.56</v>
      </c>
      <c r="I466">
        <v>7</v>
      </c>
      <c r="J466">
        <v>10.348800000000001</v>
      </c>
      <c r="K466">
        <v>2012</v>
      </c>
      <c r="L466">
        <v>12</v>
      </c>
      <c r="M466" t="s">
        <v>41</v>
      </c>
      <c r="N466">
        <v>27</v>
      </c>
      <c r="O466">
        <v>4</v>
      </c>
      <c r="P466">
        <v>48</v>
      </c>
      <c r="Q466">
        <v>3.08</v>
      </c>
      <c r="R466" t="s">
        <v>26</v>
      </c>
      <c r="S466" t="b">
        <v>0</v>
      </c>
      <c r="T466" t="b">
        <v>0</v>
      </c>
    </row>
    <row r="467" spans="1:20" x14ac:dyDescent="0.3">
      <c r="A467" t="s">
        <v>994</v>
      </c>
      <c r="B467" s="1">
        <v>40577</v>
      </c>
      <c r="C467" s="1">
        <v>40581</v>
      </c>
      <c r="D467" t="s">
        <v>995</v>
      </c>
      <c r="E467" t="s">
        <v>194</v>
      </c>
      <c r="F467" t="s">
        <v>119</v>
      </c>
      <c r="G467" t="s">
        <v>155</v>
      </c>
      <c r="H467">
        <v>12.35</v>
      </c>
      <c r="I467">
        <v>5</v>
      </c>
      <c r="J467">
        <v>5.8045</v>
      </c>
      <c r="K467">
        <v>2011</v>
      </c>
      <c r="L467">
        <v>2</v>
      </c>
      <c r="M467" t="s">
        <v>303</v>
      </c>
      <c r="N467">
        <v>3</v>
      </c>
      <c r="O467">
        <v>4</v>
      </c>
      <c r="P467">
        <v>47</v>
      </c>
      <c r="Q467">
        <v>2.4700000000000002</v>
      </c>
      <c r="R467" t="s">
        <v>26</v>
      </c>
      <c r="S467" t="b">
        <v>0</v>
      </c>
      <c r="T467" t="b">
        <v>0</v>
      </c>
    </row>
    <row r="468" spans="1:20" x14ac:dyDescent="0.3">
      <c r="A468" t="s">
        <v>996</v>
      </c>
      <c r="B468" s="1">
        <v>41342</v>
      </c>
      <c r="C468" s="1">
        <v>41342</v>
      </c>
      <c r="D468" t="s">
        <v>529</v>
      </c>
      <c r="E468" t="s">
        <v>849</v>
      </c>
      <c r="F468" t="s">
        <v>33</v>
      </c>
      <c r="G468" t="s">
        <v>997</v>
      </c>
      <c r="H468">
        <v>9.702</v>
      </c>
      <c r="I468">
        <v>3</v>
      </c>
      <c r="J468">
        <v>-7.1147999999999998</v>
      </c>
      <c r="K468">
        <v>2013</v>
      </c>
      <c r="L468">
        <v>3</v>
      </c>
      <c r="M468" t="s">
        <v>135</v>
      </c>
      <c r="N468">
        <v>9</v>
      </c>
      <c r="O468">
        <v>0</v>
      </c>
      <c r="P468">
        <v>-73.33</v>
      </c>
      <c r="Q468">
        <v>3.234</v>
      </c>
      <c r="R468" t="s">
        <v>26</v>
      </c>
      <c r="S468" t="b">
        <v>1</v>
      </c>
      <c r="T468" t="b">
        <v>0</v>
      </c>
    </row>
    <row r="469" spans="1:20" x14ac:dyDescent="0.3">
      <c r="A469" t="s">
        <v>998</v>
      </c>
      <c r="B469" s="1">
        <v>41943</v>
      </c>
      <c r="C469" s="1">
        <v>41949</v>
      </c>
      <c r="D469" t="s">
        <v>999</v>
      </c>
      <c r="E469" t="s">
        <v>51</v>
      </c>
      <c r="F469" t="s">
        <v>23</v>
      </c>
      <c r="G469" t="s">
        <v>1000</v>
      </c>
      <c r="H469">
        <v>43.86</v>
      </c>
      <c r="I469">
        <v>6</v>
      </c>
      <c r="J469">
        <v>20.6142</v>
      </c>
      <c r="K469">
        <v>2014</v>
      </c>
      <c r="L469">
        <v>10</v>
      </c>
      <c r="M469" t="s">
        <v>82</v>
      </c>
      <c r="N469">
        <v>31</v>
      </c>
      <c r="O469">
        <v>6</v>
      </c>
      <c r="P469">
        <v>47</v>
      </c>
      <c r="Q469">
        <v>7.31</v>
      </c>
      <c r="R469" t="s">
        <v>26</v>
      </c>
      <c r="S469" t="b">
        <v>0</v>
      </c>
      <c r="T469" t="b">
        <v>0</v>
      </c>
    </row>
    <row r="470" spans="1:20" x14ac:dyDescent="0.3">
      <c r="A470" t="s">
        <v>998</v>
      </c>
      <c r="B470" s="1">
        <v>41943</v>
      </c>
      <c r="C470" s="1">
        <v>41949</v>
      </c>
      <c r="D470" t="s">
        <v>999</v>
      </c>
      <c r="E470" t="s">
        <v>51</v>
      </c>
      <c r="F470" t="s">
        <v>54</v>
      </c>
      <c r="G470" t="s">
        <v>1001</v>
      </c>
      <c r="H470">
        <v>148.47999999999999</v>
      </c>
      <c r="I470">
        <v>2</v>
      </c>
      <c r="J470">
        <v>16.704000000000001</v>
      </c>
      <c r="K470">
        <v>2014</v>
      </c>
      <c r="L470">
        <v>10</v>
      </c>
      <c r="M470" t="s">
        <v>82</v>
      </c>
      <c r="N470">
        <v>31</v>
      </c>
      <c r="O470">
        <v>6</v>
      </c>
      <c r="P470">
        <v>11.25</v>
      </c>
      <c r="Q470">
        <v>74.239999999999995</v>
      </c>
      <c r="R470" t="s">
        <v>26</v>
      </c>
      <c r="S470" t="b">
        <v>0</v>
      </c>
      <c r="T470" t="b">
        <v>0</v>
      </c>
    </row>
    <row r="471" spans="1:20" x14ac:dyDescent="0.3">
      <c r="A471" t="s">
        <v>998</v>
      </c>
      <c r="B471" s="1">
        <v>41943</v>
      </c>
      <c r="C471" s="1">
        <v>41949</v>
      </c>
      <c r="D471" t="s">
        <v>999</v>
      </c>
      <c r="E471" t="s">
        <v>51</v>
      </c>
      <c r="F471" t="s">
        <v>72</v>
      </c>
      <c r="G471" t="s">
        <v>1002</v>
      </c>
      <c r="H471">
        <v>7.42</v>
      </c>
      <c r="I471">
        <v>2</v>
      </c>
      <c r="J471">
        <v>3.71</v>
      </c>
      <c r="K471">
        <v>2014</v>
      </c>
      <c r="L471">
        <v>10</v>
      </c>
      <c r="M471" t="s">
        <v>82</v>
      </c>
      <c r="N471">
        <v>31</v>
      </c>
      <c r="O471">
        <v>6</v>
      </c>
      <c r="P471">
        <v>50</v>
      </c>
      <c r="Q471">
        <v>3.71</v>
      </c>
      <c r="R471" t="s">
        <v>26</v>
      </c>
      <c r="S471" t="b">
        <v>0</v>
      </c>
      <c r="T471" t="b">
        <v>0</v>
      </c>
    </row>
    <row r="472" spans="1:20" x14ac:dyDescent="0.3">
      <c r="A472" t="s">
        <v>998</v>
      </c>
      <c r="B472" s="1">
        <v>41943</v>
      </c>
      <c r="C472" s="1">
        <v>41949</v>
      </c>
      <c r="D472" t="s">
        <v>999</v>
      </c>
      <c r="E472" t="s">
        <v>51</v>
      </c>
      <c r="F472" t="s">
        <v>110</v>
      </c>
      <c r="G472" t="s">
        <v>1003</v>
      </c>
      <c r="H472">
        <v>71.992000000000004</v>
      </c>
      <c r="I472">
        <v>1</v>
      </c>
      <c r="J472">
        <v>-0.89990000000000003</v>
      </c>
      <c r="K472">
        <v>2014</v>
      </c>
      <c r="L472">
        <v>10</v>
      </c>
      <c r="M472" t="s">
        <v>82</v>
      </c>
      <c r="N472">
        <v>31</v>
      </c>
      <c r="O472">
        <v>6</v>
      </c>
      <c r="P472">
        <v>-1.25</v>
      </c>
      <c r="Q472">
        <v>71.992000000000004</v>
      </c>
      <c r="R472" t="s">
        <v>26</v>
      </c>
      <c r="S472" t="b">
        <v>1</v>
      </c>
      <c r="T472" t="b">
        <v>0</v>
      </c>
    </row>
    <row r="473" spans="1:20" x14ac:dyDescent="0.3">
      <c r="A473" t="s">
        <v>998</v>
      </c>
      <c r="B473" s="1">
        <v>41943</v>
      </c>
      <c r="C473" s="1">
        <v>41949</v>
      </c>
      <c r="D473" t="s">
        <v>999</v>
      </c>
      <c r="E473" t="s">
        <v>51</v>
      </c>
      <c r="F473" t="s">
        <v>31</v>
      </c>
      <c r="G473" t="s">
        <v>886</v>
      </c>
      <c r="H473">
        <v>19.899999999999999</v>
      </c>
      <c r="I473">
        <v>5</v>
      </c>
      <c r="J473">
        <v>6.5670000000000002</v>
      </c>
      <c r="K473">
        <v>2014</v>
      </c>
      <c r="L473">
        <v>10</v>
      </c>
      <c r="M473" t="s">
        <v>82</v>
      </c>
      <c r="N473">
        <v>31</v>
      </c>
      <c r="O473">
        <v>6</v>
      </c>
      <c r="P473">
        <v>33</v>
      </c>
      <c r="Q473">
        <v>3.98</v>
      </c>
      <c r="R473" t="s">
        <v>26</v>
      </c>
      <c r="S473" t="b">
        <v>0</v>
      </c>
      <c r="T473" t="b">
        <v>0</v>
      </c>
    </row>
    <row r="474" spans="1:20" x14ac:dyDescent="0.3">
      <c r="A474" t="s">
        <v>1004</v>
      </c>
      <c r="B474" s="1">
        <v>41920</v>
      </c>
      <c r="C474" s="1">
        <v>41926</v>
      </c>
      <c r="D474" t="s">
        <v>1005</v>
      </c>
      <c r="E474" t="s">
        <v>51</v>
      </c>
      <c r="F474" t="s">
        <v>317</v>
      </c>
      <c r="G474" t="s">
        <v>1006</v>
      </c>
      <c r="H474">
        <v>307.666</v>
      </c>
      <c r="I474">
        <v>2</v>
      </c>
      <c r="J474">
        <v>-14.478400000000001</v>
      </c>
      <c r="K474">
        <v>2014</v>
      </c>
      <c r="L474">
        <v>10</v>
      </c>
      <c r="M474" t="s">
        <v>82</v>
      </c>
      <c r="N474">
        <v>8</v>
      </c>
      <c r="O474">
        <v>6</v>
      </c>
      <c r="P474">
        <v>-4.71</v>
      </c>
      <c r="Q474">
        <v>153.833</v>
      </c>
      <c r="R474" t="s">
        <v>48</v>
      </c>
      <c r="S474" t="b">
        <v>1</v>
      </c>
      <c r="T474" t="b">
        <v>1</v>
      </c>
    </row>
    <row r="475" spans="1:20" x14ac:dyDescent="0.3">
      <c r="A475" t="s">
        <v>1007</v>
      </c>
      <c r="B475" s="1">
        <v>41155</v>
      </c>
      <c r="C475" s="1">
        <v>41161</v>
      </c>
      <c r="D475" t="s">
        <v>186</v>
      </c>
      <c r="E475" t="s">
        <v>51</v>
      </c>
      <c r="F475" t="s">
        <v>45</v>
      </c>
      <c r="G475" t="s">
        <v>369</v>
      </c>
      <c r="H475">
        <v>31.44</v>
      </c>
      <c r="I475">
        <v>3</v>
      </c>
      <c r="J475">
        <v>8.4887999999999995</v>
      </c>
      <c r="K475">
        <v>2012</v>
      </c>
      <c r="L475">
        <v>9</v>
      </c>
      <c r="M475" t="s">
        <v>87</v>
      </c>
      <c r="N475">
        <v>3</v>
      </c>
      <c r="O475">
        <v>6</v>
      </c>
      <c r="P475">
        <v>27</v>
      </c>
      <c r="Q475">
        <v>10.48</v>
      </c>
      <c r="R475" t="s">
        <v>26</v>
      </c>
      <c r="S475" t="b">
        <v>0</v>
      </c>
      <c r="T475" t="b">
        <v>0</v>
      </c>
    </row>
    <row r="476" spans="1:20" x14ac:dyDescent="0.3">
      <c r="A476" t="s">
        <v>1007</v>
      </c>
      <c r="B476" s="1">
        <v>41155</v>
      </c>
      <c r="C476" s="1">
        <v>41161</v>
      </c>
      <c r="D476" t="s">
        <v>186</v>
      </c>
      <c r="E476" t="s">
        <v>51</v>
      </c>
      <c r="F476" t="s">
        <v>61</v>
      </c>
      <c r="G476" t="s">
        <v>1008</v>
      </c>
      <c r="H476">
        <v>17.899999999999999</v>
      </c>
      <c r="I476">
        <v>2</v>
      </c>
      <c r="J476">
        <v>3.4009999999999998</v>
      </c>
      <c r="K476">
        <v>2012</v>
      </c>
      <c r="L476">
        <v>9</v>
      </c>
      <c r="M476" t="s">
        <v>87</v>
      </c>
      <c r="N476">
        <v>3</v>
      </c>
      <c r="O476">
        <v>6</v>
      </c>
      <c r="P476">
        <v>19</v>
      </c>
      <c r="Q476">
        <v>8.9499999999999993</v>
      </c>
      <c r="R476" t="s">
        <v>26</v>
      </c>
      <c r="S476" t="b">
        <v>0</v>
      </c>
      <c r="T476" t="b">
        <v>0</v>
      </c>
    </row>
    <row r="477" spans="1:20" x14ac:dyDescent="0.3">
      <c r="A477" t="s">
        <v>1007</v>
      </c>
      <c r="B477" s="1">
        <v>41155</v>
      </c>
      <c r="C477" s="1">
        <v>41161</v>
      </c>
      <c r="D477" t="s">
        <v>186</v>
      </c>
      <c r="E477" t="s">
        <v>51</v>
      </c>
      <c r="F477" t="s">
        <v>61</v>
      </c>
      <c r="G477" t="s">
        <v>1009</v>
      </c>
      <c r="H477">
        <v>129.44999999999999</v>
      </c>
      <c r="I477">
        <v>5</v>
      </c>
      <c r="J477">
        <v>46.601999999999997</v>
      </c>
      <c r="K477">
        <v>2012</v>
      </c>
      <c r="L477">
        <v>9</v>
      </c>
      <c r="M477" t="s">
        <v>87</v>
      </c>
      <c r="N477">
        <v>3</v>
      </c>
      <c r="O477">
        <v>6</v>
      </c>
      <c r="P477">
        <v>36</v>
      </c>
      <c r="Q477">
        <v>25.89</v>
      </c>
      <c r="R477" t="s">
        <v>26</v>
      </c>
      <c r="S477" t="b">
        <v>0</v>
      </c>
      <c r="T477" t="b">
        <v>0</v>
      </c>
    </row>
    <row r="478" spans="1:20" x14ac:dyDescent="0.3">
      <c r="A478" t="s">
        <v>1010</v>
      </c>
      <c r="B478" s="1">
        <v>40764</v>
      </c>
      <c r="C478" s="1">
        <v>40771</v>
      </c>
      <c r="D478" t="s">
        <v>1011</v>
      </c>
      <c r="E478" t="s">
        <v>194</v>
      </c>
      <c r="F478" t="s">
        <v>23</v>
      </c>
      <c r="G478" t="s">
        <v>1012</v>
      </c>
      <c r="H478">
        <v>20.88</v>
      </c>
      <c r="I478">
        <v>8</v>
      </c>
      <c r="J478">
        <v>9.6047999999999991</v>
      </c>
      <c r="K478">
        <v>2011</v>
      </c>
      <c r="L478">
        <v>8</v>
      </c>
      <c r="M478" t="s">
        <v>53</v>
      </c>
      <c r="N478">
        <v>9</v>
      </c>
      <c r="O478">
        <v>7</v>
      </c>
      <c r="P478">
        <v>46</v>
      </c>
      <c r="Q478">
        <v>2.61</v>
      </c>
      <c r="R478" t="s">
        <v>26</v>
      </c>
      <c r="S478" t="b">
        <v>0</v>
      </c>
      <c r="T478" t="b">
        <v>0</v>
      </c>
    </row>
    <row r="479" spans="1:20" x14ac:dyDescent="0.3">
      <c r="A479" t="s">
        <v>1013</v>
      </c>
      <c r="B479" s="1">
        <v>41927</v>
      </c>
      <c r="C479" s="1">
        <v>41930</v>
      </c>
      <c r="D479" t="s">
        <v>1014</v>
      </c>
      <c r="E479" t="s">
        <v>663</v>
      </c>
      <c r="F479" t="s">
        <v>29</v>
      </c>
      <c r="G479" t="s">
        <v>225</v>
      </c>
      <c r="H479">
        <v>9.4600000000000009</v>
      </c>
      <c r="I479">
        <v>2</v>
      </c>
      <c r="J479">
        <v>3.6894</v>
      </c>
      <c r="K479">
        <v>2014</v>
      </c>
      <c r="L479">
        <v>10</v>
      </c>
      <c r="M479" t="s">
        <v>82</v>
      </c>
      <c r="N479">
        <v>15</v>
      </c>
      <c r="O479">
        <v>3</v>
      </c>
      <c r="P479">
        <v>39</v>
      </c>
      <c r="Q479">
        <v>4.7300000000000004</v>
      </c>
      <c r="R479" t="s">
        <v>26</v>
      </c>
      <c r="S479" t="b">
        <v>0</v>
      </c>
      <c r="T479" t="b">
        <v>0</v>
      </c>
    </row>
    <row r="480" spans="1:20" x14ac:dyDescent="0.3">
      <c r="A480" t="s">
        <v>1015</v>
      </c>
      <c r="B480" s="1">
        <v>41976</v>
      </c>
      <c r="C480" s="1">
        <v>41979</v>
      </c>
      <c r="D480" t="s">
        <v>891</v>
      </c>
      <c r="E480" t="s">
        <v>51</v>
      </c>
      <c r="F480" t="s">
        <v>72</v>
      </c>
      <c r="G480" t="s">
        <v>964</v>
      </c>
      <c r="H480">
        <v>109.92</v>
      </c>
      <c r="I480">
        <v>2</v>
      </c>
      <c r="J480">
        <v>53.860799999999998</v>
      </c>
      <c r="K480">
        <v>2014</v>
      </c>
      <c r="L480">
        <v>12</v>
      </c>
      <c r="M480" t="s">
        <v>41</v>
      </c>
      <c r="N480">
        <v>3</v>
      </c>
      <c r="O480">
        <v>3</v>
      </c>
      <c r="P480">
        <v>49</v>
      </c>
      <c r="Q480">
        <v>54.96</v>
      </c>
      <c r="R480" t="s">
        <v>26</v>
      </c>
      <c r="S480" t="b">
        <v>0</v>
      </c>
      <c r="T480" t="b">
        <v>0</v>
      </c>
    </row>
    <row r="481" spans="1:20" x14ac:dyDescent="0.3">
      <c r="A481" t="s">
        <v>1015</v>
      </c>
      <c r="B481" s="1">
        <v>41976</v>
      </c>
      <c r="C481" s="1">
        <v>41979</v>
      </c>
      <c r="D481" t="s">
        <v>891</v>
      </c>
      <c r="E481" t="s">
        <v>51</v>
      </c>
      <c r="F481" t="s">
        <v>72</v>
      </c>
      <c r="G481" t="s">
        <v>1016</v>
      </c>
      <c r="H481">
        <v>8.56</v>
      </c>
      <c r="I481">
        <v>2</v>
      </c>
      <c r="J481">
        <v>3.8519999999999999</v>
      </c>
      <c r="K481">
        <v>2014</v>
      </c>
      <c r="L481">
        <v>12</v>
      </c>
      <c r="M481" t="s">
        <v>41</v>
      </c>
      <c r="N481">
        <v>3</v>
      </c>
      <c r="O481">
        <v>3</v>
      </c>
      <c r="P481">
        <v>45</v>
      </c>
      <c r="Q481">
        <v>4.28</v>
      </c>
      <c r="R481" t="s">
        <v>26</v>
      </c>
      <c r="S481" t="b">
        <v>0</v>
      </c>
      <c r="T481" t="b">
        <v>0</v>
      </c>
    </row>
    <row r="482" spans="1:20" x14ac:dyDescent="0.3">
      <c r="A482" t="s">
        <v>1017</v>
      </c>
      <c r="B482" s="1">
        <v>41157</v>
      </c>
      <c r="C482" s="1">
        <v>41161</v>
      </c>
      <c r="D482" t="s">
        <v>256</v>
      </c>
      <c r="E482" t="s">
        <v>194</v>
      </c>
      <c r="F482" t="s">
        <v>317</v>
      </c>
      <c r="G482" t="s">
        <v>1018</v>
      </c>
      <c r="H482">
        <v>411.33199999999999</v>
      </c>
      <c r="I482">
        <v>4</v>
      </c>
      <c r="J482">
        <v>-4.8391999999999999</v>
      </c>
      <c r="K482">
        <v>2012</v>
      </c>
      <c r="L482">
        <v>9</v>
      </c>
      <c r="M482" t="s">
        <v>87</v>
      </c>
      <c r="N482">
        <v>5</v>
      </c>
      <c r="O482">
        <v>4</v>
      </c>
      <c r="P482">
        <v>-1.18</v>
      </c>
      <c r="Q482">
        <v>102.833</v>
      </c>
      <c r="R482" t="s">
        <v>26</v>
      </c>
      <c r="S482" t="b">
        <v>1</v>
      </c>
      <c r="T482" t="b">
        <v>1</v>
      </c>
    </row>
    <row r="483" spans="1:20" x14ac:dyDescent="0.3">
      <c r="A483" t="s">
        <v>1017</v>
      </c>
      <c r="B483" s="1">
        <v>41157</v>
      </c>
      <c r="C483" s="1">
        <v>41161</v>
      </c>
      <c r="D483" t="s">
        <v>256</v>
      </c>
      <c r="E483" t="s">
        <v>194</v>
      </c>
      <c r="F483" t="s">
        <v>33</v>
      </c>
      <c r="G483" t="s">
        <v>1019</v>
      </c>
      <c r="H483">
        <v>28.751999999999999</v>
      </c>
      <c r="I483">
        <v>6</v>
      </c>
      <c r="J483">
        <v>9.7037999999999993</v>
      </c>
      <c r="K483">
        <v>2012</v>
      </c>
      <c r="L483">
        <v>9</v>
      </c>
      <c r="M483" t="s">
        <v>87</v>
      </c>
      <c r="N483">
        <v>5</v>
      </c>
      <c r="O483">
        <v>4</v>
      </c>
      <c r="P483">
        <v>33.75</v>
      </c>
      <c r="Q483">
        <v>4.7919999999999998</v>
      </c>
      <c r="R483" t="s">
        <v>26</v>
      </c>
      <c r="S483" t="b">
        <v>0</v>
      </c>
      <c r="T483" t="b">
        <v>0</v>
      </c>
    </row>
    <row r="484" spans="1:20" x14ac:dyDescent="0.3">
      <c r="A484" t="s">
        <v>1017</v>
      </c>
      <c r="B484" s="1">
        <v>41157</v>
      </c>
      <c r="C484" s="1">
        <v>41161</v>
      </c>
      <c r="D484" t="s">
        <v>256</v>
      </c>
      <c r="E484" t="s">
        <v>194</v>
      </c>
      <c r="F484" t="s">
        <v>317</v>
      </c>
      <c r="G484" t="s">
        <v>1020</v>
      </c>
      <c r="H484">
        <v>293.19900000000001</v>
      </c>
      <c r="I484">
        <v>3</v>
      </c>
      <c r="J484">
        <v>-20.696400000000001</v>
      </c>
      <c r="K484">
        <v>2012</v>
      </c>
      <c r="L484">
        <v>9</v>
      </c>
      <c r="M484" t="s">
        <v>87</v>
      </c>
      <c r="N484">
        <v>5</v>
      </c>
      <c r="O484">
        <v>4</v>
      </c>
      <c r="P484">
        <v>-7.06</v>
      </c>
      <c r="Q484">
        <v>97.733000000000004</v>
      </c>
      <c r="R484" t="s">
        <v>26</v>
      </c>
      <c r="S484" t="b">
        <v>1</v>
      </c>
      <c r="T484" t="b">
        <v>1</v>
      </c>
    </row>
    <row r="485" spans="1:20" x14ac:dyDescent="0.3">
      <c r="A485" t="s">
        <v>1021</v>
      </c>
      <c r="B485" s="1">
        <v>41237</v>
      </c>
      <c r="C485" s="1">
        <v>41241</v>
      </c>
      <c r="D485" t="s">
        <v>1022</v>
      </c>
      <c r="E485" t="s">
        <v>22</v>
      </c>
      <c r="F485" t="s">
        <v>72</v>
      </c>
      <c r="G485" t="s">
        <v>1023</v>
      </c>
      <c r="H485">
        <v>368.91</v>
      </c>
      <c r="I485">
        <v>9</v>
      </c>
      <c r="J485">
        <v>180.76589999999999</v>
      </c>
      <c r="K485">
        <v>2012</v>
      </c>
      <c r="L485">
        <v>11</v>
      </c>
      <c r="M485" t="s">
        <v>70</v>
      </c>
      <c r="N485">
        <v>24</v>
      </c>
      <c r="O485">
        <v>4</v>
      </c>
      <c r="P485">
        <v>49</v>
      </c>
      <c r="Q485">
        <v>40.99</v>
      </c>
      <c r="R485" t="s">
        <v>26</v>
      </c>
      <c r="S485" t="b">
        <v>0</v>
      </c>
      <c r="T485" t="b">
        <v>1</v>
      </c>
    </row>
    <row r="486" spans="1:20" x14ac:dyDescent="0.3">
      <c r="A486" t="s">
        <v>1021</v>
      </c>
      <c r="B486" s="1">
        <v>41237</v>
      </c>
      <c r="C486" s="1">
        <v>41241</v>
      </c>
      <c r="D486" t="s">
        <v>1022</v>
      </c>
      <c r="E486" t="s">
        <v>22</v>
      </c>
      <c r="F486" t="s">
        <v>31</v>
      </c>
      <c r="G486" t="s">
        <v>1024</v>
      </c>
      <c r="H486">
        <v>14.7</v>
      </c>
      <c r="I486">
        <v>5</v>
      </c>
      <c r="J486">
        <v>6.6150000000000002</v>
      </c>
      <c r="K486">
        <v>2012</v>
      </c>
      <c r="L486">
        <v>11</v>
      </c>
      <c r="M486" t="s">
        <v>70</v>
      </c>
      <c r="N486">
        <v>24</v>
      </c>
      <c r="O486">
        <v>4</v>
      </c>
      <c r="P486">
        <v>45</v>
      </c>
      <c r="Q486">
        <v>2.94</v>
      </c>
      <c r="R486" t="s">
        <v>26</v>
      </c>
      <c r="S486" t="b">
        <v>0</v>
      </c>
      <c r="T486" t="b">
        <v>0</v>
      </c>
    </row>
    <row r="487" spans="1:20" x14ac:dyDescent="0.3">
      <c r="A487" t="s">
        <v>1025</v>
      </c>
      <c r="B487" s="1">
        <v>41463</v>
      </c>
      <c r="C487" s="1">
        <v>41467</v>
      </c>
      <c r="D487" t="s">
        <v>1026</v>
      </c>
      <c r="E487" t="s">
        <v>139</v>
      </c>
      <c r="F487" t="s">
        <v>29</v>
      </c>
      <c r="G487" t="s">
        <v>1027</v>
      </c>
      <c r="H487">
        <v>215.65</v>
      </c>
      <c r="I487">
        <v>5</v>
      </c>
      <c r="J487">
        <v>73.320999999999998</v>
      </c>
      <c r="K487">
        <v>2013</v>
      </c>
      <c r="L487">
        <v>7</v>
      </c>
      <c r="M487" t="s">
        <v>66</v>
      </c>
      <c r="N487">
        <v>8</v>
      </c>
      <c r="O487">
        <v>4</v>
      </c>
      <c r="P487">
        <v>34</v>
      </c>
      <c r="Q487">
        <v>43.13</v>
      </c>
      <c r="R487" t="s">
        <v>48</v>
      </c>
      <c r="S487" t="b">
        <v>0</v>
      </c>
      <c r="T487" t="b">
        <v>0</v>
      </c>
    </row>
    <row r="488" spans="1:20" x14ac:dyDescent="0.3">
      <c r="A488" t="s">
        <v>1028</v>
      </c>
      <c r="B488" s="1">
        <v>41592</v>
      </c>
      <c r="C488" s="1">
        <v>41598</v>
      </c>
      <c r="D488" t="s">
        <v>1029</v>
      </c>
      <c r="E488" t="s">
        <v>1030</v>
      </c>
      <c r="F488" t="s">
        <v>29</v>
      </c>
      <c r="G488" t="s">
        <v>881</v>
      </c>
      <c r="H488">
        <v>4.18</v>
      </c>
      <c r="I488">
        <v>1</v>
      </c>
      <c r="J488">
        <v>1.5047999999999999</v>
      </c>
      <c r="K488">
        <v>2013</v>
      </c>
      <c r="L488">
        <v>11</v>
      </c>
      <c r="M488" t="s">
        <v>70</v>
      </c>
      <c r="N488">
        <v>14</v>
      </c>
      <c r="O488">
        <v>6</v>
      </c>
      <c r="P488">
        <v>36</v>
      </c>
      <c r="Q488">
        <v>4.18</v>
      </c>
      <c r="R488" t="s">
        <v>48</v>
      </c>
      <c r="S488" t="b">
        <v>0</v>
      </c>
      <c r="T488" t="b">
        <v>0</v>
      </c>
    </row>
    <row r="489" spans="1:20" x14ac:dyDescent="0.3">
      <c r="A489" t="s">
        <v>1031</v>
      </c>
      <c r="B489" s="1">
        <v>41634</v>
      </c>
      <c r="C489" s="1">
        <v>41637</v>
      </c>
      <c r="D489" t="s">
        <v>234</v>
      </c>
      <c r="E489" t="s">
        <v>22</v>
      </c>
      <c r="F489" t="s">
        <v>72</v>
      </c>
      <c r="G489" t="s">
        <v>414</v>
      </c>
      <c r="H489">
        <v>45.36</v>
      </c>
      <c r="I489">
        <v>7</v>
      </c>
      <c r="J489">
        <v>21.7728</v>
      </c>
      <c r="K489">
        <v>2013</v>
      </c>
      <c r="L489">
        <v>12</v>
      </c>
      <c r="M489" t="s">
        <v>41</v>
      </c>
      <c r="N489">
        <v>26</v>
      </c>
      <c r="O489">
        <v>3</v>
      </c>
      <c r="P489">
        <v>48</v>
      </c>
      <c r="Q489">
        <v>6.48</v>
      </c>
      <c r="R489" t="s">
        <v>26</v>
      </c>
      <c r="S489" t="b">
        <v>0</v>
      </c>
      <c r="T489" t="b">
        <v>0</v>
      </c>
    </row>
    <row r="490" spans="1:20" x14ac:dyDescent="0.3">
      <c r="A490" t="s">
        <v>1031</v>
      </c>
      <c r="B490" s="1">
        <v>41634</v>
      </c>
      <c r="C490" s="1">
        <v>41637</v>
      </c>
      <c r="D490" t="s">
        <v>234</v>
      </c>
      <c r="E490" t="s">
        <v>22</v>
      </c>
      <c r="F490" t="s">
        <v>61</v>
      </c>
      <c r="G490" t="s">
        <v>1032</v>
      </c>
      <c r="H490">
        <v>254.24</v>
      </c>
      <c r="I490">
        <v>7</v>
      </c>
      <c r="J490">
        <v>76.272000000000006</v>
      </c>
      <c r="K490">
        <v>2013</v>
      </c>
      <c r="L490">
        <v>12</v>
      </c>
      <c r="M490" t="s">
        <v>41</v>
      </c>
      <c r="N490">
        <v>26</v>
      </c>
      <c r="O490">
        <v>3</v>
      </c>
      <c r="P490">
        <v>30</v>
      </c>
      <c r="Q490">
        <v>36.32</v>
      </c>
      <c r="R490" t="s">
        <v>26</v>
      </c>
      <c r="S490" t="b">
        <v>0</v>
      </c>
      <c r="T490" t="b">
        <v>1</v>
      </c>
    </row>
    <row r="491" spans="1:20" x14ac:dyDescent="0.3">
      <c r="A491" t="s">
        <v>1033</v>
      </c>
      <c r="B491" s="1">
        <v>41166</v>
      </c>
      <c r="C491" s="1">
        <v>41170</v>
      </c>
      <c r="D491" t="s">
        <v>1034</v>
      </c>
      <c r="E491" t="s">
        <v>22</v>
      </c>
      <c r="F491" t="s">
        <v>174</v>
      </c>
      <c r="G491" t="s">
        <v>1035</v>
      </c>
      <c r="H491">
        <v>170.136</v>
      </c>
      <c r="I491">
        <v>3</v>
      </c>
      <c r="J491">
        <v>-8.5068000000000001</v>
      </c>
      <c r="K491">
        <v>2012</v>
      </c>
      <c r="L491">
        <v>9</v>
      </c>
      <c r="M491" t="s">
        <v>87</v>
      </c>
      <c r="N491">
        <v>14</v>
      </c>
      <c r="O491">
        <v>4</v>
      </c>
      <c r="P491">
        <v>-5</v>
      </c>
      <c r="Q491">
        <v>56.712000000000003</v>
      </c>
      <c r="R491" t="s">
        <v>26</v>
      </c>
      <c r="S491" t="b">
        <v>1</v>
      </c>
      <c r="T491" t="b">
        <v>0</v>
      </c>
    </row>
    <row r="492" spans="1:20" x14ac:dyDescent="0.3">
      <c r="A492" t="s">
        <v>1036</v>
      </c>
      <c r="B492" s="1">
        <v>41064</v>
      </c>
      <c r="C492" s="1">
        <v>41064</v>
      </c>
      <c r="D492" t="s">
        <v>1037</v>
      </c>
      <c r="E492" t="s">
        <v>39</v>
      </c>
      <c r="F492" t="s">
        <v>23</v>
      </c>
      <c r="G492" t="s">
        <v>1038</v>
      </c>
      <c r="H492">
        <v>7.38</v>
      </c>
      <c r="I492">
        <v>2</v>
      </c>
      <c r="J492">
        <v>3.4685999999999999</v>
      </c>
      <c r="K492">
        <v>2012</v>
      </c>
      <c r="L492">
        <v>6</v>
      </c>
      <c r="M492" t="s">
        <v>25</v>
      </c>
      <c r="N492">
        <v>4</v>
      </c>
      <c r="O492">
        <v>0</v>
      </c>
      <c r="P492">
        <v>47</v>
      </c>
      <c r="Q492">
        <v>3.69</v>
      </c>
      <c r="R492" t="s">
        <v>26</v>
      </c>
      <c r="S492" t="b">
        <v>0</v>
      </c>
      <c r="T492" t="b">
        <v>0</v>
      </c>
    </row>
    <row r="493" spans="1:20" x14ac:dyDescent="0.3">
      <c r="A493" t="s">
        <v>1036</v>
      </c>
      <c r="B493" s="1">
        <v>41064</v>
      </c>
      <c r="C493" s="1">
        <v>41064</v>
      </c>
      <c r="D493" t="s">
        <v>1037</v>
      </c>
      <c r="E493" t="s">
        <v>39</v>
      </c>
      <c r="F493" t="s">
        <v>31</v>
      </c>
      <c r="G493" t="s">
        <v>1039</v>
      </c>
      <c r="H493">
        <v>9.26</v>
      </c>
      <c r="I493">
        <v>2</v>
      </c>
      <c r="J493">
        <v>3.0558000000000001</v>
      </c>
      <c r="K493">
        <v>2012</v>
      </c>
      <c r="L493">
        <v>6</v>
      </c>
      <c r="M493" t="s">
        <v>25</v>
      </c>
      <c r="N493">
        <v>4</v>
      </c>
      <c r="O493">
        <v>0</v>
      </c>
      <c r="P493">
        <v>33</v>
      </c>
      <c r="Q493">
        <v>4.63</v>
      </c>
      <c r="R493" t="s">
        <v>26</v>
      </c>
      <c r="S493" t="b">
        <v>0</v>
      </c>
      <c r="T493" t="b">
        <v>0</v>
      </c>
    </row>
    <row r="494" spans="1:20" x14ac:dyDescent="0.3">
      <c r="A494" t="s">
        <v>1040</v>
      </c>
      <c r="B494" s="1">
        <v>41256</v>
      </c>
      <c r="C494" s="1">
        <v>41258</v>
      </c>
      <c r="D494" t="s">
        <v>1041</v>
      </c>
      <c r="E494" t="s">
        <v>22</v>
      </c>
      <c r="F494" t="s">
        <v>23</v>
      </c>
      <c r="G494" t="s">
        <v>1042</v>
      </c>
      <c r="H494">
        <v>9.9600000000000009</v>
      </c>
      <c r="I494">
        <v>2</v>
      </c>
      <c r="J494">
        <v>4.5815999999999999</v>
      </c>
      <c r="K494">
        <v>2012</v>
      </c>
      <c r="L494">
        <v>12</v>
      </c>
      <c r="M494" t="s">
        <v>41</v>
      </c>
      <c r="N494">
        <v>13</v>
      </c>
      <c r="O494">
        <v>2</v>
      </c>
      <c r="P494">
        <v>46</v>
      </c>
      <c r="Q494">
        <v>4.9800000000000004</v>
      </c>
      <c r="R494" t="s">
        <v>26</v>
      </c>
      <c r="S494" t="b">
        <v>0</v>
      </c>
      <c r="T494" t="b">
        <v>0</v>
      </c>
    </row>
    <row r="495" spans="1:20" x14ac:dyDescent="0.3">
      <c r="A495" t="s">
        <v>1043</v>
      </c>
      <c r="B495" s="1">
        <v>41631</v>
      </c>
      <c r="C495" s="1">
        <v>41637</v>
      </c>
      <c r="D495" t="s">
        <v>1044</v>
      </c>
      <c r="E495" t="s">
        <v>1045</v>
      </c>
      <c r="F495" t="s">
        <v>33</v>
      </c>
      <c r="G495" t="s">
        <v>1046</v>
      </c>
      <c r="H495">
        <v>31.32</v>
      </c>
      <c r="I495">
        <v>10</v>
      </c>
      <c r="J495">
        <v>-25.056000000000001</v>
      </c>
      <c r="K495">
        <v>2013</v>
      </c>
      <c r="L495">
        <v>12</v>
      </c>
      <c r="M495" t="s">
        <v>41</v>
      </c>
      <c r="N495">
        <v>23</v>
      </c>
      <c r="O495">
        <v>6</v>
      </c>
      <c r="P495">
        <v>-80</v>
      </c>
      <c r="Q495">
        <v>3.1320000000000001</v>
      </c>
      <c r="R495" t="s">
        <v>26</v>
      </c>
      <c r="S495" t="b">
        <v>1</v>
      </c>
      <c r="T495" t="b">
        <v>0</v>
      </c>
    </row>
    <row r="496" spans="1:20" x14ac:dyDescent="0.3">
      <c r="A496" t="s">
        <v>1043</v>
      </c>
      <c r="B496" s="1">
        <v>41631</v>
      </c>
      <c r="C496" s="1">
        <v>41637</v>
      </c>
      <c r="D496" t="s">
        <v>1044</v>
      </c>
      <c r="E496" t="s">
        <v>1045</v>
      </c>
      <c r="F496" t="s">
        <v>29</v>
      </c>
      <c r="G496" t="s">
        <v>451</v>
      </c>
      <c r="H496">
        <v>11.84</v>
      </c>
      <c r="I496">
        <v>4</v>
      </c>
      <c r="J496">
        <v>3.1080000000000001</v>
      </c>
      <c r="K496">
        <v>2013</v>
      </c>
      <c r="L496">
        <v>12</v>
      </c>
      <c r="M496" t="s">
        <v>41</v>
      </c>
      <c r="N496">
        <v>23</v>
      </c>
      <c r="O496">
        <v>6</v>
      </c>
      <c r="P496">
        <v>26.25</v>
      </c>
      <c r="Q496">
        <v>2.96</v>
      </c>
      <c r="R496" t="s">
        <v>26</v>
      </c>
      <c r="S496" t="b">
        <v>0</v>
      </c>
      <c r="T496" t="b">
        <v>0</v>
      </c>
    </row>
    <row r="497" spans="1:20" x14ac:dyDescent="0.3">
      <c r="A497" t="s">
        <v>1043</v>
      </c>
      <c r="B497" s="1">
        <v>41631</v>
      </c>
      <c r="C497" s="1">
        <v>41637</v>
      </c>
      <c r="D497" t="s">
        <v>1044</v>
      </c>
      <c r="E497" t="s">
        <v>1045</v>
      </c>
      <c r="F497" t="s">
        <v>29</v>
      </c>
      <c r="G497" t="s">
        <v>1047</v>
      </c>
      <c r="H497">
        <v>22.783999999999999</v>
      </c>
      <c r="I497">
        <v>1</v>
      </c>
      <c r="J497">
        <v>4.8415999999999997</v>
      </c>
      <c r="K497">
        <v>2013</v>
      </c>
      <c r="L497">
        <v>12</v>
      </c>
      <c r="M497" t="s">
        <v>41</v>
      </c>
      <c r="N497">
        <v>23</v>
      </c>
      <c r="O497">
        <v>6</v>
      </c>
      <c r="P497">
        <v>21.25</v>
      </c>
      <c r="Q497">
        <v>22.783999999999999</v>
      </c>
      <c r="R497" t="s">
        <v>26</v>
      </c>
      <c r="S497" t="b">
        <v>0</v>
      </c>
      <c r="T497" t="b">
        <v>0</v>
      </c>
    </row>
    <row r="498" spans="1:20" x14ac:dyDescent="0.3">
      <c r="A498" t="s">
        <v>1048</v>
      </c>
      <c r="B498" s="1">
        <v>41850</v>
      </c>
      <c r="C498" s="1">
        <v>41854</v>
      </c>
      <c r="D498" t="s">
        <v>1049</v>
      </c>
      <c r="E498" t="s">
        <v>39</v>
      </c>
      <c r="F498" t="s">
        <v>61</v>
      </c>
      <c r="G498" t="s">
        <v>62</v>
      </c>
      <c r="H498">
        <v>90.57</v>
      </c>
      <c r="I498">
        <v>3</v>
      </c>
      <c r="J498">
        <v>11.774100000000001</v>
      </c>
      <c r="K498">
        <v>2014</v>
      </c>
      <c r="L498">
        <v>7</v>
      </c>
      <c r="M498" t="s">
        <v>66</v>
      </c>
      <c r="N498">
        <v>30</v>
      </c>
      <c r="O498">
        <v>4</v>
      </c>
      <c r="P498">
        <v>13</v>
      </c>
      <c r="Q498">
        <v>30.19</v>
      </c>
      <c r="R498" t="s">
        <v>26</v>
      </c>
      <c r="S498" t="b">
        <v>0</v>
      </c>
      <c r="T498" t="b">
        <v>0</v>
      </c>
    </row>
    <row r="499" spans="1:20" x14ac:dyDescent="0.3">
      <c r="A499" t="s">
        <v>1050</v>
      </c>
      <c r="B499" s="1">
        <v>41893</v>
      </c>
      <c r="C499" s="1">
        <v>41893</v>
      </c>
      <c r="D499" t="s">
        <v>1051</v>
      </c>
      <c r="E499" t="s">
        <v>22</v>
      </c>
      <c r="F499" t="s">
        <v>110</v>
      </c>
      <c r="G499" t="s">
        <v>339</v>
      </c>
      <c r="H499">
        <v>362.35199999999998</v>
      </c>
      <c r="I499">
        <v>3</v>
      </c>
      <c r="J499">
        <v>27.176400000000001</v>
      </c>
      <c r="K499">
        <v>2014</v>
      </c>
      <c r="L499">
        <v>9</v>
      </c>
      <c r="M499" t="s">
        <v>87</v>
      </c>
      <c r="N499">
        <v>11</v>
      </c>
      <c r="O499">
        <v>0</v>
      </c>
      <c r="P499">
        <v>7.5</v>
      </c>
      <c r="Q499">
        <v>120.78400000000001</v>
      </c>
      <c r="R499" t="s">
        <v>26</v>
      </c>
      <c r="S499" t="b">
        <v>0</v>
      </c>
      <c r="T499" t="b">
        <v>1</v>
      </c>
    </row>
    <row r="500" spans="1:20" x14ac:dyDescent="0.3">
      <c r="A500" t="s">
        <v>1050</v>
      </c>
      <c r="B500" s="1">
        <v>41893</v>
      </c>
      <c r="C500" s="1">
        <v>41893</v>
      </c>
      <c r="D500" t="s">
        <v>1051</v>
      </c>
      <c r="E500" t="s">
        <v>22</v>
      </c>
      <c r="F500" t="s">
        <v>33</v>
      </c>
      <c r="G500" t="s">
        <v>241</v>
      </c>
      <c r="H500">
        <v>7.1840000000000002</v>
      </c>
      <c r="I500">
        <v>2</v>
      </c>
      <c r="J500">
        <v>2.2450000000000001</v>
      </c>
      <c r="K500">
        <v>2014</v>
      </c>
      <c r="L500">
        <v>9</v>
      </c>
      <c r="M500" t="s">
        <v>87</v>
      </c>
      <c r="N500">
        <v>11</v>
      </c>
      <c r="O500">
        <v>0</v>
      </c>
      <c r="P500">
        <v>31.25</v>
      </c>
      <c r="Q500">
        <v>3.5920000000000001</v>
      </c>
      <c r="R500" t="s">
        <v>26</v>
      </c>
      <c r="S500" t="b">
        <v>0</v>
      </c>
      <c r="T500" t="b">
        <v>0</v>
      </c>
    </row>
    <row r="501" spans="1:20" x14ac:dyDescent="0.3">
      <c r="A501" t="s">
        <v>1052</v>
      </c>
      <c r="B501" s="1">
        <v>40707</v>
      </c>
      <c r="C501" s="1">
        <v>40711</v>
      </c>
      <c r="D501" t="s">
        <v>1053</v>
      </c>
      <c r="E501" t="s">
        <v>22</v>
      </c>
      <c r="F501" t="s">
        <v>31</v>
      </c>
      <c r="G501" t="s">
        <v>155</v>
      </c>
      <c r="H501">
        <v>14.52</v>
      </c>
      <c r="I501">
        <v>3</v>
      </c>
      <c r="J501">
        <v>4.7915999999999999</v>
      </c>
      <c r="K501">
        <v>2011</v>
      </c>
      <c r="L501">
        <v>6</v>
      </c>
      <c r="M501" t="s">
        <v>25</v>
      </c>
      <c r="N501">
        <v>13</v>
      </c>
      <c r="O501">
        <v>4</v>
      </c>
      <c r="P501">
        <v>33</v>
      </c>
      <c r="Q501">
        <v>4.84</v>
      </c>
      <c r="R501" t="s">
        <v>26</v>
      </c>
      <c r="S501" t="b">
        <v>0</v>
      </c>
      <c r="T501" t="b">
        <v>0</v>
      </c>
    </row>
    <row r="502" spans="1:20" x14ac:dyDescent="0.3">
      <c r="A502" t="s">
        <v>1054</v>
      </c>
      <c r="B502" s="1">
        <v>41561</v>
      </c>
      <c r="C502" s="1">
        <v>41565</v>
      </c>
      <c r="D502" t="s">
        <v>1055</v>
      </c>
      <c r="E502" t="s">
        <v>99</v>
      </c>
      <c r="F502" t="s">
        <v>29</v>
      </c>
      <c r="G502" t="s">
        <v>1056</v>
      </c>
      <c r="H502">
        <v>24.96</v>
      </c>
      <c r="I502">
        <v>3</v>
      </c>
      <c r="J502">
        <v>4.3680000000000003</v>
      </c>
      <c r="K502">
        <v>2013</v>
      </c>
      <c r="L502">
        <v>10</v>
      </c>
      <c r="M502" t="s">
        <v>82</v>
      </c>
      <c r="N502">
        <v>14</v>
      </c>
      <c r="O502">
        <v>4</v>
      </c>
      <c r="P502">
        <v>17.5</v>
      </c>
      <c r="Q502">
        <v>8.32</v>
      </c>
      <c r="R502" t="s">
        <v>26</v>
      </c>
      <c r="S502" t="b">
        <v>0</v>
      </c>
      <c r="T502" t="b">
        <v>0</v>
      </c>
    </row>
    <row r="503" spans="1:20" x14ac:dyDescent="0.3">
      <c r="A503" t="s">
        <v>1057</v>
      </c>
      <c r="B503" s="1">
        <v>41745</v>
      </c>
      <c r="C503" s="1">
        <v>41748</v>
      </c>
      <c r="D503" t="s">
        <v>1058</v>
      </c>
      <c r="E503" t="s">
        <v>1059</v>
      </c>
      <c r="F503" t="s">
        <v>29</v>
      </c>
      <c r="G503" t="s">
        <v>1060</v>
      </c>
      <c r="H503">
        <v>196.45</v>
      </c>
      <c r="I503">
        <v>5</v>
      </c>
      <c r="J503">
        <v>70.721999999999994</v>
      </c>
      <c r="K503">
        <v>2014</v>
      </c>
      <c r="L503">
        <v>4</v>
      </c>
      <c r="M503" t="s">
        <v>236</v>
      </c>
      <c r="N503">
        <v>16</v>
      </c>
      <c r="O503">
        <v>3</v>
      </c>
      <c r="P503">
        <v>36</v>
      </c>
      <c r="Q503">
        <v>39.29</v>
      </c>
      <c r="R503" t="s">
        <v>26</v>
      </c>
      <c r="S503" t="b">
        <v>0</v>
      </c>
      <c r="T503" t="b">
        <v>0</v>
      </c>
    </row>
    <row r="504" spans="1:20" x14ac:dyDescent="0.3">
      <c r="A504" t="s">
        <v>1061</v>
      </c>
      <c r="B504" s="1">
        <v>41513</v>
      </c>
      <c r="C504" s="1">
        <v>41516</v>
      </c>
      <c r="D504" t="s">
        <v>402</v>
      </c>
      <c r="E504" t="s">
        <v>39</v>
      </c>
      <c r="F504" t="s">
        <v>72</v>
      </c>
      <c r="G504" t="s">
        <v>563</v>
      </c>
      <c r="H504">
        <v>6.48</v>
      </c>
      <c r="I504">
        <v>1</v>
      </c>
      <c r="J504">
        <v>3.1103999999999998</v>
      </c>
      <c r="K504">
        <v>2013</v>
      </c>
      <c r="L504">
        <v>8</v>
      </c>
      <c r="M504" t="s">
        <v>53</v>
      </c>
      <c r="N504">
        <v>27</v>
      </c>
      <c r="O504">
        <v>3</v>
      </c>
      <c r="P504">
        <v>48</v>
      </c>
      <c r="Q504">
        <v>6.48</v>
      </c>
      <c r="R504" t="s">
        <v>26</v>
      </c>
      <c r="S504" t="b">
        <v>0</v>
      </c>
      <c r="T504" t="b">
        <v>0</v>
      </c>
    </row>
    <row r="505" spans="1:20" x14ac:dyDescent="0.3">
      <c r="A505" t="s">
        <v>1062</v>
      </c>
      <c r="B505" s="1">
        <v>40745</v>
      </c>
      <c r="C505" s="1">
        <v>40749</v>
      </c>
      <c r="D505" t="s">
        <v>1063</v>
      </c>
      <c r="E505" t="s">
        <v>51</v>
      </c>
      <c r="F505" t="s">
        <v>31</v>
      </c>
      <c r="G505" t="s">
        <v>1064</v>
      </c>
      <c r="H505">
        <v>99.2</v>
      </c>
      <c r="I505">
        <v>5</v>
      </c>
      <c r="J505">
        <v>25.792000000000002</v>
      </c>
      <c r="K505">
        <v>2011</v>
      </c>
      <c r="L505">
        <v>7</v>
      </c>
      <c r="M505" t="s">
        <v>66</v>
      </c>
      <c r="N505">
        <v>21</v>
      </c>
      <c r="O505">
        <v>4</v>
      </c>
      <c r="P505">
        <v>26</v>
      </c>
      <c r="Q505">
        <v>19.84</v>
      </c>
      <c r="R505" t="s">
        <v>26</v>
      </c>
      <c r="S505" t="b">
        <v>0</v>
      </c>
      <c r="T505" t="b">
        <v>0</v>
      </c>
    </row>
    <row r="506" spans="1:20" x14ac:dyDescent="0.3">
      <c r="A506" t="s">
        <v>1062</v>
      </c>
      <c r="B506" s="1">
        <v>40745</v>
      </c>
      <c r="C506" s="1">
        <v>40749</v>
      </c>
      <c r="D506" t="s">
        <v>1063</v>
      </c>
      <c r="E506" t="s">
        <v>51</v>
      </c>
      <c r="F506" t="s">
        <v>174</v>
      </c>
      <c r="G506" t="s">
        <v>1065</v>
      </c>
      <c r="H506">
        <v>272.84800000000001</v>
      </c>
      <c r="I506">
        <v>1</v>
      </c>
      <c r="J506">
        <v>27.284800000000001</v>
      </c>
      <c r="K506">
        <v>2011</v>
      </c>
      <c r="L506">
        <v>7</v>
      </c>
      <c r="M506" t="s">
        <v>66</v>
      </c>
      <c r="N506">
        <v>21</v>
      </c>
      <c r="O506">
        <v>4</v>
      </c>
      <c r="P506">
        <v>10</v>
      </c>
      <c r="Q506">
        <v>272.84800000000001</v>
      </c>
      <c r="R506" t="s">
        <v>26</v>
      </c>
      <c r="S506" t="b">
        <v>0</v>
      </c>
      <c r="T506" t="b">
        <v>1</v>
      </c>
    </row>
    <row r="507" spans="1:20" x14ac:dyDescent="0.3">
      <c r="A507" t="s">
        <v>1066</v>
      </c>
      <c r="B507" s="1">
        <v>41965</v>
      </c>
      <c r="C507" s="1">
        <v>41969</v>
      </c>
      <c r="D507" t="s">
        <v>1067</v>
      </c>
      <c r="E507" t="s">
        <v>1068</v>
      </c>
      <c r="F507" t="s">
        <v>174</v>
      </c>
      <c r="G507" t="s">
        <v>1069</v>
      </c>
      <c r="H507">
        <v>70.98</v>
      </c>
      <c r="I507">
        <v>1</v>
      </c>
      <c r="J507">
        <v>20.584199999999999</v>
      </c>
      <c r="K507">
        <v>2014</v>
      </c>
      <c r="L507">
        <v>11</v>
      </c>
      <c r="M507" t="s">
        <v>70</v>
      </c>
      <c r="N507">
        <v>22</v>
      </c>
      <c r="O507">
        <v>4</v>
      </c>
      <c r="P507">
        <v>29</v>
      </c>
      <c r="Q507">
        <v>70.98</v>
      </c>
      <c r="R507" t="s">
        <v>26</v>
      </c>
      <c r="S507" t="b">
        <v>0</v>
      </c>
      <c r="T507" t="b">
        <v>0</v>
      </c>
    </row>
    <row r="508" spans="1:20" x14ac:dyDescent="0.3">
      <c r="A508" t="s">
        <v>1070</v>
      </c>
      <c r="B508" s="1">
        <v>42003</v>
      </c>
      <c r="C508" s="1">
        <v>42007</v>
      </c>
      <c r="D508" t="s">
        <v>1071</v>
      </c>
      <c r="E508" t="s">
        <v>22</v>
      </c>
      <c r="F508" t="s">
        <v>110</v>
      </c>
      <c r="G508" t="s">
        <v>1072</v>
      </c>
      <c r="H508">
        <v>393.56799999999998</v>
      </c>
      <c r="I508">
        <v>4</v>
      </c>
      <c r="J508">
        <v>-44.276400000000002</v>
      </c>
      <c r="K508">
        <v>2014</v>
      </c>
      <c r="L508">
        <v>12</v>
      </c>
      <c r="M508" t="s">
        <v>41</v>
      </c>
      <c r="N508">
        <v>30</v>
      </c>
      <c r="O508">
        <v>4</v>
      </c>
      <c r="P508">
        <v>-11.25</v>
      </c>
      <c r="Q508">
        <v>98.391999999999996</v>
      </c>
      <c r="R508" t="s">
        <v>26</v>
      </c>
      <c r="S508" t="b">
        <v>1</v>
      </c>
      <c r="T508" t="b">
        <v>1</v>
      </c>
    </row>
    <row r="509" spans="1:20" x14ac:dyDescent="0.3">
      <c r="A509" t="s">
        <v>1070</v>
      </c>
      <c r="B509" s="1">
        <v>42003</v>
      </c>
      <c r="C509" s="1">
        <v>42007</v>
      </c>
      <c r="D509" t="s">
        <v>1071</v>
      </c>
      <c r="E509" t="s">
        <v>22</v>
      </c>
      <c r="F509" t="s">
        <v>54</v>
      </c>
      <c r="G509" t="s">
        <v>184</v>
      </c>
      <c r="H509">
        <v>302.37599999999998</v>
      </c>
      <c r="I509">
        <v>3</v>
      </c>
      <c r="J509">
        <v>22.6782</v>
      </c>
      <c r="K509">
        <v>2014</v>
      </c>
      <c r="L509">
        <v>12</v>
      </c>
      <c r="M509" t="s">
        <v>41</v>
      </c>
      <c r="N509">
        <v>30</v>
      </c>
      <c r="O509">
        <v>4</v>
      </c>
      <c r="P509">
        <v>7.5</v>
      </c>
      <c r="Q509">
        <v>100.792</v>
      </c>
      <c r="R509" t="s">
        <v>26</v>
      </c>
      <c r="S509" t="b">
        <v>0</v>
      </c>
      <c r="T509" t="b">
        <v>1</v>
      </c>
    </row>
    <row r="510" spans="1:20" x14ac:dyDescent="0.3">
      <c r="A510" t="s">
        <v>1073</v>
      </c>
      <c r="B510" s="1">
        <v>41387</v>
      </c>
      <c r="C510" s="1">
        <v>41391</v>
      </c>
      <c r="D510" t="s">
        <v>1074</v>
      </c>
      <c r="E510" t="s">
        <v>51</v>
      </c>
      <c r="F510" t="s">
        <v>29</v>
      </c>
      <c r="G510" t="s">
        <v>1075</v>
      </c>
      <c r="H510">
        <v>31.56</v>
      </c>
      <c r="I510">
        <v>3</v>
      </c>
      <c r="J510">
        <v>10.4148</v>
      </c>
      <c r="K510">
        <v>2013</v>
      </c>
      <c r="L510">
        <v>4</v>
      </c>
      <c r="M510" t="s">
        <v>236</v>
      </c>
      <c r="N510">
        <v>23</v>
      </c>
      <c r="O510">
        <v>4</v>
      </c>
      <c r="P510">
        <v>33</v>
      </c>
      <c r="Q510">
        <v>10.52</v>
      </c>
      <c r="R510" t="s">
        <v>26</v>
      </c>
      <c r="S510" t="b">
        <v>0</v>
      </c>
      <c r="T510" t="b">
        <v>0</v>
      </c>
    </row>
    <row r="511" spans="1:20" x14ac:dyDescent="0.3">
      <c r="A511" t="s">
        <v>1076</v>
      </c>
      <c r="B511" s="1">
        <v>40616</v>
      </c>
      <c r="C511" s="1">
        <v>40620</v>
      </c>
      <c r="D511" t="s">
        <v>1077</v>
      </c>
      <c r="E511" t="s">
        <v>286</v>
      </c>
      <c r="F511" t="s">
        <v>72</v>
      </c>
      <c r="G511" t="s">
        <v>1078</v>
      </c>
      <c r="H511">
        <v>10.56</v>
      </c>
      <c r="I511">
        <v>2</v>
      </c>
      <c r="J511">
        <v>4.7519999999999998</v>
      </c>
      <c r="K511">
        <v>2011</v>
      </c>
      <c r="L511">
        <v>3</v>
      </c>
      <c r="M511" t="s">
        <v>135</v>
      </c>
      <c r="N511">
        <v>14</v>
      </c>
      <c r="O511">
        <v>4</v>
      </c>
      <c r="P511">
        <v>45</v>
      </c>
      <c r="Q511">
        <v>5.28</v>
      </c>
      <c r="R511" t="s">
        <v>26</v>
      </c>
      <c r="S511" t="b">
        <v>0</v>
      </c>
      <c r="T511" t="b">
        <v>0</v>
      </c>
    </row>
    <row r="512" spans="1:20" x14ac:dyDescent="0.3">
      <c r="A512" t="s">
        <v>1076</v>
      </c>
      <c r="B512" s="1">
        <v>40616</v>
      </c>
      <c r="C512" s="1">
        <v>40620</v>
      </c>
      <c r="D512" t="s">
        <v>1077</v>
      </c>
      <c r="E512" t="s">
        <v>286</v>
      </c>
      <c r="F512" t="s">
        <v>31</v>
      </c>
      <c r="G512" t="s">
        <v>1079</v>
      </c>
      <c r="H512">
        <v>3.38</v>
      </c>
      <c r="I512">
        <v>1</v>
      </c>
      <c r="J512">
        <v>1.2505999999999999</v>
      </c>
      <c r="K512">
        <v>2011</v>
      </c>
      <c r="L512">
        <v>3</v>
      </c>
      <c r="M512" t="s">
        <v>135</v>
      </c>
      <c r="N512">
        <v>14</v>
      </c>
      <c r="O512">
        <v>4</v>
      </c>
      <c r="P512">
        <v>37</v>
      </c>
      <c r="Q512">
        <v>3.38</v>
      </c>
      <c r="R512" t="s">
        <v>26</v>
      </c>
      <c r="S512" t="b">
        <v>0</v>
      </c>
      <c r="T512" t="b">
        <v>0</v>
      </c>
    </row>
    <row r="513" spans="1:20" x14ac:dyDescent="0.3">
      <c r="A513" t="s">
        <v>1080</v>
      </c>
      <c r="B513" s="1">
        <v>41603</v>
      </c>
      <c r="C513" s="1">
        <v>41608</v>
      </c>
      <c r="D513" t="s">
        <v>1081</v>
      </c>
      <c r="E513" t="s">
        <v>1082</v>
      </c>
      <c r="F513" t="s">
        <v>72</v>
      </c>
      <c r="G513" t="s">
        <v>1083</v>
      </c>
      <c r="H513">
        <v>24.783999999999999</v>
      </c>
      <c r="I513">
        <v>1</v>
      </c>
      <c r="J513">
        <v>7.7450000000000001</v>
      </c>
      <c r="K513">
        <v>2013</v>
      </c>
      <c r="L513">
        <v>11</v>
      </c>
      <c r="M513" t="s">
        <v>70</v>
      </c>
      <c r="N513">
        <v>25</v>
      </c>
      <c r="O513">
        <v>5</v>
      </c>
      <c r="P513">
        <v>31.25</v>
      </c>
      <c r="Q513">
        <v>24.783999999999999</v>
      </c>
      <c r="R513" t="s">
        <v>48</v>
      </c>
      <c r="S513" t="b">
        <v>0</v>
      </c>
      <c r="T513" t="b">
        <v>0</v>
      </c>
    </row>
    <row r="514" spans="1:20" x14ac:dyDescent="0.3">
      <c r="A514" t="s">
        <v>1084</v>
      </c>
      <c r="B514" s="1">
        <v>41274</v>
      </c>
      <c r="C514" s="1">
        <v>41278</v>
      </c>
      <c r="D514" t="s">
        <v>938</v>
      </c>
      <c r="E514" t="s">
        <v>1085</v>
      </c>
      <c r="F514" t="s">
        <v>33</v>
      </c>
      <c r="G514" t="s">
        <v>1086</v>
      </c>
      <c r="H514">
        <v>487.98399999999998</v>
      </c>
      <c r="I514">
        <v>2</v>
      </c>
      <c r="J514">
        <v>152.495</v>
      </c>
      <c r="K514">
        <v>2012</v>
      </c>
      <c r="L514">
        <v>12</v>
      </c>
      <c r="M514" t="s">
        <v>41</v>
      </c>
      <c r="N514">
        <v>31</v>
      </c>
      <c r="O514">
        <v>4</v>
      </c>
      <c r="P514">
        <v>31.25</v>
      </c>
      <c r="Q514">
        <v>243.99199999999999</v>
      </c>
      <c r="R514" t="s">
        <v>26</v>
      </c>
      <c r="S514" t="b">
        <v>0</v>
      </c>
      <c r="T514" t="b">
        <v>1</v>
      </c>
    </row>
    <row r="515" spans="1:20" x14ac:dyDescent="0.3">
      <c r="A515" t="s">
        <v>1087</v>
      </c>
      <c r="B515" s="1">
        <v>41934</v>
      </c>
      <c r="C515" s="1">
        <v>41935</v>
      </c>
      <c r="D515" t="s">
        <v>828</v>
      </c>
      <c r="E515" t="s">
        <v>1088</v>
      </c>
      <c r="F515" t="s">
        <v>72</v>
      </c>
      <c r="G515" t="s">
        <v>1089</v>
      </c>
      <c r="H515">
        <v>5.1840000000000002</v>
      </c>
      <c r="I515">
        <v>1</v>
      </c>
      <c r="J515">
        <v>1.8144</v>
      </c>
      <c r="K515">
        <v>2014</v>
      </c>
      <c r="L515">
        <v>10</v>
      </c>
      <c r="M515" t="s">
        <v>82</v>
      </c>
      <c r="N515">
        <v>22</v>
      </c>
      <c r="O515">
        <v>1</v>
      </c>
      <c r="P515">
        <v>35</v>
      </c>
      <c r="Q515">
        <v>5.1840000000000002</v>
      </c>
      <c r="R515" t="s">
        <v>26</v>
      </c>
      <c r="S515" t="b">
        <v>0</v>
      </c>
      <c r="T515" t="b">
        <v>0</v>
      </c>
    </row>
    <row r="516" spans="1:20" x14ac:dyDescent="0.3">
      <c r="A516" t="s">
        <v>1087</v>
      </c>
      <c r="B516" s="1">
        <v>41934</v>
      </c>
      <c r="C516" s="1">
        <v>41935</v>
      </c>
      <c r="D516" t="s">
        <v>828</v>
      </c>
      <c r="E516" t="s">
        <v>1088</v>
      </c>
      <c r="F516" t="s">
        <v>110</v>
      </c>
      <c r="G516" t="s">
        <v>1090</v>
      </c>
      <c r="H516">
        <v>478.48</v>
      </c>
      <c r="I516">
        <v>2</v>
      </c>
      <c r="J516">
        <v>47.847999999999999</v>
      </c>
      <c r="K516">
        <v>2014</v>
      </c>
      <c r="L516">
        <v>10</v>
      </c>
      <c r="M516" t="s">
        <v>82</v>
      </c>
      <c r="N516">
        <v>22</v>
      </c>
      <c r="O516">
        <v>1</v>
      </c>
      <c r="P516">
        <v>10</v>
      </c>
      <c r="Q516">
        <v>239.24</v>
      </c>
      <c r="R516" t="s">
        <v>26</v>
      </c>
      <c r="S516" t="b">
        <v>0</v>
      </c>
      <c r="T516" t="b">
        <v>1</v>
      </c>
    </row>
    <row r="517" spans="1:20" x14ac:dyDescent="0.3">
      <c r="A517" t="s">
        <v>1087</v>
      </c>
      <c r="B517" s="1">
        <v>41934</v>
      </c>
      <c r="C517" s="1">
        <v>41935</v>
      </c>
      <c r="D517" t="s">
        <v>828</v>
      </c>
      <c r="E517" t="s">
        <v>1088</v>
      </c>
      <c r="F517" t="s">
        <v>61</v>
      </c>
      <c r="G517" t="s">
        <v>1091</v>
      </c>
      <c r="H517">
        <v>28.4</v>
      </c>
      <c r="I517">
        <v>2</v>
      </c>
      <c r="J517">
        <v>6.7450000000000001</v>
      </c>
      <c r="K517">
        <v>2014</v>
      </c>
      <c r="L517">
        <v>10</v>
      </c>
      <c r="M517" t="s">
        <v>82</v>
      </c>
      <c r="N517">
        <v>22</v>
      </c>
      <c r="O517">
        <v>1</v>
      </c>
      <c r="P517">
        <v>23.75</v>
      </c>
      <c r="Q517">
        <v>14.2</v>
      </c>
      <c r="R517" t="s">
        <v>26</v>
      </c>
      <c r="S517" t="b">
        <v>0</v>
      </c>
      <c r="T517" t="b">
        <v>0</v>
      </c>
    </row>
    <row r="518" spans="1:20" x14ac:dyDescent="0.3">
      <c r="A518" t="s">
        <v>1092</v>
      </c>
      <c r="B518" s="1">
        <v>40942</v>
      </c>
      <c r="C518" s="1">
        <v>40943</v>
      </c>
      <c r="D518" t="s">
        <v>821</v>
      </c>
      <c r="E518" t="s">
        <v>22</v>
      </c>
      <c r="F518" t="s">
        <v>29</v>
      </c>
      <c r="G518" t="s">
        <v>1093</v>
      </c>
      <c r="H518">
        <v>136.91999999999999</v>
      </c>
      <c r="I518">
        <v>4</v>
      </c>
      <c r="J518">
        <v>41.076000000000001</v>
      </c>
      <c r="K518">
        <v>2012</v>
      </c>
      <c r="L518">
        <v>2</v>
      </c>
      <c r="M518" t="s">
        <v>303</v>
      </c>
      <c r="N518">
        <v>3</v>
      </c>
      <c r="O518">
        <v>1</v>
      </c>
      <c r="P518">
        <v>30</v>
      </c>
      <c r="Q518">
        <v>34.229999999999997</v>
      </c>
      <c r="R518" t="s">
        <v>26</v>
      </c>
      <c r="S518" t="b">
        <v>0</v>
      </c>
      <c r="T518" t="b">
        <v>0</v>
      </c>
    </row>
    <row r="519" spans="1:20" x14ac:dyDescent="0.3">
      <c r="A519" t="s">
        <v>1094</v>
      </c>
      <c r="B519" s="1">
        <v>41594</v>
      </c>
      <c r="C519" s="1">
        <v>41601</v>
      </c>
      <c r="D519" t="s">
        <v>1095</v>
      </c>
      <c r="E519" t="s">
        <v>22</v>
      </c>
      <c r="F519" t="s">
        <v>61</v>
      </c>
      <c r="G519" t="s">
        <v>359</v>
      </c>
      <c r="H519">
        <v>99.39</v>
      </c>
      <c r="I519">
        <v>3</v>
      </c>
      <c r="J519">
        <v>40.749899999999997</v>
      </c>
      <c r="K519">
        <v>2013</v>
      </c>
      <c r="L519">
        <v>11</v>
      </c>
      <c r="M519" t="s">
        <v>70</v>
      </c>
      <c r="N519">
        <v>16</v>
      </c>
      <c r="O519">
        <v>7</v>
      </c>
      <c r="P519">
        <v>41</v>
      </c>
      <c r="Q519">
        <v>33.130000000000003</v>
      </c>
      <c r="R519" t="s">
        <v>26</v>
      </c>
      <c r="S519" t="b">
        <v>0</v>
      </c>
      <c r="T519" t="b">
        <v>0</v>
      </c>
    </row>
    <row r="520" spans="1:20" x14ac:dyDescent="0.3">
      <c r="A520" t="s">
        <v>1096</v>
      </c>
      <c r="B520" s="1">
        <v>41979</v>
      </c>
      <c r="C520" s="1">
        <v>41981</v>
      </c>
      <c r="D520" t="s">
        <v>667</v>
      </c>
      <c r="E520" t="s">
        <v>194</v>
      </c>
      <c r="F520" t="s">
        <v>72</v>
      </c>
      <c r="G520" t="s">
        <v>896</v>
      </c>
      <c r="H520">
        <v>92.94</v>
      </c>
      <c r="I520">
        <v>3</v>
      </c>
      <c r="J520">
        <v>41.823</v>
      </c>
      <c r="K520">
        <v>2014</v>
      </c>
      <c r="L520">
        <v>12</v>
      </c>
      <c r="M520" t="s">
        <v>41</v>
      </c>
      <c r="N520">
        <v>6</v>
      </c>
      <c r="O520">
        <v>2</v>
      </c>
      <c r="P520">
        <v>45</v>
      </c>
      <c r="Q520">
        <v>30.98</v>
      </c>
      <c r="R520" t="s">
        <v>26</v>
      </c>
      <c r="S520" t="b">
        <v>0</v>
      </c>
      <c r="T520" t="b">
        <v>0</v>
      </c>
    </row>
    <row r="521" spans="1:20" x14ac:dyDescent="0.3">
      <c r="A521" t="s">
        <v>1097</v>
      </c>
      <c r="B521" s="1">
        <v>41708</v>
      </c>
      <c r="C521" s="1">
        <v>41712</v>
      </c>
      <c r="D521" t="s">
        <v>595</v>
      </c>
      <c r="E521" t="s">
        <v>51</v>
      </c>
      <c r="F521" t="s">
        <v>61</v>
      </c>
      <c r="G521" t="s">
        <v>237</v>
      </c>
      <c r="H521">
        <v>199.98</v>
      </c>
      <c r="I521">
        <v>2</v>
      </c>
      <c r="J521">
        <v>69.992999999999995</v>
      </c>
      <c r="K521">
        <v>2014</v>
      </c>
      <c r="L521">
        <v>3</v>
      </c>
      <c r="M521" t="s">
        <v>135</v>
      </c>
      <c r="N521">
        <v>10</v>
      </c>
      <c r="O521">
        <v>4</v>
      </c>
      <c r="P521">
        <v>35</v>
      </c>
      <c r="Q521">
        <v>99.99</v>
      </c>
      <c r="R521" t="s">
        <v>26</v>
      </c>
      <c r="S521" t="b">
        <v>0</v>
      </c>
      <c r="T521" t="b">
        <v>0</v>
      </c>
    </row>
    <row r="522" spans="1:20" x14ac:dyDescent="0.3">
      <c r="A522" t="s">
        <v>1098</v>
      </c>
      <c r="B522" s="1">
        <v>41435</v>
      </c>
      <c r="C522" s="1">
        <v>41441</v>
      </c>
      <c r="D522" t="s">
        <v>732</v>
      </c>
      <c r="E522" t="s">
        <v>22</v>
      </c>
      <c r="F522" t="s">
        <v>54</v>
      </c>
      <c r="G522" t="s">
        <v>1099</v>
      </c>
      <c r="H522">
        <v>177.48</v>
      </c>
      <c r="I522">
        <v>3</v>
      </c>
      <c r="J522">
        <v>19.9665</v>
      </c>
      <c r="K522">
        <v>2013</v>
      </c>
      <c r="L522">
        <v>6</v>
      </c>
      <c r="M522" t="s">
        <v>25</v>
      </c>
      <c r="N522">
        <v>10</v>
      </c>
      <c r="O522">
        <v>6</v>
      </c>
      <c r="P522">
        <v>11.25</v>
      </c>
      <c r="Q522">
        <v>59.16</v>
      </c>
      <c r="R522" t="s">
        <v>26</v>
      </c>
      <c r="S522" t="b">
        <v>0</v>
      </c>
      <c r="T522" t="b">
        <v>0</v>
      </c>
    </row>
    <row r="523" spans="1:20" x14ac:dyDescent="0.3">
      <c r="A523" t="s">
        <v>1100</v>
      </c>
      <c r="B523" s="1">
        <v>41972</v>
      </c>
      <c r="C523" s="1">
        <v>41975</v>
      </c>
      <c r="D523" t="s">
        <v>1101</v>
      </c>
      <c r="E523" t="s">
        <v>173</v>
      </c>
      <c r="F523" t="s">
        <v>72</v>
      </c>
      <c r="G523" t="s">
        <v>1102</v>
      </c>
      <c r="H523">
        <v>88.768000000000001</v>
      </c>
      <c r="I523">
        <v>2</v>
      </c>
      <c r="J523">
        <v>31.0688</v>
      </c>
      <c r="K523">
        <v>2014</v>
      </c>
      <c r="L523">
        <v>11</v>
      </c>
      <c r="M523" t="s">
        <v>70</v>
      </c>
      <c r="N523">
        <v>29</v>
      </c>
      <c r="O523">
        <v>3</v>
      </c>
      <c r="P523">
        <v>35</v>
      </c>
      <c r="Q523">
        <v>44.384</v>
      </c>
      <c r="R523" t="s">
        <v>48</v>
      </c>
      <c r="S523" t="b">
        <v>0</v>
      </c>
      <c r="T523" t="b">
        <v>0</v>
      </c>
    </row>
    <row r="524" spans="1:20" x14ac:dyDescent="0.3">
      <c r="A524" t="s">
        <v>1103</v>
      </c>
      <c r="B524" s="1">
        <v>41715</v>
      </c>
      <c r="C524" s="1">
        <v>41717</v>
      </c>
      <c r="D524" t="s">
        <v>1104</v>
      </c>
      <c r="E524" t="s">
        <v>39</v>
      </c>
      <c r="F524" t="s">
        <v>72</v>
      </c>
      <c r="G524" t="s">
        <v>1105</v>
      </c>
      <c r="H524">
        <v>6.48</v>
      </c>
      <c r="I524">
        <v>1</v>
      </c>
      <c r="J524">
        <v>3.1103999999999998</v>
      </c>
      <c r="K524">
        <v>2014</v>
      </c>
      <c r="L524">
        <v>3</v>
      </c>
      <c r="M524" t="s">
        <v>135</v>
      </c>
      <c r="N524">
        <v>17</v>
      </c>
      <c r="O524">
        <v>2</v>
      </c>
      <c r="P524">
        <v>48</v>
      </c>
      <c r="Q524">
        <v>6.48</v>
      </c>
      <c r="R524" t="s">
        <v>26</v>
      </c>
      <c r="S524" t="b">
        <v>0</v>
      </c>
      <c r="T524" t="b">
        <v>0</v>
      </c>
    </row>
    <row r="525" spans="1:20" x14ac:dyDescent="0.3">
      <c r="A525" t="s">
        <v>1103</v>
      </c>
      <c r="B525" s="1">
        <v>41715</v>
      </c>
      <c r="C525" s="1">
        <v>41717</v>
      </c>
      <c r="D525" t="s">
        <v>1104</v>
      </c>
      <c r="E525" t="s">
        <v>39</v>
      </c>
      <c r="F525" t="s">
        <v>45</v>
      </c>
      <c r="G525" t="s">
        <v>1106</v>
      </c>
      <c r="H525">
        <v>46.51</v>
      </c>
      <c r="I525">
        <v>1</v>
      </c>
      <c r="J525">
        <v>1.8604000000000001</v>
      </c>
      <c r="K525">
        <v>2014</v>
      </c>
      <c r="L525">
        <v>3</v>
      </c>
      <c r="M525" t="s">
        <v>135</v>
      </c>
      <c r="N525">
        <v>17</v>
      </c>
      <c r="O525">
        <v>2</v>
      </c>
      <c r="P525">
        <v>4</v>
      </c>
      <c r="Q525">
        <v>46.51</v>
      </c>
      <c r="R525" t="s">
        <v>26</v>
      </c>
      <c r="S525" t="b">
        <v>0</v>
      </c>
      <c r="T525" t="b">
        <v>0</v>
      </c>
    </row>
    <row r="526" spans="1:20" x14ac:dyDescent="0.3">
      <c r="A526" t="s">
        <v>1107</v>
      </c>
      <c r="B526" s="1">
        <v>41606</v>
      </c>
      <c r="C526" s="1">
        <v>41608</v>
      </c>
      <c r="D526" t="s">
        <v>1108</v>
      </c>
      <c r="E526" t="s">
        <v>133</v>
      </c>
      <c r="F526" t="s">
        <v>54</v>
      </c>
      <c r="G526" t="s">
        <v>1109</v>
      </c>
      <c r="H526">
        <v>271.99200000000002</v>
      </c>
      <c r="I526">
        <v>1</v>
      </c>
      <c r="J526">
        <v>23.799299999999999</v>
      </c>
      <c r="K526">
        <v>2013</v>
      </c>
      <c r="L526">
        <v>11</v>
      </c>
      <c r="M526" t="s">
        <v>70</v>
      </c>
      <c r="N526">
        <v>28</v>
      </c>
      <c r="O526">
        <v>2</v>
      </c>
      <c r="P526">
        <v>8.75</v>
      </c>
      <c r="Q526">
        <v>271.99200000000002</v>
      </c>
      <c r="R526" t="s">
        <v>26</v>
      </c>
      <c r="S526" t="b">
        <v>0</v>
      </c>
      <c r="T526" t="b">
        <v>1</v>
      </c>
    </row>
    <row r="527" spans="1:20" x14ac:dyDescent="0.3">
      <c r="A527" t="s">
        <v>1110</v>
      </c>
      <c r="B527" s="1">
        <v>41971</v>
      </c>
      <c r="C527" s="1">
        <v>41977</v>
      </c>
      <c r="D527" t="s">
        <v>595</v>
      </c>
      <c r="E527" t="s">
        <v>51</v>
      </c>
      <c r="F527" t="s">
        <v>72</v>
      </c>
      <c r="G527" t="s">
        <v>1111</v>
      </c>
      <c r="H527">
        <v>244.55</v>
      </c>
      <c r="I527">
        <v>5</v>
      </c>
      <c r="J527">
        <v>114.9385</v>
      </c>
      <c r="K527">
        <v>2014</v>
      </c>
      <c r="L527">
        <v>11</v>
      </c>
      <c r="M527" t="s">
        <v>70</v>
      </c>
      <c r="N527">
        <v>28</v>
      </c>
      <c r="O527">
        <v>6</v>
      </c>
      <c r="P527">
        <v>47</v>
      </c>
      <c r="Q527">
        <v>48.91</v>
      </c>
      <c r="R527" t="s">
        <v>26</v>
      </c>
      <c r="S527" t="b">
        <v>0</v>
      </c>
      <c r="T527" t="b">
        <v>1</v>
      </c>
    </row>
    <row r="528" spans="1:20" x14ac:dyDescent="0.3">
      <c r="A528" t="s">
        <v>1110</v>
      </c>
      <c r="B528" s="1">
        <v>41971</v>
      </c>
      <c r="C528" s="1">
        <v>41977</v>
      </c>
      <c r="D528" t="s">
        <v>595</v>
      </c>
      <c r="E528" t="s">
        <v>51</v>
      </c>
      <c r="F528" t="s">
        <v>61</v>
      </c>
      <c r="G528" t="s">
        <v>1112</v>
      </c>
      <c r="H528">
        <v>166.16</v>
      </c>
      <c r="I528">
        <v>8</v>
      </c>
      <c r="J528">
        <v>59.817599999999999</v>
      </c>
      <c r="K528">
        <v>2014</v>
      </c>
      <c r="L528">
        <v>11</v>
      </c>
      <c r="M528" t="s">
        <v>70</v>
      </c>
      <c r="N528">
        <v>28</v>
      </c>
      <c r="O528">
        <v>6</v>
      </c>
      <c r="P528">
        <v>36</v>
      </c>
      <c r="Q528">
        <v>20.77</v>
      </c>
      <c r="R528" t="s">
        <v>26</v>
      </c>
      <c r="S528" t="b">
        <v>0</v>
      </c>
      <c r="T528" t="b">
        <v>0</v>
      </c>
    </row>
    <row r="529" spans="1:20" x14ac:dyDescent="0.3">
      <c r="A529" t="s">
        <v>1113</v>
      </c>
      <c r="B529" s="1">
        <v>41054</v>
      </c>
      <c r="C529" s="1">
        <v>41056</v>
      </c>
      <c r="D529" t="s">
        <v>1114</v>
      </c>
      <c r="E529" t="s">
        <v>51</v>
      </c>
      <c r="F529" t="s">
        <v>29</v>
      </c>
      <c r="G529" t="s">
        <v>1115</v>
      </c>
      <c r="H529">
        <v>14.73</v>
      </c>
      <c r="I529">
        <v>3</v>
      </c>
      <c r="J529">
        <v>4.8609</v>
      </c>
      <c r="K529">
        <v>2012</v>
      </c>
      <c r="L529">
        <v>5</v>
      </c>
      <c r="M529" t="s">
        <v>47</v>
      </c>
      <c r="N529">
        <v>25</v>
      </c>
      <c r="O529">
        <v>2</v>
      </c>
      <c r="P529">
        <v>33</v>
      </c>
      <c r="Q529">
        <v>4.91</v>
      </c>
      <c r="R529" t="s">
        <v>26</v>
      </c>
      <c r="S529" t="b">
        <v>0</v>
      </c>
      <c r="T529" t="b">
        <v>0</v>
      </c>
    </row>
    <row r="530" spans="1:20" x14ac:dyDescent="0.3">
      <c r="A530" t="s">
        <v>1116</v>
      </c>
      <c r="B530" s="1">
        <v>41464</v>
      </c>
      <c r="C530" s="1">
        <v>41468</v>
      </c>
      <c r="D530" t="s">
        <v>1117</v>
      </c>
      <c r="E530" t="s">
        <v>1118</v>
      </c>
      <c r="F530" t="s">
        <v>33</v>
      </c>
      <c r="G530" t="s">
        <v>1119</v>
      </c>
      <c r="H530">
        <v>19.968</v>
      </c>
      <c r="I530">
        <v>2</v>
      </c>
      <c r="J530">
        <v>-13.311999999999999</v>
      </c>
      <c r="K530">
        <v>2013</v>
      </c>
      <c r="L530">
        <v>7</v>
      </c>
      <c r="M530" t="s">
        <v>66</v>
      </c>
      <c r="N530">
        <v>9</v>
      </c>
      <c r="O530">
        <v>4</v>
      </c>
      <c r="P530">
        <v>-66.67</v>
      </c>
      <c r="Q530">
        <v>9.984</v>
      </c>
      <c r="R530" t="s">
        <v>26</v>
      </c>
      <c r="S530" t="b">
        <v>1</v>
      </c>
      <c r="T530" t="b">
        <v>0</v>
      </c>
    </row>
    <row r="531" spans="1:20" x14ac:dyDescent="0.3">
      <c r="A531" t="s">
        <v>1116</v>
      </c>
      <c r="B531" s="1">
        <v>41464</v>
      </c>
      <c r="C531" s="1">
        <v>41468</v>
      </c>
      <c r="D531" t="s">
        <v>1117</v>
      </c>
      <c r="E531" t="s">
        <v>1118</v>
      </c>
      <c r="F531" t="s">
        <v>45</v>
      </c>
      <c r="G531" t="s">
        <v>1120</v>
      </c>
      <c r="H531">
        <v>33.488</v>
      </c>
      <c r="I531">
        <v>7</v>
      </c>
      <c r="J531">
        <v>-1.2558</v>
      </c>
      <c r="K531">
        <v>2013</v>
      </c>
      <c r="L531">
        <v>7</v>
      </c>
      <c r="M531" t="s">
        <v>66</v>
      </c>
      <c r="N531">
        <v>9</v>
      </c>
      <c r="O531">
        <v>4</v>
      </c>
      <c r="P531">
        <v>-3.75</v>
      </c>
      <c r="Q531">
        <v>4.7839999999999998</v>
      </c>
      <c r="R531" t="s">
        <v>26</v>
      </c>
      <c r="S531" t="b">
        <v>1</v>
      </c>
      <c r="T531" t="b">
        <v>0</v>
      </c>
    </row>
    <row r="532" spans="1:20" x14ac:dyDescent="0.3">
      <c r="A532" t="s">
        <v>1116</v>
      </c>
      <c r="B532" s="1">
        <v>41464</v>
      </c>
      <c r="C532" s="1">
        <v>41468</v>
      </c>
      <c r="D532" t="s">
        <v>1117</v>
      </c>
      <c r="E532" t="s">
        <v>1118</v>
      </c>
      <c r="F532" t="s">
        <v>33</v>
      </c>
      <c r="G532" t="s">
        <v>59</v>
      </c>
      <c r="H532">
        <v>8.7360000000000007</v>
      </c>
      <c r="I532">
        <v>4</v>
      </c>
      <c r="J532">
        <v>-6.1151999999999997</v>
      </c>
      <c r="K532">
        <v>2013</v>
      </c>
      <c r="L532">
        <v>7</v>
      </c>
      <c r="M532" t="s">
        <v>66</v>
      </c>
      <c r="N532">
        <v>9</v>
      </c>
      <c r="O532">
        <v>4</v>
      </c>
      <c r="P532">
        <v>-70</v>
      </c>
      <c r="Q532">
        <v>2.1840000000000002</v>
      </c>
      <c r="R532" t="s">
        <v>26</v>
      </c>
      <c r="S532" t="b">
        <v>1</v>
      </c>
      <c r="T532" t="b">
        <v>0</v>
      </c>
    </row>
    <row r="533" spans="1:20" x14ac:dyDescent="0.3">
      <c r="A533" t="s">
        <v>1121</v>
      </c>
      <c r="B533" s="1">
        <v>41037</v>
      </c>
      <c r="C533" s="1">
        <v>41041</v>
      </c>
      <c r="D533" t="s">
        <v>367</v>
      </c>
      <c r="E533" t="s">
        <v>412</v>
      </c>
      <c r="F533" t="s">
        <v>31</v>
      </c>
      <c r="G533" t="s">
        <v>1122</v>
      </c>
      <c r="H533">
        <v>5.2480000000000002</v>
      </c>
      <c r="I533">
        <v>2</v>
      </c>
      <c r="J533">
        <v>0.59040000000000004</v>
      </c>
      <c r="K533">
        <v>2012</v>
      </c>
      <c r="L533">
        <v>5</v>
      </c>
      <c r="M533" t="s">
        <v>47</v>
      </c>
      <c r="N533">
        <v>8</v>
      </c>
      <c r="O533">
        <v>4</v>
      </c>
      <c r="P533">
        <v>11.25</v>
      </c>
      <c r="Q533">
        <v>2.6240000000000001</v>
      </c>
      <c r="R533" t="s">
        <v>26</v>
      </c>
      <c r="S533" t="b">
        <v>0</v>
      </c>
      <c r="T533" t="b">
        <v>0</v>
      </c>
    </row>
    <row r="534" spans="1:20" x14ac:dyDescent="0.3">
      <c r="A534" t="s">
        <v>1123</v>
      </c>
      <c r="B534" s="1">
        <v>41379</v>
      </c>
      <c r="C534" s="1">
        <v>41379</v>
      </c>
      <c r="D534" t="s">
        <v>788</v>
      </c>
      <c r="E534" t="s">
        <v>849</v>
      </c>
      <c r="F534" t="s">
        <v>45</v>
      </c>
      <c r="G534" t="s">
        <v>1124</v>
      </c>
      <c r="H534">
        <v>42.975999999999999</v>
      </c>
      <c r="I534">
        <v>4</v>
      </c>
      <c r="J534">
        <v>4.2976000000000001</v>
      </c>
      <c r="K534">
        <v>2013</v>
      </c>
      <c r="L534">
        <v>4</v>
      </c>
      <c r="M534" t="s">
        <v>236</v>
      </c>
      <c r="N534">
        <v>15</v>
      </c>
      <c r="O534">
        <v>0</v>
      </c>
      <c r="P534">
        <v>10</v>
      </c>
      <c r="Q534">
        <v>10.744</v>
      </c>
      <c r="R534" t="s">
        <v>26</v>
      </c>
      <c r="S534" t="b">
        <v>0</v>
      </c>
      <c r="T534" t="b">
        <v>0</v>
      </c>
    </row>
    <row r="535" spans="1:20" x14ac:dyDescent="0.3">
      <c r="A535" t="s">
        <v>1125</v>
      </c>
      <c r="B535" s="1">
        <v>40872</v>
      </c>
      <c r="C535" s="1">
        <v>40874</v>
      </c>
      <c r="D535" t="s">
        <v>1126</v>
      </c>
      <c r="E535" t="s">
        <v>198</v>
      </c>
      <c r="F535" t="s">
        <v>35</v>
      </c>
      <c r="G535" t="s">
        <v>523</v>
      </c>
      <c r="H535">
        <v>320.88</v>
      </c>
      <c r="I535">
        <v>6</v>
      </c>
      <c r="J535">
        <v>93.055199999999999</v>
      </c>
      <c r="K535">
        <v>2011</v>
      </c>
      <c r="L535">
        <v>11</v>
      </c>
      <c r="M535" t="s">
        <v>70</v>
      </c>
      <c r="N535">
        <v>25</v>
      </c>
      <c r="O535">
        <v>2</v>
      </c>
      <c r="P535">
        <v>29</v>
      </c>
      <c r="Q535">
        <v>53.48</v>
      </c>
      <c r="R535" t="s">
        <v>26</v>
      </c>
      <c r="S535" t="b">
        <v>0</v>
      </c>
      <c r="T535" t="b">
        <v>1</v>
      </c>
    </row>
    <row r="536" spans="1:20" x14ac:dyDescent="0.3">
      <c r="A536" t="s">
        <v>1125</v>
      </c>
      <c r="B536" s="1">
        <v>40872</v>
      </c>
      <c r="C536" s="1">
        <v>40874</v>
      </c>
      <c r="D536" t="s">
        <v>1126</v>
      </c>
      <c r="E536" t="s">
        <v>198</v>
      </c>
      <c r="F536" t="s">
        <v>29</v>
      </c>
      <c r="G536" t="s">
        <v>155</v>
      </c>
      <c r="H536">
        <v>23.88</v>
      </c>
      <c r="I536">
        <v>3</v>
      </c>
      <c r="J536">
        <v>10.507199999999999</v>
      </c>
      <c r="K536">
        <v>2011</v>
      </c>
      <c r="L536">
        <v>11</v>
      </c>
      <c r="M536" t="s">
        <v>70</v>
      </c>
      <c r="N536">
        <v>25</v>
      </c>
      <c r="O536">
        <v>2</v>
      </c>
      <c r="P536">
        <v>44</v>
      </c>
      <c r="Q536">
        <v>7.96</v>
      </c>
      <c r="R536" t="s">
        <v>26</v>
      </c>
      <c r="S536" t="b">
        <v>0</v>
      </c>
      <c r="T536" t="b">
        <v>0</v>
      </c>
    </row>
    <row r="537" spans="1:20" x14ac:dyDescent="0.3">
      <c r="A537" t="s">
        <v>1125</v>
      </c>
      <c r="B537" s="1">
        <v>40872</v>
      </c>
      <c r="C537" s="1">
        <v>40874</v>
      </c>
      <c r="D537" t="s">
        <v>1126</v>
      </c>
      <c r="E537" t="s">
        <v>198</v>
      </c>
      <c r="F537" t="s">
        <v>72</v>
      </c>
      <c r="G537" t="s">
        <v>1127</v>
      </c>
      <c r="H537">
        <v>26.76</v>
      </c>
      <c r="I537">
        <v>4</v>
      </c>
      <c r="J537">
        <v>12.3096</v>
      </c>
      <c r="K537">
        <v>2011</v>
      </c>
      <c r="L537">
        <v>11</v>
      </c>
      <c r="M537" t="s">
        <v>70</v>
      </c>
      <c r="N537">
        <v>25</v>
      </c>
      <c r="O537">
        <v>2</v>
      </c>
      <c r="P537">
        <v>46</v>
      </c>
      <c r="Q537">
        <v>6.69</v>
      </c>
      <c r="R537" t="s">
        <v>26</v>
      </c>
      <c r="S537" t="b">
        <v>0</v>
      </c>
      <c r="T537" t="b">
        <v>0</v>
      </c>
    </row>
    <row r="538" spans="1:20" x14ac:dyDescent="0.3">
      <c r="A538" t="s">
        <v>1128</v>
      </c>
      <c r="B538" s="1">
        <v>41816</v>
      </c>
      <c r="C538" s="1">
        <v>41823</v>
      </c>
      <c r="D538" t="s">
        <v>1129</v>
      </c>
      <c r="E538" t="s">
        <v>1088</v>
      </c>
      <c r="F538" t="s">
        <v>23</v>
      </c>
      <c r="G538" t="s">
        <v>330</v>
      </c>
      <c r="H538">
        <v>71.040000000000006</v>
      </c>
      <c r="I538">
        <v>6</v>
      </c>
      <c r="J538">
        <v>26.64</v>
      </c>
      <c r="K538">
        <v>2014</v>
      </c>
      <c r="L538">
        <v>6</v>
      </c>
      <c r="M538" t="s">
        <v>25</v>
      </c>
      <c r="N538">
        <v>26</v>
      </c>
      <c r="O538">
        <v>7</v>
      </c>
      <c r="P538">
        <v>37.5</v>
      </c>
      <c r="Q538">
        <v>11.84</v>
      </c>
      <c r="R538" t="s">
        <v>26</v>
      </c>
      <c r="S538" t="b">
        <v>0</v>
      </c>
      <c r="T538" t="b">
        <v>0</v>
      </c>
    </row>
    <row r="539" spans="1:20" x14ac:dyDescent="0.3">
      <c r="A539" t="s">
        <v>1128</v>
      </c>
      <c r="B539" s="1">
        <v>41816</v>
      </c>
      <c r="C539" s="1">
        <v>41823</v>
      </c>
      <c r="D539" t="s">
        <v>1129</v>
      </c>
      <c r="E539" t="s">
        <v>1088</v>
      </c>
      <c r="F539" t="s">
        <v>31</v>
      </c>
      <c r="G539" t="s">
        <v>1130</v>
      </c>
      <c r="H539">
        <v>5.3440000000000003</v>
      </c>
      <c r="I539">
        <v>2</v>
      </c>
      <c r="J539">
        <v>0.73480000000000001</v>
      </c>
      <c r="K539">
        <v>2014</v>
      </c>
      <c r="L539">
        <v>6</v>
      </c>
      <c r="M539" t="s">
        <v>25</v>
      </c>
      <c r="N539">
        <v>26</v>
      </c>
      <c r="O539">
        <v>7</v>
      </c>
      <c r="P539">
        <v>13.75</v>
      </c>
      <c r="Q539">
        <v>2.6720000000000002</v>
      </c>
      <c r="R539" t="s">
        <v>26</v>
      </c>
      <c r="S539" t="b">
        <v>0</v>
      </c>
      <c r="T539" t="b">
        <v>0</v>
      </c>
    </row>
    <row r="540" spans="1:20" x14ac:dyDescent="0.3">
      <c r="A540" t="s">
        <v>1128</v>
      </c>
      <c r="B540" s="1">
        <v>41816</v>
      </c>
      <c r="C540" s="1">
        <v>41823</v>
      </c>
      <c r="D540" t="s">
        <v>1129</v>
      </c>
      <c r="E540" t="s">
        <v>1088</v>
      </c>
      <c r="F540" t="s">
        <v>119</v>
      </c>
      <c r="G540" t="s">
        <v>1131</v>
      </c>
      <c r="H540">
        <v>11.304</v>
      </c>
      <c r="I540">
        <v>3</v>
      </c>
      <c r="J540">
        <v>-2.1194999999999999</v>
      </c>
      <c r="K540">
        <v>2014</v>
      </c>
      <c r="L540">
        <v>6</v>
      </c>
      <c r="M540" t="s">
        <v>25</v>
      </c>
      <c r="N540">
        <v>26</v>
      </c>
      <c r="O540">
        <v>7</v>
      </c>
      <c r="P540">
        <v>-18.75</v>
      </c>
      <c r="Q540">
        <v>3.7679999999999998</v>
      </c>
      <c r="R540" t="s">
        <v>26</v>
      </c>
      <c r="S540" t="b">
        <v>1</v>
      </c>
      <c r="T540" t="b">
        <v>0</v>
      </c>
    </row>
    <row r="541" spans="1:20" x14ac:dyDescent="0.3">
      <c r="A541" t="s">
        <v>1132</v>
      </c>
      <c r="B541" s="1">
        <v>41741</v>
      </c>
      <c r="C541" s="1">
        <v>41748</v>
      </c>
      <c r="D541" t="s">
        <v>1133</v>
      </c>
      <c r="E541" t="s">
        <v>763</v>
      </c>
      <c r="F541" t="s">
        <v>61</v>
      </c>
      <c r="G541" t="s">
        <v>850</v>
      </c>
      <c r="H541">
        <v>199.95</v>
      </c>
      <c r="I541">
        <v>5</v>
      </c>
      <c r="J541">
        <v>21.994499999999999</v>
      </c>
      <c r="K541">
        <v>2014</v>
      </c>
      <c r="L541">
        <v>4</v>
      </c>
      <c r="M541" t="s">
        <v>236</v>
      </c>
      <c r="N541">
        <v>12</v>
      </c>
      <c r="O541">
        <v>7</v>
      </c>
      <c r="P541">
        <v>11</v>
      </c>
      <c r="Q541">
        <v>39.989999999999988</v>
      </c>
      <c r="R541" t="s">
        <v>26</v>
      </c>
      <c r="S541" t="b">
        <v>0</v>
      </c>
      <c r="T541" t="b">
        <v>0</v>
      </c>
    </row>
    <row r="542" spans="1:20" x14ac:dyDescent="0.3">
      <c r="A542" t="s">
        <v>1132</v>
      </c>
      <c r="B542" s="1">
        <v>41741</v>
      </c>
      <c r="C542" s="1">
        <v>41748</v>
      </c>
      <c r="D542" t="s">
        <v>1133</v>
      </c>
      <c r="E542" t="s">
        <v>763</v>
      </c>
      <c r="F542" t="s">
        <v>31</v>
      </c>
      <c r="G542" t="s">
        <v>1134</v>
      </c>
      <c r="H542">
        <v>41.86</v>
      </c>
      <c r="I542">
        <v>7</v>
      </c>
      <c r="J542">
        <v>14.2324</v>
      </c>
      <c r="K542">
        <v>2014</v>
      </c>
      <c r="L542">
        <v>4</v>
      </c>
      <c r="M542" t="s">
        <v>236</v>
      </c>
      <c r="N542">
        <v>12</v>
      </c>
      <c r="O542">
        <v>7</v>
      </c>
      <c r="P542">
        <v>34</v>
      </c>
      <c r="Q542">
        <v>5.98</v>
      </c>
      <c r="R542" t="s">
        <v>26</v>
      </c>
      <c r="S542" t="b">
        <v>0</v>
      </c>
      <c r="T542" t="b">
        <v>0</v>
      </c>
    </row>
    <row r="543" spans="1:20" x14ac:dyDescent="0.3">
      <c r="A543" t="s">
        <v>1135</v>
      </c>
      <c r="B543" s="1">
        <v>40987</v>
      </c>
      <c r="C543" s="1">
        <v>40991</v>
      </c>
      <c r="D543" t="s">
        <v>1136</v>
      </c>
      <c r="E543" t="s">
        <v>1137</v>
      </c>
      <c r="F543" t="s">
        <v>33</v>
      </c>
      <c r="G543" t="s">
        <v>1138</v>
      </c>
      <c r="H543">
        <v>17.568000000000001</v>
      </c>
      <c r="I543">
        <v>2</v>
      </c>
      <c r="J543">
        <v>6.3684000000000003</v>
      </c>
      <c r="K543">
        <v>2012</v>
      </c>
      <c r="L543">
        <v>3</v>
      </c>
      <c r="M543" t="s">
        <v>135</v>
      </c>
      <c r="N543">
        <v>19</v>
      </c>
      <c r="O543">
        <v>4</v>
      </c>
      <c r="P543">
        <v>36.25</v>
      </c>
      <c r="Q543">
        <v>8.7840000000000007</v>
      </c>
      <c r="R543" t="s">
        <v>26</v>
      </c>
      <c r="S543" t="b">
        <v>0</v>
      </c>
      <c r="T543" t="b">
        <v>0</v>
      </c>
    </row>
    <row r="544" spans="1:20" x14ac:dyDescent="0.3">
      <c r="A544" t="s">
        <v>1135</v>
      </c>
      <c r="B544" s="1">
        <v>40987</v>
      </c>
      <c r="C544" s="1">
        <v>40991</v>
      </c>
      <c r="D544" t="s">
        <v>1136</v>
      </c>
      <c r="E544" t="s">
        <v>1137</v>
      </c>
      <c r="F544" t="s">
        <v>23</v>
      </c>
      <c r="G544" t="s">
        <v>24</v>
      </c>
      <c r="H544">
        <v>14.62</v>
      </c>
      <c r="I544">
        <v>2</v>
      </c>
      <c r="J544">
        <v>6.8714000000000004</v>
      </c>
      <c r="K544">
        <v>2012</v>
      </c>
      <c r="L544">
        <v>3</v>
      </c>
      <c r="M544" t="s">
        <v>135</v>
      </c>
      <c r="N544">
        <v>19</v>
      </c>
      <c r="O544">
        <v>4</v>
      </c>
      <c r="P544">
        <v>47</v>
      </c>
      <c r="Q544">
        <v>7.31</v>
      </c>
      <c r="R544" t="s">
        <v>26</v>
      </c>
      <c r="S544" t="b">
        <v>0</v>
      </c>
      <c r="T544" t="b">
        <v>0</v>
      </c>
    </row>
    <row r="545" spans="1:20" x14ac:dyDescent="0.3">
      <c r="A545" t="s">
        <v>1135</v>
      </c>
      <c r="B545" s="1">
        <v>40987</v>
      </c>
      <c r="C545" s="1">
        <v>40991</v>
      </c>
      <c r="D545" t="s">
        <v>1136</v>
      </c>
      <c r="E545" t="s">
        <v>1137</v>
      </c>
      <c r="F545" t="s">
        <v>122</v>
      </c>
      <c r="G545" t="s">
        <v>1139</v>
      </c>
      <c r="H545">
        <v>33.36</v>
      </c>
      <c r="I545">
        <v>4</v>
      </c>
      <c r="J545">
        <v>8.6736000000000004</v>
      </c>
      <c r="K545">
        <v>2012</v>
      </c>
      <c r="L545">
        <v>3</v>
      </c>
      <c r="M545" t="s">
        <v>135</v>
      </c>
      <c r="N545">
        <v>19</v>
      </c>
      <c r="O545">
        <v>4</v>
      </c>
      <c r="P545">
        <v>26</v>
      </c>
      <c r="Q545">
        <v>8.34</v>
      </c>
      <c r="R545" t="s">
        <v>26</v>
      </c>
      <c r="S545" t="b">
        <v>0</v>
      </c>
      <c r="T545" t="b">
        <v>0</v>
      </c>
    </row>
    <row r="546" spans="1:20" x14ac:dyDescent="0.3">
      <c r="A546" t="s">
        <v>1135</v>
      </c>
      <c r="B546" s="1">
        <v>40987</v>
      </c>
      <c r="C546" s="1">
        <v>40991</v>
      </c>
      <c r="D546" t="s">
        <v>1136</v>
      </c>
      <c r="E546" t="s">
        <v>1137</v>
      </c>
      <c r="F546" t="s">
        <v>72</v>
      </c>
      <c r="G546" t="s">
        <v>1140</v>
      </c>
      <c r="H546">
        <v>40.14</v>
      </c>
      <c r="I546">
        <v>6</v>
      </c>
      <c r="J546">
        <v>19.668600000000001</v>
      </c>
      <c r="K546">
        <v>2012</v>
      </c>
      <c r="L546">
        <v>3</v>
      </c>
      <c r="M546" t="s">
        <v>135</v>
      </c>
      <c r="N546">
        <v>19</v>
      </c>
      <c r="O546">
        <v>4</v>
      </c>
      <c r="P546">
        <v>49</v>
      </c>
      <c r="Q546">
        <v>6.69</v>
      </c>
      <c r="R546" t="s">
        <v>26</v>
      </c>
      <c r="S546" t="b">
        <v>0</v>
      </c>
      <c r="T546" t="b">
        <v>0</v>
      </c>
    </row>
    <row r="547" spans="1:20" x14ac:dyDescent="0.3">
      <c r="A547" t="s">
        <v>1141</v>
      </c>
      <c r="B547" s="1">
        <v>41872</v>
      </c>
      <c r="C547" s="1">
        <v>41874</v>
      </c>
      <c r="D547" t="s">
        <v>1142</v>
      </c>
      <c r="E547" t="s">
        <v>737</v>
      </c>
      <c r="F547" t="s">
        <v>33</v>
      </c>
      <c r="G547" t="s">
        <v>1143</v>
      </c>
      <c r="H547">
        <v>239.12</v>
      </c>
      <c r="I547">
        <v>5</v>
      </c>
      <c r="J547">
        <v>77.713999999999999</v>
      </c>
      <c r="K547">
        <v>2014</v>
      </c>
      <c r="L547">
        <v>8</v>
      </c>
      <c r="M547" t="s">
        <v>53</v>
      </c>
      <c r="N547">
        <v>21</v>
      </c>
      <c r="O547">
        <v>2</v>
      </c>
      <c r="P547">
        <v>32.5</v>
      </c>
      <c r="Q547">
        <v>47.823999999999998</v>
      </c>
      <c r="R547" t="s">
        <v>26</v>
      </c>
      <c r="S547" t="b">
        <v>0</v>
      </c>
      <c r="T547" t="b">
        <v>1</v>
      </c>
    </row>
    <row r="548" spans="1:20" x14ac:dyDescent="0.3">
      <c r="A548" t="s">
        <v>1144</v>
      </c>
      <c r="B548" s="1">
        <v>40981</v>
      </c>
      <c r="C548" s="1">
        <v>40983</v>
      </c>
      <c r="D548" t="s">
        <v>1145</v>
      </c>
      <c r="E548" t="s">
        <v>39</v>
      </c>
      <c r="F548" t="s">
        <v>317</v>
      </c>
      <c r="G548" t="s">
        <v>1146</v>
      </c>
      <c r="H548">
        <v>141.96</v>
      </c>
      <c r="I548">
        <v>2</v>
      </c>
      <c r="J548">
        <v>39.748800000000003</v>
      </c>
      <c r="K548">
        <v>2012</v>
      </c>
      <c r="L548">
        <v>3</v>
      </c>
      <c r="M548" t="s">
        <v>135</v>
      </c>
      <c r="N548">
        <v>13</v>
      </c>
      <c r="O548">
        <v>2</v>
      </c>
      <c r="P548">
        <v>28</v>
      </c>
      <c r="Q548">
        <v>70.98</v>
      </c>
      <c r="R548" t="s">
        <v>26</v>
      </c>
      <c r="S548" t="b">
        <v>0</v>
      </c>
      <c r="T548" t="b">
        <v>0</v>
      </c>
    </row>
    <row r="549" spans="1:20" x14ac:dyDescent="0.3">
      <c r="A549" t="s">
        <v>1147</v>
      </c>
      <c r="B549" s="1">
        <v>41526</v>
      </c>
      <c r="C549" s="1">
        <v>41528</v>
      </c>
      <c r="D549" t="s">
        <v>1104</v>
      </c>
      <c r="E549" t="s">
        <v>498</v>
      </c>
      <c r="F549" t="s">
        <v>33</v>
      </c>
      <c r="G549" t="s">
        <v>264</v>
      </c>
      <c r="H549">
        <v>33.024000000000001</v>
      </c>
      <c r="I549">
        <v>2</v>
      </c>
      <c r="J549">
        <v>11.558400000000001</v>
      </c>
      <c r="K549">
        <v>2013</v>
      </c>
      <c r="L549">
        <v>9</v>
      </c>
      <c r="M549" t="s">
        <v>87</v>
      </c>
      <c r="N549">
        <v>9</v>
      </c>
      <c r="O549">
        <v>2</v>
      </c>
      <c r="P549">
        <v>35</v>
      </c>
      <c r="Q549">
        <v>16.512</v>
      </c>
      <c r="R549" t="s">
        <v>26</v>
      </c>
      <c r="S549" t="b">
        <v>0</v>
      </c>
      <c r="T549" t="b">
        <v>0</v>
      </c>
    </row>
    <row r="550" spans="1:20" x14ac:dyDescent="0.3">
      <c r="A550" t="s">
        <v>1147</v>
      </c>
      <c r="B550" s="1">
        <v>41526</v>
      </c>
      <c r="C550" s="1">
        <v>41528</v>
      </c>
      <c r="D550" t="s">
        <v>1104</v>
      </c>
      <c r="E550" t="s">
        <v>498</v>
      </c>
      <c r="F550" t="s">
        <v>33</v>
      </c>
      <c r="G550" t="s">
        <v>434</v>
      </c>
      <c r="H550">
        <v>67.135999999999996</v>
      </c>
      <c r="I550">
        <v>4</v>
      </c>
      <c r="J550">
        <v>23.497599999999998</v>
      </c>
      <c r="K550">
        <v>2013</v>
      </c>
      <c r="L550">
        <v>9</v>
      </c>
      <c r="M550" t="s">
        <v>87</v>
      </c>
      <c r="N550">
        <v>9</v>
      </c>
      <c r="O550">
        <v>2</v>
      </c>
      <c r="P550">
        <v>35</v>
      </c>
      <c r="Q550">
        <v>16.783999999999999</v>
      </c>
      <c r="R550" t="s">
        <v>26</v>
      </c>
      <c r="S550" t="b">
        <v>0</v>
      </c>
      <c r="T550" t="b">
        <v>0</v>
      </c>
    </row>
    <row r="551" spans="1:20" x14ac:dyDescent="0.3">
      <c r="A551" t="s">
        <v>1148</v>
      </c>
      <c r="B551" s="1">
        <v>40931</v>
      </c>
      <c r="C551" s="1">
        <v>40935</v>
      </c>
      <c r="D551" t="s">
        <v>1149</v>
      </c>
      <c r="E551" t="s">
        <v>1150</v>
      </c>
      <c r="F551" t="s">
        <v>72</v>
      </c>
      <c r="G551" t="s">
        <v>277</v>
      </c>
      <c r="H551">
        <v>29.04</v>
      </c>
      <c r="I551">
        <v>3</v>
      </c>
      <c r="J551">
        <v>13.9392</v>
      </c>
      <c r="K551">
        <v>2012</v>
      </c>
      <c r="L551">
        <v>1</v>
      </c>
      <c r="M551" t="s">
        <v>60</v>
      </c>
      <c r="N551">
        <v>23</v>
      </c>
      <c r="O551">
        <v>4</v>
      </c>
      <c r="P551">
        <v>48</v>
      </c>
      <c r="Q551">
        <v>9.68</v>
      </c>
      <c r="R551" t="s">
        <v>26</v>
      </c>
      <c r="S551" t="b">
        <v>0</v>
      </c>
      <c r="T551" t="b">
        <v>0</v>
      </c>
    </row>
    <row r="552" spans="1:20" x14ac:dyDescent="0.3">
      <c r="A552" t="s">
        <v>1148</v>
      </c>
      <c r="B552" s="1">
        <v>40931</v>
      </c>
      <c r="C552" s="1">
        <v>40935</v>
      </c>
      <c r="D552" t="s">
        <v>1149</v>
      </c>
      <c r="E552" t="s">
        <v>1150</v>
      </c>
      <c r="F552" t="s">
        <v>23</v>
      </c>
      <c r="G552" t="s">
        <v>1000</v>
      </c>
      <c r="H552">
        <v>14.62</v>
      </c>
      <c r="I552">
        <v>2</v>
      </c>
      <c r="J552">
        <v>6.8714000000000004</v>
      </c>
      <c r="K552">
        <v>2012</v>
      </c>
      <c r="L552">
        <v>1</v>
      </c>
      <c r="M552" t="s">
        <v>60</v>
      </c>
      <c r="N552">
        <v>23</v>
      </c>
      <c r="O552">
        <v>4</v>
      </c>
      <c r="P552">
        <v>47</v>
      </c>
      <c r="Q552">
        <v>7.31</v>
      </c>
      <c r="R552" t="s">
        <v>26</v>
      </c>
      <c r="S552" t="b">
        <v>0</v>
      </c>
      <c r="T552" t="b">
        <v>0</v>
      </c>
    </row>
    <row r="553" spans="1:20" x14ac:dyDescent="0.3">
      <c r="A553" t="s">
        <v>1151</v>
      </c>
      <c r="B553" s="1">
        <v>41078</v>
      </c>
      <c r="C553" s="1">
        <v>41083</v>
      </c>
      <c r="D553" t="s">
        <v>647</v>
      </c>
      <c r="E553" t="s">
        <v>1152</v>
      </c>
      <c r="F553" t="s">
        <v>72</v>
      </c>
      <c r="G553" t="s">
        <v>1153</v>
      </c>
      <c r="H553">
        <v>11.952</v>
      </c>
      <c r="I553">
        <v>3</v>
      </c>
      <c r="J553">
        <v>4.3326000000000002</v>
      </c>
      <c r="K553">
        <v>2012</v>
      </c>
      <c r="L553">
        <v>6</v>
      </c>
      <c r="M553" t="s">
        <v>25</v>
      </c>
      <c r="N553">
        <v>18</v>
      </c>
      <c r="O553">
        <v>5</v>
      </c>
      <c r="P553">
        <v>36.25</v>
      </c>
      <c r="Q553">
        <v>3.984</v>
      </c>
      <c r="R553" t="s">
        <v>26</v>
      </c>
      <c r="S553" t="b">
        <v>0</v>
      </c>
      <c r="T553" t="b">
        <v>0</v>
      </c>
    </row>
    <row r="554" spans="1:20" x14ac:dyDescent="0.3">
      <c r="A554" t="s">
        <v>1151</v>
      </c>
      <c r="B554" s="1">
        <v>41078</v>
      </c>
      <c r="C554" s="1">
        <v>41083</v>
      </c>
      <c r="D554" t="s">
        <v>647</v>
      </c>
      <c r="E554" t="s">
        <v>1152</v>
      </c>
      <c r="F554" t="s">
        <v>33</v>
      </c>
      <c r="G554" t="s">
        <v>713</v>
      </c>
      <c r="H554">
        <v>4.5359999999999996</v>
      </c>
      <c r="I554">
        <v>7</v>
      </c>
      <c r="J554">
        <v>-3.3264</v>
      </c>
      <c r="K554">
        <v>2012</v>
      </c>
      <c r="L554">
        <v>6</v>
      </c>
      <c r="M554" t="s">
        <v>25</v>
      </c>
      <c r="N554">
        <v>18</v>
      </c>
      <c r="O554">
        <v>5</v>
      </c>
      <c r="P554">
        <v>-73.33</v>
      </c>
      <c r="Q554">
        <v>0.64799999999999991</v>
      </c>
      <c r="R554" t="s">
        <v>26</v>
      </c>
      <c r="S554" t="b">
        <v>1</v>
      </c>
      <c r="T554" t="b">
        <v>0</v>
      </c>
    </row>
    <row r="555" spans="1:20" x14ac:dyDescent="0.3">
      <c r="A555" t="s">
        <v>1151</v>
      </c>
      <c r="B555" s="1">
        <v>41078</v>
      </c>
      <c r="C555" s="1">
        <v>41083</v>
      </c>
      <c r="D555" t="s">
        <v>647</v>
      </c>
      <c r="E555" t="s">
        <v>1152</v>
      </c>
      <c r="F555" t="s">
        <v>33</v>
      </c>
      <c r="G555" t="s">
        <v>637</v>
      </c>
      <c r="H555">
        <v>9.1560000000000006</v>
      </c>
      <c r="I555">
        <v>2</v>
      </c>
      <c r="J555">
        <v>-6.1040000000000001</v>
      </c>
      <c r="K555">
        <v>2012</v>
      </c>
      <c r="L555">
        <v>6</v>
      </c>
      <c r="M555" t="s">
        <v>25</v>
      </c>
      <c r="N555">
        <v>18</v>
      </c>
      <c r="O555">
        <v>5</v>
      </c>
      <c r="P555">
        <v>-66.67</v>
      </c>
      <c r="Q555">
        <v>4.5780000000000003</v>
      </c>
      <c r="R555" t="s">
        <v>26</v>
      </c>
      <c r="S555" t="b">
        <v>1</v>
      </c>
      <c r="T555" t="b">
        <v>0</v>
      </c>
    </row>
    <row r="556" spans="1:20" x14ac:dyDescent="0.3">
      <c r="A556" t="s">
        <v>1151</v>
      </c>
      <c r="B556" s="1">
        <v>41078</v>
      </c>
      <c r="C556" s="1">
        <v>41083</v>
      </c>
      <c r="D556" t="s">
        <v>647</v>
      </c>
      <c r="E556" t="s">
        <v>1152</v>
      </c>
      <c r="F556" t="s">
        <v>29</v>
      </c>
      <c r="G556" t="s">
        <v>1154</v>
      </c>
      <c r="H556">
        <v>75.36</v>
      </c>
      <c r="I556">
        <v>5</v>
      </c>
      <c r="J556">
        <v>20.724</v>
      </c>
      <c r="K556">
        <v>2012</v>
      </c>
      <c r="L556">
        <v>6</v>
      </c>
      <c r="M556" t="s">
        <v>25</v>
      </c>
      <c r="N556">
        <v>18</v>
      </c>
      <c r="O556">
        <v>5</v>
      </c>
      <c r="P556">
        <v>27.5</v>
      </c>
      <c r="Q556">
        <v>15.071999999999999</v>
      </c>
      <c r="R556" t="s">
        <v>26</v>
      </c>
      <c r="S556" t="b">
        <v>0</v>
      </c>
      <c r="T556" t="b">
        <v>0</v>
      </c>
    </row>
    <row r="557" spans="1:20" x14ac:dyDescent="0.3">
      <c r="A557" t="s">
        <v>1155</v>
      </c>
      <c r="B557" s="1">
        <v>41184</v>
      </c>
      <c r="C557" s="1">
        <v>41190</v>
      </c>
      <c r="D557" t="s">
        <v>1156</v>
      </c>
      <c r="E557" t="s">
        <v>194</v>
      </c>
      <c r="F557" t="s">
        <v>33</v>
      </c>
      <c r="G557" t="s">
        <v>1157</v>
      </c>
      <c r="H557">
        <v>57.503999999999998</v>
      </c>
      <c r="I557">
        <v>6</v>
      </c>
      <c r="J557">
        <v>20.1264</v>
      </c>
      <c r="K557">
        <v>2012</v>
      </c>
      <c r="L557">
        <v>10</v>
      </c>
      <c r="M557" t="s">
        <v>82</v>
      </c>
      <c r="N557">
        <v>2</v>
      </c>
      <c r="O557">
        <v>6</v>
      </c>
      <c r="P557">
        <v>35</v>
      </c>
      <c r="Q557">
        <v>9.5839999999999996</v>
      </c>
      <c r="R557" t="s">
        <v>26</v>
      </c>
      <c r="S557" t="b">
        <v>0</v>
      </c>
      <c r="T557" t="b">
        <v>0</v>
      </c>
    </row>
    <row r="558" spans="1:20" x14ac:dyDescent="0.3">
      <c r="A558" t="s">
        <v>1158</v>
      </c>
      <c r="B558" s="1">
        <v>40847</v>
      </c>
      <c r="C558" s="1">
        <v>40851</v>
      </c>
      <c r="D558" t="s">
        <v>688</v>
      </c>
      <c r="E558" t="s">
        <v>22</v>
      </c>
      <c r="F558" t="s">
        <v>119</v>
      </c>
      <c r="G558" t="s">
        <v>155</v>
      </c>
      <c r="H558">
        <v>11.34</v>
      </c>
      <c r="I558">
        <v>3</v>
      </c>
      <c r="J558">
        <v>5.2164000000000001</v>
      </c>
      <c r="K558">
        <v>2011</v>
      </c>
      <c r="L558">
        <v>10</v>
      </c>
      <c r="M558" t="s">
        <v>82</v>
      </c>
      <c r="N558">
        <v>31</v>
      </c>
      <c r="O558">
        <v>4</v>
      </c>
      <c r="P558">
        <v>46</v>
      </c>
      <c r="Q558">
        <v>3.78</v>
      </c>
      <c r="R558" t="s">
        <v>26</v>
      </c>
      <c r="S558" t="b">
        <v>0</v>
      </c>
      <c r="T558" t="b">
        <v>0</v>
      </c>
    </row>
    <row r="559" spans="1:20" x14ac:dyDescent="0.3">
      <c r="A559" t="s">
        <v>1158</v>
      </c>
      <c r="B559" s="1">
        <v>40847</v>
      </c>
      <c r="C559" s="1">
        <v>40851</v>
      </c>
      <c r="D559" t="s">
        <v>688</v>
      </c>
      <c r="E559" t="s">
        <v>22</v>
      </c>
      <c r="F559" t="s">
        <v>45</v>
      </c>
      <c r="G559" t="s">
        <v>1159</v>
      </c>
      <c r="H559">
        <v>80.3</v>
      </c>
      <c r="I559">
        <v>5</v>
      </c>
      <c r="J559">
        <v>20.878</v>
      </c>
      <c r="K559">
        <v>2011</v>
      </c>
      <c r="L559">
        <v>10</v>
      </c>
      <c r="M559" t="s">
        <v>82</v>
      </c>
      <c r="N559">
        <v>31</v>
      </c>
      <c r="O559">
        <v>4</v>
      </c>
      <c r="P559">
        <v>26</v>
      </c>
      <c r="Q559">
        <v>16.059999999999999</v>
      </c>
      <c r="R559" t="s">
        <v>26</v>
      </c>
      <c r="S559" t="b">
        <v>0</v>
      </c>
      <c r="T559" t="b">
        <v>0</v>
      </c>
    </row>
    <row r="560" spans="1:20" x14ac:dyDescent="0.3">
      <c r="A560" t="s">
        <v>1158</v>
      </c>
      <c r="B560" s="1">
        <v>40847</v>
      </c>
      <c r="C560" s="1">
        <v>40851</v>
      </c>
      <c r="D560" t="s">
        <v>688</v>
      </c>
      <c r="E560" t="s">
        <v>22</v>
      </c>
      <c r="F560" t="s">
        <v>33</v>
      </c>
      <c r="G560" t="s">
        <v>1160</v>
      </c>
      <c r="H560">
        <v>15.968</v>
      </c>
      <c r="I560">
        <v>2</v>
      </c>
      <c r="J560">
        <v>5.3891999999999998</v>
      </c>
      <c r="K560">
        <v>2011</v>
      </c>
      <c r="L560">
        <v>10</v>
      </c>
      <c r="M560" t="s">
        <v>82</v>
      </c>
      <c r="N560">
        <v>31</v>
      </c>
      <c r="O560">
        <v>4</v>
      </c>
      <c r="P560">
        <v>33.75</v>
      </c>
      <c r="Q560">
        <v>7.984</v>
      </c>
      <c r="R560" t="s">
        <v>26</v>
      </c>
      <c r="S560" t="b">
        <v>0</v>
      </c>
      <c r="T560" t="b">
        <v>0</v>
      </c>
    </row>
    <row r="561" spans="1:20" x14ac:dyDescent="0.3">
      <c r="A561" t="s">
        <v>1158</v>
      </c>
      <c r="B561" s="1">
        <v>40847</v>
      </c>
      <c r="C561" s="1">
        <v>40851</v>
      </c>
      <c r="D561" t="s">
        <v>688</v>
      </c>
      <c r="E561" t="s">
        <v>22</v>
      </c>
      <c r="F561" t="s">
        <v>72</v>
      </c>
      <c r="G561" t="s">
        <v>1161</v>
      </c>
      <c r="H561">
        <v>64.739999999999995</v>
      </c>
      <c r="I561">
        <v>13</v>
      </c>
      <c r="J561">
        <v>30.427800000000001</v>
      </c>
      <c r="K561">
        <v>2011</v>
      </c>
      <c r="L561">
        <v>10</v>
      </c>
      <c r="M561" t="s">
        <v>82</v>
      </c>
      <c r="N561">
        <v>31</v>
      </c>
      <c r="O561">
        <v>4</v>
      </c>
      <c r="P561">
        <v>47</v>
      </c>
      <c r="Q561">
        <v>4.9800000000000004</v>
      </c>
      <c r="R561" t="s">
        <v>26</v>
      </c>
      <c r="S561" t="b">
        <v>0</v>
      </c>
      <c r="T561" t="b">
        <v>0</v>
      </c>
    </row>
    <row r="562" spans="1:20" x14ac:dyDescent="0.3">
      <c r="A562" t="s">
        <v>1158</v>
      </c>
      <c r="B562" s="1">
        <v>40847</v>
      </c>
      <c r="C562" s="1">
        <v>40851</v>
      </c>
      <c r="D562" t="s">
        <v>688</v>
      </c>
      <c r="E562" t="s">
        <v>22</v>
      </c>
      <c r="F562" t="s">
        <v>33</v>
      </c>
      <c r="G562" t="s">
        <v>1162</v>
      </c>
      <c r="H562">
        <v>19.295999999999999</v>
      </c>
      <c r="I562">
        <v>3</v>
      </c>
      <c r="J562">
        <v>6.03</v>
      </c>
      <c r="K562">
        <v>2011</v>
      </c>
      <c r="L562">
        <v>10</v>
      </c>
      <c r="M562" t="s">
        <v>82</v>
      </c>
      <c r="N562">
        <v>31</v>
      </c>
      <c r="O562">
        <v>4</v>
      </c>
      <c r="P562">
        <v>31.25</v>
      </c>
      <c r="Q562">
        <v>6.4319999999999986</v>
      </c>
      <c r="R562" t="s">
        <v>26</v>
      </c>
      <c r="S562" t="b">
        <v>0</v>
      </c>
      <c r="T562" t="b">
        <v>0</v>
      </c>
    </row>
    <row r="563" spans="1:20" x14ac:dyDescent="0.3">
      <c r="A563" t="s">
        <v>1158</v>
      </c>
      <c r="B563" s="1">
        <v>40847</v>
      </c>
      <c r="C563" s="1">
        <v>40851</v>
      </c>
      <c r="D563" t="s">
        <v>688</v>
      </c>
      <c r="E563" t="s">
        <v>22</v>
      </c>
      <c r="F563" t="s">
        <v>45</v>
      </c>
      <c r="G563" t="s">
        <v>429</v>
      </c>
      <c r="H563">
        <v>405.64</v>
      </c>
      <c r="I563">
        <v>4</v>
      </c>
      <c r="J563">
        <v>12.1692</v>
      </c>
      <c r="K563">
        <v>2011</v>
      </c>
      <c r="L563">
        <v>10</v>
      </c>
      <c r="M563" t="s">
        <v>82</v>
      </c>
      <c r="N563">
        <v>31</v>
      </c>
      <c r="O563">
        <v>4</v>
      </c>
      <c r="P563">
        <v>3</v>
      </c>
      <c r="Q563">
        <v>101.41</v>
      </c>
      <c r="R563" t="s">
        <v>26</v>
      </c>
      <c r="S563" t="b">
        <v>0</v>
      </c>
      <c r="T563" t="b">
        <v>1</v>
      </c>
    </row>
    <row r="564" spans="1:20" x14ac:dyDescent="0.3">
      <c r="A564" t="s">
        <v>1158</v>
      </c>
      <c r="B564" s="1">
        <v>40847</v>
      </c>
      <c r="C564" s="1">
        <v>40851</v>
      </c>
      <c r="D564" t="s">
        <v>688</v>
      </c>
      <c r="E564" t="s">
        <v>22</v>
      </c>
      <c r="F564" t="s">
        <v>110</v>
      </c>
      <c r="G564" t="s">
        <v>1163</v>
      </c>
      <c r="H564">
        <v>146.352</v>
      </c>
      <c r="I564">
        <v>3</v>
      </c>
      <c r="J564">
        <v>-9.1470000000000002</v>
      </c>
      <c r="K564">
        <v>2011</v>
      </c>
      <c r="L564">
        <v>10</v>
      </c>
      <c r="M564" t="s">
        <v>82</v>
      </c>
      <c r="N564">
        <v>31</v>
      </c>
      <c r="O564">
        <v>4</v>
      </c>
      <c r="P564">
        <v>-6.25</v>
      </c>
      <c r="Q564">
        <v>48.783999999999999</v>
      </c>
      <c r="R564" t="s">
        <v>26</v>
      </c>
      <c r="S564" t="b">
        <v>1</v>
      </c>
      <c r="T564" t="b">
        <v>0</v>
      </c>
    </row>
    <row r="565" spans="1:20" x14ac:dyDescent="0.3">
      <c r="A565" t="s">
        <v>1158</v>
      </c>
      <c r="B565" s="1">
        <v>40847</v>
      </c>
      <c r="C565" s="1">
        <v>40851</v>
      </c>
      <c r="D565" t="s">
        <v>688</v>
      </c>
      <c r="E565" t="s">
        <v>22</v>
      </c>
      <c r="F565" t="s">
        <v>61</v>
      </c>
      <c r="G565" t="s">
        <v>1164</v>
      </c>
      <c r="H565">
        <v>251.91</v>
      </c>
      <c r="I565">
        <v>9</v>
      </c>
      <c r="J565">
        <v>47.862900000000003</v>
      </c>
      <c r="K565">
        <v>2011</v>
      </c>
      <c r="L565">
        <v>10</v>
      </c>
      <c r="M565" t="s">
        <v>82</v>
      </c>
      <c r="N565">
        <v>31</v>
      </c>
      <c r="O565">
        <v>4</v>
      </c>
      <c r="P565">
        <v>19</v>
      </c>
      <c r="Q565">
        <v>27.99</v>
      </c>
      <c r="R565" t="s">
        <v>26</v>
      </c>
      <c r="S565" t="b">
        <v>0</v>
      </c>
      <c r="T565" t="b">
        <v>1</v>
      </c>
    </row>
    <row r="566" spans="1:20" x14ac:dyDescent="0.3">
      <c r="A566" t="s">
        <v>1158</v>
      </c>
      <c r="B566" s="1">
        <v>40847</v>
      </c>
      <c r="C566" s="1">
        <v>40851</v>
      </c>
      <c r="D566" t="s">
        <v>688</v>
      </c>
      <c r="E566" t="s">
        <v>22</v>
      </c>
      <c r="F566" t="s">
        <v>31</v>
      </c>
      <c r="G566" t="s">
        <v>1165</v>
      </c>
      <c r="H566">
        <v>12.39</v>
      </c>
      <c r="I566">
        <v>3</v>
      </c>
      <c r="J566">
        <v>3.7170000000000001</v>
      </c>
      <c r="K566">
        <v>2011</v>
      </c>
      <c r="L566">
        <v>10</v>
      </c>
      <c r="M566" t="s">
        <v>82</v>
      </c>
      <c r="N566">
        <v>31</v>
      </c>
      <c r="O566">
        <v>4</v>
      </c>
      <c r="P566">
        <v>30</v>
      </c>
      <c r="Q566">
        <v>4.13</v>
      </c>
      <c r="R566" t="s">
        <v>26</v>
      </c>
      <c r="S566" t="b">
        <v>0</v>
      </c>
      <c r="T566" t="b">
        <v>0</v>
      </c>
    </row>
    <row r="567" spans="1:20" x14ac:dyDescent="0.3">
      <c r="A567" t="s">
        <v>1166</v>
      </c>
      <c r="B567" s="1">
        <v>41012</v>
      </c>
      <c r="C567" s="1">
        <v>41018</v>
      </c>
      <c r="D567" t="s">
        <v>411</v>
      </c>
      <c r="E567" t="s">
        <v>884</v>
      </c>
      <c r="F567" t="s">
        <v>61</v>
      </c>
      <c r="G567" t="s">
        <v>1167</v>
      </c>
      <c r="H567">
        <v>199.96</v>
      </c>
      <c r="I567">
        <v>4</v>
      </c>
      <c r="J567">
        <v>69.986000000000004</v>
      </c>
      <c r="K567">
        <v>2012</v>
      </c>
      <c r="L567">
        <v>4</v>
      </c>
      <c r="M567" t="s">
        <v>236</v>
      </c>
      <c r="N567">
        <v>13</v>
      </c>
      <c r="O567">
        <v>6</v>
      </c>
      <c r="P567">
        <v>35</v>
      </c>
      <c r="Q567">
        <v>49.99</v>
      </c>
      <c r="R567" t="s">
        <v>26</v>
      </c>
      <c r="S567" t="b">
        <v>0</v>
      </c>
      <c r="T567" t="b">
        <v>0</v>
      </c>
    </row>
    <row r="568" spans="1:20" x14ac:dyDescent="0.3">
      <c r="A568" t="s">
        <v>1168</v>
      </c>
      <c r="B568" s="1">
        <v>41964</v>
      </c>
      <c r="C568" s="1">
        <v>41969</v>
      </c>
      <c r="D568" t="s">
        <v>1169</v>
      </c>
      <c r="E568" t="s">
        <v>1170</v>
      </c>
      <c r="F568" t="s">
        <v>110</v>
      </c>
      <c r="G568" t="s">
        <v>280</v>
      </c>
      <c r="H568">
        <v>283.92</v>
      </c>
      <c r="I568">
        <v>5</v>
      </c>
      <c r="J568">
        <v>-46.137</v>
      </c>
      <c r="K568">
        <v>2014</v>
      </c>
      <c r="L568">
        <v>11</v>
      </c>
      <c r="M568" t="s">
        <v>70</v>
      </c>
      <c r="N568">
        <v>21</v>
      </c>
      <c r="O568">
        <v>5</v>
      </c>
      <c r="P568">
        <v>-16.25</v>
      </c>
      <c r="Q568">
        <v>56.784000000000013</v>
      </c>
      <c r="R568" t="s">
        <v>26</v>
      </c>
      <c r="S568" t="b">
        <v>1</v>
      </c>
      <c r="T568" t="b">
        <v>1</v>
      </c>
    </row>
    <row r="569" spans="1:20" x14ac:dyDescent="0.3">
      <c r="A569" t="s">
        <v>1171</v>
      </c>
      <c r="B569" s="1">
        <v>41605</v>
      </c>
      <c r="C569" s="1">
        <v>41611</v>
      </c>
      <c r="D569" t="s">
        <v>1172</v>
      </c>
      <c r="E569" t="s">
        <v>39</v>
      </c>
      <c r="F569" t="s">
        <v>33</v>
      </c>
      <c r="G569" t="s">
        <v>1173</v>
      </c>
      <c r="H569">
        <v>7.3120000000000003</v>
      </c>
      <c r="I569">
        <v>2</v>
      </c>
      <c r="J569">
        <v>2.5592000000000001</v>
      </c>
      <c r="K569">
        <v>2013</v>
      </c>
      <c r="L569">
        <v>11</v>
      </c>
      <c r="M569" t="s">
        <v>70</v>
      </c>
      <c r="N569">
        <v>27</v>
      </c>
      <c r="O569">
        <v>6</v>
      </c>
      <c r="P569">
        <v>35</v>
      </c>
      <c r="Q569">
        <v>3.6560000000000001</v>
      </c>
      <c r="R569" t="s">
        <v>48</v>
      </c>
      <c r="S569" t="b">
        <v>0</v>
      </c>
      <c r="T569" t="b">
        <v>0</v>
      </c>
    </row>
    <row r="570" spans="1:20" x14ac:dyDescent="0.3">
      <c r="A570" t="s">
        <v>1174</v>
      </c>
      <c r="B570" s="1">
        <v>41951</v>
      </c>
      <c r="C570" s="1">
        <v>41956</v>
      </c>
      <c r="D570" t="s">
        <v>907</v>
      </c>
      <c r="E570" t="s">
        <v>198</v>
      </c>
      <c r="F570" t="s">
        <v>61</v>
      </c>
      <c r="G570" t="s">
        <v>1175</v>
      </c>
      <c r="H570">
        <v>59.97</v>
      </c>
      <c r="I570">
        <v>3</v>
      </c>
      <c r="J570">
        <v>13.793100000000001</v>
      </c>
      <c r="K570">
        <v>2014</v>
      </c>
      <c r="L570">
        <v>11</v>
      </c>
      <c r="M570" t="s">
        <v>70</v>
      </c>
      <c r="N570">
        <v>8</v>
      </c>
      <c r="O570">
        <v>5</v>
      </c>
      <c r="P570">
        <v>23</v>
      </c>
      <c r="Q570">
        <v>19.989999999999998</v>
      </c>
      <c r="R570" t="s">
        <v>26</v>
      </c>
      <c r="S570" t="b">
        <v>0</v>
      </c>
      <c r="T570" t="b">
        <v>0</v>
      </c>
    </row>
    <row r="571" spans="1:20" x14ac:dyDescent="0.3">
      <c r="A571" t="s">
        <v>1176</v>
      </c>
      <c r="B571" s="1">
        <v>40878</v>
      </c>
      <c r="C571" s="1">
        <v>40882</v>
      </c>
      <c r="D571" t="s">
        <v>1177</v>
      </c>
      <c r="E571" t="s">
        <v>51</v>
      </c>
      <c r="F571" t="s">
        <v>29</v>
      </c>
      <c r="G571" t="s">
        <v>1178</v>
      </c>
      <c r="H571">
        <v>58.2</v>
      </c>
      <c r="I571">
        <v>3</v>
      </c>
      <c r="J571">
        <v>28.518000000000001</v>
      </c>
      <c r="K571">
        <v>2011</v>
      </c>
      <c r="L571">
        <v>12</v>
      </c>
      <c r="M571" t="s">
        <v>41</v>
      </c>
      <c r="N571">
        <v>1</v>
      </c>
      <c r="O571">
        <v>4</v>
      </c>
      <c r="P571">
        <v>49</v>
      </c>
      <c r="Q571">
        <v>19.399999999999999</v>
      </c>
      <c r="R571" t="s">
        <v>26</v>
      </c>
      <c r="S571" t="b">
        <v>0</v>
      </c>
      <c r="T571" t="b">
        <v>0</v>
      </c>
    </row>
    <row r="572" spans="1:20" x14ac:dyDescent="0.3">
      <c r="A572" t="s">
        <v>1179</v>
      </c>
      <c r="B572" s="1">
        <v>41267</v>
      </c>
      <c r="C572" s="1">
        <v>41272</v>
      </c>
      <c r="D572" t="s">
        <v>1180</v>
      </c>
      <c r="E572" t="s">
        <v>105</v>
      </c>
      <c r="F572" t="s">
        <v>72</v>
      </c>
      <c r="G572" t="s">
        <v>1181</v>
      </c>
      <c r="H572">
        <v>106.232</v>
      </c>
      <c r="I572">
        <v>7</v>
      </c>
      <c r="J572">
        <v>37.181199999999997</v>
      </c>
      <c r="K572">
        <v>2012</v>
      </c>
      <c r="L572">
        <v>12</v>
      </c>
      <c r="M572" t="s">
        <v>41</v>
      </c>
      <c r="N572">
        <v>24</v>
      </c>
      <c r="O572">
        <v>5</v>
      </c>
      <c r="P572">
        <v>35</v>
      </c>
      <c r="Q572">
        <v>15.176</v>
      </c>
      <c r="R572" t="s">
        <v>26</v>
      </c>
      <c r="S572" t="b">
        <v>0</v>
      </c>
      <c r="T572" t="b">
        <v>0</v>
      </c>
    </row>
    <row r="573" spans="1:20" x14ac:dyDescent="0.3">
      <c r="A573" t="s">
        <v>1179</v>
      </c>
      <c r="B573" s="1">
        <v>41267</v>
      </c>
      <c r="C573" s="1">
        <v>41272</v>
      </c>
      <c r="D573" t="s">
        <v>1180</v>
      </c>
      <c r="E573" t="s">
        <v>105</v>
      </c>
      <c r="F573" t="s">
        <v>54</v>
      </c>
      <c r="G573" t="s">
        <v>1182</v>
      </c>
      <c r="H573">
        <v>111.98399999999999</v>
      </c>
      <c r="I573">
        <v>2</v>
      </c>
      <c r="J573">
        <v>11.198399999999999</v>
      </c>
      <c r="K573">
        <v>2012</v>
      </c>
      <c r="L573">
        <v>12</v>
      </c>
      <c r="M573" t="s">
        <v>41</v>
      </c>
      <c r="N573">
        <v>24</v>
      </c>
      <c r="O573">
        <v>5</v>
      </c>
      <c r="P573">
        <v>10</v>
      </c>
      <c r="Q573">
        <v>55.991999999999997</v>
      </c>
      <c r="R573" t="s">
        <v>26</v>
      </c>
      <c r="S573" t="b">
        <v>0</v>
      </c>
      <c r="T573" t="b">
        <v>0</v>
      </c>
    </row>
    <row r="574" spans="1:20" x14ac:dyDescent="0.3">
      <c r="A574" t="s">
        <v>1179</v>
      </c>
      <c r="B574" s="1">
        <v>41267</v>
      </c>
      <c r="C574" s="1">
        <v>41272</v>
      </c>
      <c r="D574" t="s">
        <v>1180</v>
      </c>
      <c r="E574" t="s">
        <v>105</v>
      </c>
      <c r="F574" t="s">
        <v>29</v>
      </c>
      <c r="G574" t="s">
        <v>870</v>
      </c>
      <c r="H574">
        <v>7.7119999999999997</v>
      </c>
      <c r="I574">
        <v>2</v>
      </c>
      <c r="J574">
        <v>1.7352000000000001</v>
      </c>
      <c r="K574">
        <v>2012</v>
      </c>
      <c r="L574">
        <v>12</v>
      </c>
      <c r="M574" t="s">
        <v>41</v>
      </c>
      <c r="N574">
        <v>24</v>
      </c>
      <c r="O574">
        <v>5</v>
      </c>
      <c r="P574">
        <v>22.5</v>
      </c>
      <c r="Q574">
        <v>3.8559999999999999</v>
      </c>
      <c r="R574" t="s">
        <v>26</v>
      </c>
      <c r="S574" t="b">
        <v>0</v>
      </c>
      <c r="T574" t="b">
        <v>0</v>
      </c>
    </row>
    <row r="575" spans="1:20" x14ac:dyDescent="0.3">
      <c r="A575" t="s">
        <v>1183</v>
      </c>
      <c r="B575" s="1">
        <v>41694</v>
      </c>
      <c r="C575" s="1">
        <v>41700</v>
      </c>
      <c r="D575" t="s">
        <v>1184</v>
      </c>
      <c r="E575" t="s">
        <v>22</v>
      </c>
      <c r="F575" t="s">
        <v>72</v>
      </c>
      <c r="G575" t="s">
        <v>1185</v>
      </c>
      <c r="H575">
        <v>37.44</v>
      </c>
      <c r="I575">
        <v>6</v>
      </c>
      <c r="J575">
        <v>16.847999999999999</v>
      </c>
      <c r="K575">
        <v>2014</v>
      </c>
      <c r="L575">
        <v>2</v>
      </c>
      <c r="M575" t="s">
        <v>303</v>
      </c>
      <c r="N575">
        <v>24</v>
      </c>
      <c r="O575">
        <v>6</v>
      </c>
      <c r="P575">
        <v>45</v>
      </c>
      <c r="Q575">
        <v>6.2399999999999993</v>
      </c>
      <c r="R575" t="s">
        <v>26</v>
      </c>
      <c r="S575" t="b">
        <v>0</v>
      </c>
      <c r="T575" t="b">
        <v>0</v>
      </c>
    </row>
    <row r="576" spans="1:20" x14ac:dyDescent="0.3">
      <c r="A576" t="s">
        <v>1186</v>
      </c>
      <c r="B576" s="1">
        <v>41208</v>
      </c>
      <c r="C576" s="1">
        <v>41212</v>
      </c>
      <c r="D576" t="s">
        <v>342</v>
      </c>
      <c r="E576" t="s">
        <v>1187</v>
      </c>
      <c r="F576" t="s">
        <v>23</v>
      </c>
      <c r="G576" t="s">
        <v>1188</v>
      </c>
      <c r="H576">
        <v>5.76</v>
      </c>
      <c r="I576">
        <v>2</v>
      </c>
      <c r="J576">
        <v>2.6496</v>
      </c>
      <c r="K576">
        <v>2012</v>
      </c>
      <c r="L576">
        <v>10</v>
      </c>
      <c r="M576" t="s">
        <v>82</v>
      </c>
      <c r="N576">
        <v>26</v>
      </c>
      <c r="O576">
        <v>4</v>
      </c>
      <c r="P576">
        <v>46</v>
      </c>
      <c r="Q576">
        <v>2.88</v>
      </c>
      <c r="R576" t="s">
        <v>26</v>
      </c>
      <c r="S576" t="b">
        <v>0</v>
      </c>
      <c r="T576" t="b">
        <v>0</v>
      </c>
    </row>
    <row r="577" spans="1:20" x14ac:dyDescent="0.3">
      <c r="A577" t="s">
        <v>1189</v>
      </c>
      <c r="B577" s="1">
        <v>41012</v>
      </c>
      <c r="C577" s="1">
        <v>41014</v>
      </c>
      <c r="D577" t="s">
        <v>1190</v>
      </c>
      <c r="E577" t="s">
        <v>565</v>
      </c>
      <c r="F577" t="s">
        <v>122</v>
      </c>
      <c r="G577" t="s">
        <v>403</v>
      </c>
      <c r="H577">
        <v>12.88</v>
      </c>
      <c r="I577">
        <v>1</v>
      </c>
      <c r="J577">
        <v>0.38640000000000002</v>
      </c>
      <c r="K577">
        <v>2012</v>
      </c>
      <c r="L577">
        <v>4</v>
      </c>
      <c r="M577" t="s">
        <v>236</v>
      </c>
      <c r="N577">
        <v>13</v>
      </c>
      <c r="O577">
        <v>2</v>
      </c>
      <c r="P577">
        <v>3</v>
      </c>
      <c r="Q577">
        <v>12.88</v>
      </c>
      <c r="R577" t="s">
        <v>26</v>
      </c>
      <c r="S577" t="b">
        <v>0</v>
      </c>
      <c r="T577" t="b">
        <v>0</v>
      </c>
    </row>
    <row r="578" spans="1:20" x14ac:dyDescent="0.3">
      <c r="A578" t="s">
        <v>1191</v>
      </c>
      <c r="B578" s="1">
        <v>41890</v>
      </c>
      <c r="C578" s="1">
        <v>41895</v>
      </c>
      <c r="D578" t="s">
        <v>153</v>
      </c>
      <c r="E578" t="s">
        <v>92</v>
      </c>
      <c r="F578" t="s">
        <v>45</v>
      </c>
      <c r="G578" t="s">
        <v>1192</v>
      </c>
      <c r="H578">
        <v>37.68</v>
      </c>
      <c r="I578">
        <v>3</v>
      </c>
      <c r="J578">
        <v>2.355</v>
      </c>
      <c r="K578">
        <v>2014</v>
      </c>
      <c r="L578">
        <v>9</v>
      </c>
      <c r="M578" t="s">
        <v>87</v>
      </c>
      <c r="N578">
        <v>8</v>
      </c>
      <c r="O578">
        <v>5</v>
      </c>
      <c r="P578">
        <v>6.25</v>
      </c>
      <c r="Q578">
        <v>12.56</v>
      </c>
      <c r="R578" t="s">
        <v>26</v>
      </c>
      <c r="S578" t="b">
        <v>0</v>
      </c>
      <c r="T578" t="b">
        <v>0</v>
      </c>
    </row>
    <row r="579" spans="1:20" x14ac:dyDescent="0.3">
      <c r="A579" t="s">
        <v>1191</v>
      </c>
      <c r="B579" s="1">
        <v>41890</v>
      </c>
      <c r="C579" s="1">
        <v>41895</v>
      </c>
      <c r="D579" t="s">
        <v>153</v>
      </c>
      <c r="E579" t="s">
        <v>92</v>
      </c>
      <c r="F579" t="s">
        <v>61</v>
      </c>
      <c r="G579" t="s">
        <v>1193</v>
      </c>
      <c r="H579">
        <v>279.94400000000002</v>
      </c>
      <c r="I579">
        <v>7</v>
      </c>
      <c r="J579">
        <v>80.483900000000006</v>
      </c>
      <c r="K579">
        <v>2014</v>
      </c>
      <c r="L579">
        <v>9</v>
      </c>
      <c r="M579" t="s">
        <v>87</v>
      </c>
      <c r="N579">
        <v>8</v>
      </c>
      <c r="O579">
        <v>5</v>
      </c>
      <c r="P579">
        <v>28.75</v>
      </c>
      <c r="Q579">
        <v>39.991999999999997</v>
      </c>
      <c r="R579" t="s">
        <v>26</v>
      </c>
      <c r="S579" t="b">
        <v>0</v>
      </c>
      <c r="T579" t="b">
        <v>1</v>
      </c>
    </row>
    <row r="580" spans="1:20" x14ac:dyDescent="0.3">
      <c r="A580" t="s">
        <v>1194</v>
      </c>
      <c r="B580" s="1">
        <v>40612</v>
      </c>
      <c r="C580" s="1">
        <v>40619</v>
      </c>
      <c r="D580" t="s">
        <v>1195</v>
      </c>
      <c r="E580" t="s">
        <v>173</v>
      </c>
      <c r="F580" t="s">
        <v>31</v>
      </c>
      <c r="G580" t="s">
        <v>1196</v>
      </c>
      <c r="H580">
        <v>83.168000000000006</v>
      </c>
      <c r="I580">
        <v>4</v>
      </c>
      <c r="J580">
        <v>9.3564000000000007</v>
      </c>
      <c r="K580">
        <v>2011</v>
      </c>
      <c r="L580">
        <v>3</v>
      </c>
      <c r="M580" t="s">
        <v>135</v>
      </c>
      <c r="N580">
        <v>10</v>
      </c>
      <c r="O580">
        <v>7</v>
      </c>
      <c r="P580">
        <v>11.25</v>
      </c>
      <c r="Q580">
        <v>20.792000000000002</v>
      </c>
      <c r="R580" t="s">
        <v>26</v>
      </c>
      <c r="S580" t="b">
        <v>0</v>
      </c>
      <c r="T580" t="b">
        <v>0</v>
      </c>
    </row>
    <row r="581" spans="1:20" x14ac:dyDescent="0.3">
      <c r="A581" t="s">
        <v>1197</v>
      </c>
      <c r="B581" s="1">
        <v>40742</v>
      </c>
      <c r="C581" s="1">
        <v>40742</v>
      </c>
      <c r="D581" t="s">
        <v>1198</v>
      </c>
      <c r="E581" t="s">
        <v>257</v>
      </c>
      <c r="F581" t="s">
        <v>110</v>
      </c>
      <c r="G581" t="s">
        <v>1199</v>
      </c>
      <c r="H581">
        <v>259.13600000000002</v>
      </c>
      <c r="I581">
        <v>4</v>
      </c>
      <c r="J581">
        <v>-25.913599999999999</v>
      </c>
      <c r="K581">
        <v>2011</v>
      </c>
      <c r="L581">
        <v>7</v>
      </c>
      <c r="M581" t="s">
        <v>66</v>
      </c>
      <c r="N581">
        <v>18</v>
      </c>
      <c r="O581">
        <v>0</v>
      </c>
      <c r="P581">
        <v>-10</v>
      </c>
      <c r="Q581">
        <v>64.784000000000006</v>
      </c>
      <c r="R581" t="s">
        <v>26</v>
      </c>
      <c r="S581" t="b">
        <v>1</v>
      </c>
      <c r="T581" t="b">
        <v>1</v>
      </c>
    </row>
    <row r="582" spans="1:20" x14ac:dyDescent="0.3">
      <c r="A582" t="s">
        <v>1200</v>
      </c>
      <c r="B582" s="1">
        <v>41213</v>
      </c>
      <c r="C582" s="1">
        <v>41213</v>
      </c>
      <c r="D582" t="s">
        <v>1201</v>
      </c>
      <c r="E582" t="s">
        <v>169</v>
      </c>
      <c r="F582" t="s">
        <v>72</v>
      </c>
      <c r="G582" t="s">
        <v>283</v>
      </c>
      <c r="H582">
        <v>19.98</v>
      </c>
      <c r="I582">
        <v>1</v>
      </c>
      <c r="J582">
        <v>9.3905999999999992</v>
      </c>
      <c r="K582">
        <v>2012</v>
      </c>
      <c r="L582">
        <v>10</v>
      </c>
      <c r="M582" t="s">
        <v>82</v>
      </c>
      <c r="N582">
        <v>31</v>
      </c>
      <c r="O582">
        <v>0</v>
      </c>
      <c r="P582">
        <v>47</v>
      </c>
      <c r="Q582">
        <v>19.98</v>
      </c>
      <c r="R582" t="s">
        <v>26</v>
      </c>
      <c r="S582" t="b">
        <v>0</v>
      </c>
      <c r="T582" t="b">
        <v>0</v>
      </c>
    </row>
    <row r="583" spans="1:20" x14ac:dyDescent="0.3">
      <c r="A583" t="s">
        <v>1200</v>
      </c>
      <c r="B583" s="1">
        <v>41213</v>
      </c>
      <c r="C583" s="1">
        <v>41213</v>
      </c>
      <c r="D583" t="s">
        <v>1201</v>
      </c>
      <c r="E583" t="s">
        <v>169</v>
      </c>
      <c r="F583" t="s">
        <v>33</v>
      </c>
      <c r="G583" t="s">
        <v>1202</v>
      </c>
      <c r="H583">
        <v>398.35199999999998</v>
      </c>
      <c r="I583">
        <v>3</v>
      </c>
      <c r="J583">
        <v>124.485</v>
      </c>
      <c r="K583">
        <v>2012</v>
      </c>
      <c r="L583">
        <v>10</v>
      </c>
      <c r="M583" t="s">
        <v>82</v>
      </c>
      <c r="N583">
        <v>31</v>
      </c>
      <c r="O583">
        <v>0</v>
      </c>
      <c r="P583">
        <v>31.25</v>
      </c>
      <c r="Q583">
        <v>132.78399999999999</v>
      </c>
      <c r="R583" t="s">
        <v>26</v>
      </c>
      <c r="S583" t="b">
        <v>0</v>
      </c>
      <c r="T583" t="b">
        <v>1</v>
      </c>
    </row>
    <row r="584" spans="1:20" x14ac:dyDescent="0.3">
      <c r="A584" t="s">
        <v>1200</v>
      </c>
      <c r="B584" s="1">
        <v>41213</v>
      </c>
      <c r="C584" s="1">
        <v>41213</v>
      </c>
      <c r="D584" t="s">
        <v>1201</v>
      </c>
      <c r="E584" t="s">
        <v>169</v>
      </c>
      <c r="F584" t="s">
        <v>31</v>
      </c>
      <c r="G584" t="s">
        <v>1203</v>
      </c>
      <c r="H584">
        <v>5.04</v>
      </c>
      <c r="I584">
        <v>3</v>
      </c>
      <c r="J584">
        <v>1.26</v>
      </c>
      <c r="K584">
        <v>2012</v>
      </c>
      <c r="L584">
        <v>10</v>
      </c>
      <c r="M584" t="s">
        <v>82</v>
      </c>
      <c r="N584">
        <v>31</v>
      </c>
      <c r="O584">
        <v>0</v>
      </c>
      <c r="P584">
        <v>25</v>
      </c>
      <c r="Q584">
        <v>1.68</v>
      </c>
      <c r="R584" t="s">
        <v>26</v>
      </c>
      <c r="S584" t="b">
        <v>0</v>
      </c>
      <c r="T584" t="b">
        <v>0</v>
      </c>
    </row>
    <row r="585" spans="1:20" x14ac:dyDescent="0.3">
      <c r="A585" t="s">
        <v>1200</v>
      </c>
      <c r="B585" s="1">
        <v>41213</v>
      </c>
      <c r="C585" s="1">
        <v>41213</v>
      </c>
      <c r="D585" t="s">
        <v>1201</v>
      </c>
      <c r="E585" t="s">
        <v>169</v>
      </c>
      <c r="F585" t="s">
        <v>119</v>
      </c>
      <c r="G585" t="s">
        <v>901</v>
      </c>
      <c r="H585">
        <v>17.45</v>
      </c>
      <c r="I585">
        <v>5</v>
      </c>
      <c r="J585">
        <v>8.0269999999999992</v>
      </c>
      <c r="K585">
        <v>2012</v>
      </c>
      <c r="L585">
        <v>10</v>
      </c>
      <c r="M585" t="s">
        <v>82</v>
      </c>
      <c r="N585">
        <v>31</v>
      </c>
      <c r="O585">
        <v>0</v>
      </c>
      <c r="P585">
        <v>46</v>
      </c>
      <c r="Q585">
        <v>3.49</v>
      </c>
      <c r="R585" t="s">
        <v>26</v>
      </c>
      <c r="S585" t="b">
        <v>0</v>
      </c>
      <c r="T585" t="b">
        <v>0</v>
      </c>
    </row>
    <row r="586" spans="1:20" x14ac:dyDescent="0.3">
      <c r="A586" t="s">
        <v>1200</v>
      </c>
      <c r="B586" s="1">
        <v>41213</v>
      </c>
      <c r="C586" s="1">
        <v>41213</v>
      </c>
      <c r="D586" t="s">
        <v>1201</v>
      </c>
      <c r="E586" t="s">
        <v>169</v>
      </c>
      <c r="F586" t="s">
        <v>110</v>
      </c>
      <c r="G586" t="s">
        <v>1204</v>
      </c>
      <c r="H586">
        <v>323.13600000000002</v>
      </c>
      <c r="I586">
        <v>4</v>
      </c>
      <c r="J586">
        <v>20.196000000000002</v>
      </c>
      <c r="K586">
        <v>2012</v>
      </c>
      <c r="L586">
        <v>10</v>
      </c>
      <c r="M586" t="s">
        <v>82</v>
      </c>
      <c r="N586">
        <v>31</v>
      </c>
      <c r="O586">
        <v>0</v>
      </c>
      <c r="P586">
        <v>6.25</v>
      </c>
      <c r="Q586">
        <v>80.784000000000006</v>
      </c>
      <c r="R586" t="s">
        <v>26</v>
      </c>
      <c r="S586" t="b">
        <v>0</v>
      </c>
      <c r="T586" t="b">
        <v>1</v>
      </c>
    </row>
    <row r="587" spans="1:20" x14ac:dyDescent="0.3">
      <c r="A587" t="s">
        <v>1200</v>
      </c>
      <c r="B587" s="1">
        <v>41213</v>
      </c>
      <c r="C587" s="1">
        <v>41213</v>
      </c>
      <c r="D587" t="s">
        <v>1201</v>
      </c>
      <c r="E587" t="s">
        <v>169</v>
      </c>
      <c r="F587" t="s">
        <v>122</v>
      </c>
      <c r="G587" t="s">
        <v>1205</v>
      </c>
      <c r="H587">
        <v>29.7</v>
      </c>
      <c r="I587">
        <v>3</v>
      </c>
      <c r="J587">
        <v>8.0190000000000001</v>
      </c>
      <c r="K587">
        <v>2012</v>
      </c>
      <c r="L587">
        <v>10</v>
      </c>
      <c r="M587" t="s">
        <v>82</v>
      </c>
      <c r="N587">
        <v>31</v>
      </c>
      <c r="O587">
        <v>0</v>
      </c>
      <c r="P587">
        <v>27</v>
      </c>
      <c r="Q587">
        <v>9.9</v>
      </c>
      <c r="R587" t="s">
        <v>26</v>
      </c>
      <c r="S587" t="b">
        <v>0</v>
      </c>
      <c r="T587" t="b">
        <v>0</v>
      </c>
    </row>
    <row r="588" spans="1:20" x14ac:dyDescent="0.3">
      <c r="A588" t="s">
        <v>1200</v>
      </c>
      <c r="B588" s="1">
        <v>41213</v>
      </c>
      <c r="C588" s="1">
        <v>41213</v>
      </c>
      <c r="D588" t="s">
        <v>1201</v>
      </c>
      <c r="E588" t="s">
        <v>169</v>
      </c>
      <c r="F588" t="s">
        <v>45</v>
      </c>
      <c r="G588" t="s">
        <v>1206</v>
      </c>
      <c r="H588">
        <v>46.84</v>
      </c>
      <c r="I588">
        <v>2</v>
      </c>
      <c r="J588">
        <v>12.646800000000001</v>
      </c>
      <c r="K588">
        <v>2012</v>
      </c>
      <c r="L588">
        <v>10</v>
      </c>
      <c r="M588" t="s">
        <v>82</v>
      </c>
      <c r="N588">
        <v>31</v>
      </c>
      <c r="O588">
        <v>0</v>
      </c>
      <c r="P588">
        <v>27</v>
      </c>
      <c r="Q588">
        <v>23.42</v>
      </c>
      <c r="R588" t="s">
        <v>26</v>
      </c>
      <c r="S588" t="b">
        <v>0</v>
      </c>
      <c r="T588" t="b">
        <v>0</v>
      </c>
    </row>
    <row r="589" spans="1:20" x14ac:dyDescent="0.3">
      <c r="A589" t="s">
        <v>1200</v>
      </c>
      <c r="B589" s="1">
        <v>41213</v>
      </c>
      <c r="C589" s="1">
        <v>41213</v>
      </c>
      <c r="D589" t="s">
        <v>1201</v>
      </c>
      <c r="E589" t="s">
        <v>169</v>
      </c>
      <c r="F589" t="s">
        <v>317</v>
      </c>
      <c r="G589" t="s">
        <v>1207</v>
      </c>
      <c r="H589">
        <v>425.83300000000003</v>
      </c>
      <c r="I589">
        <v>1</v>
      </c>
      <c r="J589">
        <v>20.039200000000001</v>
      </c>
      <c r="K589">
        <v>2012</v>
      </c>
      <c r="L589">
        <v>10</v>
      </c>
      <c r="M589" t="s">
        <v>82</v>
      </c>
      <c r="N589">
        <v>31</v>
      </c>
      <c r="O589">
        <v>0</v>
      </c>
      <c r="P589">
        <v>4.71</v>
      </c>
      <c r="Q589">
        <v>425.83300000000003</v>
      </c>
      <c r="R589" t="s">
        <v>26</v>
      </c>
      <c r="S589" t="b">
        <v>0</v>
      </c>
      <c r="T589" t="b">
        <v>1</v>
      </c>
    </row>
    <row r="590" spans="1:20" x14ac:dyDescent="0.3">
      <c r="A590" t="s">
        <v>1208</v>
      </c>
      <c r="B590" s="1">
        <v>41537</v>
      </c>
      <c r="C590" s="1">
        <v>41541</v>
      </c>
      <c r="D590" t="s">
        <v>1209</v>
      </c>
      <c r="E590" t="s">
        <v>1210</v>
      </c>
      <c r="F590" t="s">
        <v>72</v>
      </c>
      <c r="G590" t="s">
        <v>1211</v>
      </c>
      <c r="H590">
        <v>159.88</v>
      </c>
      <c r="I590">
        <v>7</v>
      </c>
      <c r="J590">
        <v>73.544799999999995</v>
      </c>
      <c r="K590">
        <v>2013</v>
      </c>
      <c r="L590">
        <v>9</v>
      </c>
      <c r="M590" t="s">
        <v>87</v>
      </c>
      <c r="N590">
        <v>20</v>
      </c>
      <c r="O590">
        <v>4</v>
      </c>
      <c r="P590">
        <v>46</v>
      </c>
      <c r="Q590">
        <v>22.84</v>
      </c>
      <c r="R590" t="s">
        <v>26</v>
      </c>
      <c r="S590" t="b">
        <v>0</v>
      </c>
      <c r="T590" t="b">
        <v>0</v>
      </c>
    </row>
    <row r="591" spans="1:20" x14ac:dyDescent="0.3">
      <c r="A591" t="s">
        <v>1212</v>
      </c>
      <c r="B591" s="1">
        <v>41743</v>
      </c>
      <c r="C591" s="1">
        <v>41745</v>
      </c>
      <c r="D591" t="s">
        <v>576</v>
      </c>
      <c r="E591" t="s">
        <v>39</v>
      </c>
      <c r="F591" t="s">
        <v>72</v>
      </c>
      <c r="G591" t="s">
        <v>188</v>
      </c>
      <c r="H591">
        <v>5.28</v>
      </c>
      <c r="I591">
        <v>1</v>
      </c>
      <c r="J591">
        <v>2.3759999999999999</v>
      </c>
      <c r="K591">
        <v>2014</v>
      </c>
      <c r="L591">
        <v>4</v>
      </c>
      <c r="M591" t="s">
        <v>236</v>
      </c>
      <c r="N591">
        <v>14</v>
      </c>
      <c r="O591">
        <v>2</v>
      </c>
      <c r="P591">
        <v>45</v>
      </c>
      <c r="Q591">
        <v>5.28</v>
      </c>
      <c r="R591" t="s">
        <v>26</v>
      </c>
      <c r="S591" t="b">
        <v>0</v>
      </c>
      <c r="T591" t="b">
        <v>0</v>
      </c>
    </row>
    <row r="592" spans="1:20" x14ac:dyDescent="0.3">
      <c r="A592" t="s">
        <v>1213</v>
      </c>
      <c r="B592" s="1">
        <v>41953</v>
      </c>
      <c r="C592" s="1">
        <v>41955</v>
      </c>
      <c r="D592" t="s">
        <v>840</v>
      </c>
      <c r="E592" t="s">
        <v>1214</v>
      </c>
      <c r="F592" t="s">
        <v>110</v>
      </c>
      <c r="G592" t="s">
        <v>1003</v>
      </c>
      <c r="H592">
        <v>215.976</v>
      </c>
      <c r="I592">
        <v>3</v>
      </c>
      <c r="J592">
        <v>-2.6997</v>
      </c>
      <c r="K592">
        <v>2014</v>
      </c>
      <c r="L592">
        <v>11</v>
      </c>
      <c r="M592" t="s">
        <v>70</v>
      </c>
      <c r="N592">
        <v>10</v>
      </c>
      <c r="O592">
        <v>2</v>
      </c>
      <c r="P592">
        <v>-1.25</v>
      </c>
      <c r="Q592">
        <v>71.992000000000004</v>
      </c>
      <c r="R592" t="s">
        <v>26</v>
      </c>
      <c r="S592" t="b">
        <v>1</v>
      </c>
      <c r="T592" t="b">
        <v>1</v>
      </c>
    </row>
    <row r="593" spans="1:20" x14ac:dyDescent="0.3">
      <c r="A593" t="s">
        <v>1215</v>
      </c>
      <c r="B593" s="1">
        <v>40889</v>
      </c>
      <c r="C593" s="1">
        <v>40894</v>
      </c>
      <c r="D593" t="s">
        <v>1216</v>
      </c>
      <c r="E593" t="s">
        <v>301</v>
      </c>
      <c r="F593" t="s">
        <v>29</v>
      </c>
      <c r="G593" t="s">
        <v>1217</v>
      </c>
      <c r="H593">
        <v>43.31</v>
      </c>
      <c r="I593">
        <v>1</v>
      </c>
      <c r="J593">
        <v>4.3310000000000004</v>
      </c>
      <c r="K593">
        <v>2011</v>
      </c>
      <c r="L593">
        <v>12</v>
      </c>
      <c r="M593" t="s">
        <v>41</v>
      </c>
      <c r="N593">
        <v>12</v>
      </c>
      <c r="O593">
        <v>5</v>
      </c>
      <c r="P593">
        <v>10</v>
      </c>
      <c r="Q593">
        <v>43.31</v>
      </c>
      <c r="R593" t="s">
        <v>26</v>
      </c>
      <c r="S593" t="b">
        <v>0</v>
      </c>
      <c r="T593" t="b">
        <v>0</v>
      </c>
    </row>
    <row r="594" spans="1:20" x14ac:dyDescent="0.3">
      <c r="A594" t="s">
        <v>1218</v>
      </c>
      <c r="B594" s="1">
        <v>41481</v>
      </c>
      <c r="C594" s="1">
        <v>41483</v>
      </c>
      <c r="D594" t="s">
        <v>1219</v>
      </c>
      <c r="E594" t="s">
        <v>22</v>
      </c>
      <c r="F594" t="s">
        <v>119</v>
      </c>
      <c r="G594" t="s">
        <v>232</v>
      </c>
      <c r="H594">
        <v>21.48</v>
      </c>
      <c r="I594">
        <v>6</v>
      </c>
      <c r="J594">
        <v>10.74</v>
      </c>
      <c r="K594">
        <v>2013</v>
      </c>
      <c r="L594">
        <v>7</v>
      </c>
      <c r="M594" t="s">
        <v>66</v>
      </c>
      <c r="N594">
        <v>26</v>
      </c>
      <c r="O594">
        <v>2</v>
      </c>
      <c r="P594">
        <v>50</v>
      </c>
      <c r="Q594">
        <v>3.58</v>
      </c>
      <c r="R594" t="s">
        <v>48</v>
      </c>
      <c r="S594" t="b">
        <v>0</v>
      </c>
      <c r="T594" t="b">
        <v>0</v>
      </c>
    </row>
    <row r="595" spans="1:20" x14ac:dyDescent="0.3">
      <c r="A595" t="s">
        <v>1220</v>
      </c>
      <c r="B595" s="1">
        <v>41281</v>
      </c>
      <c r="C595" s="1">
        <v>41286</v>
      </c>
      <c r="D595" t="s">
        <v>1221</v>
      </c>
      <c r="E595" t="s">
        <v>663</v>
      </c>
      <c r="F595" t="s">
        <v>31</v>
      </c>
      <c r="G595" t="s">
        <v>1222</v>
      </c>
      <c r="H595">
        <v>34.58</v>
      </c>
      <c r="I595">
        <v>1</v>
      </c>
      <c r="J595">
        <v>10.0282</v>
      </c>
      <c r="K595">
        <v>2013</v>
      </c>
      <c r="L595">
        <v>1</v>
      </c>
      <c r="M595" t="s">
        <v>60</v>
      </c>
      <c r="N595">
        <v>7</v>
      </c>
      <c r="O595">
        <v>5</v>
      </c>
      <c r="P595">
        <v>29</v>
      </c>
      <c r="Q595">
        <v>34.58</v>
      </c>
      <c r="R595" t="s">
        <v>26</v>
      </c>
      <c r="S595" t="b">
        <v>0</v>
      </c>
      <c r="T595" t="b">
        <v>0</v>
      </c>
    </row>
    <row r="596" spans="1:20" x14ac:dyDescent="0.3">
      <c r="A596" t="s">
        <v>1223</v>
      </c>
      <c r="B596" s="1">
        <v>41712</v>
      </c>
      <c r="C596" s="1">
        <v>41718</v>
      </c>
      <c r="D596" t="s">
        <v>1224</v>
      </c>
      <c r="E596" t="s">
        <v>1225</v>
      </c>
      <c r="F596" t="s">
        <v>72</v>
      </c>
      <c r="G596" t="s">
        <v>961</v>
      </c>
      <c r="H596">
        <v>314.55</v>
      </c>
      <c r="I596">
        <v>3</v>
      </c>
      <c r="J596">
        <v>150.98400000000001</v>
      </c>
      <c r="K596">
        <v>2014</v>
      </c>
      <c r="L596">
        <v>3</v>
      </c>
      <c r="M596" t="s">
        <v>135</v>
      </c>
      <c r="N596">
        <v>14</v>
      </c>
      <c r="O596">
        <v>6</v>
      </c>
      <c r="P596">
        <v>48</v>
      </c>
      <c r="Q596">
        <v>104.85</v>
      </c>
      <c r="R596" t="s">
        <v>26</v>
      </c>
      <c r="S596" t="b">
        <v>0</v>
      </c>
      <c r="T596" t="b">
        <v>1</v>
      </c>
    </row>
    <row r="597" spans="1:20" x14ac:dyDescent="0.3">
      <c r="A597" t="s">
        <v>1226</v>
      </c>
      <c r="B597" s="1">
        <v>40756</v>
      </c>
      <c r="C597" s="1">
        <v>40758</v>
      </c>
      <c r="D597" t="s">
        <v>1227</v>
      </c>
      <c r="E597" t="s">
        <v>51</v>
      </c>
      <c r="F597" t="s">
        <v>33</v>
      </c>
      <c r="G597" t="s">
        <v>1228</v>
      </c>
      <c r="H597">
        <v>19.751999999999999</v>
      </c>
      <c r="I597">
        <v>3</v>
      </c>
      <c r="J597">
        <v>6.9131999999999998</v>
      </c>
      <c r="K597">
        <v>2011</v>
      </c>
      <c r="L597">
        <v>8</v>
      </c>
      <c r="M597" t="s">
        <v>53</v>
      </c>
      <c r="N597">
        <v>1</v>
      </c>
      <c r="O597">
        <v>2</v>
      </c>
      <c r="P597">
        <v>35</v>
      </c>
      <c r="Q597">
        <v>6.5839999999999996</v>
      </c>
      <c r="R597" t="s">
        <v>26</v>
      </c>
      <c r="S597" t="b">
        <v>0</v>
      </c>
      <c r="T597" t="b">
        <v>0</v>
      </c>
    </row>
    <row r="598" spans="1:20" x14ac:dyDescent="0.3">
      <c r="A598" t="s">
        <v>1229</v>
      </c>
      <c r="B598" s="1">
        <v>41563</v>
      </c>
      <c r="C598" s="1">
        <v>41569</v>
      </c>
      <c r="D598" t="s">
        <v>1230</v>
      </c>
      <c r="E598" t="s">
        <v>1231</v>
      </c>
      <c r="F598" t="s">
        <v>72</v>
      </c>
      <c r="G598" t="s">
        <v>1232</v>
      </c>
      <c r="H598">
        <v>45.68</v>
      </c>
      <c r="I598">
        <v>2</v>
      </c>
      <c r="J598">
        <v>21.012799999999999</v>
      </c>
      <c r="K598">
        <v>2013</v>
      </c>
      <c r="L598">
        <v>10</v>
      </c>
      <c r="M598" t="s">
        <v>82</v>
      </c>
      <c r="N598">
        <v>16</v>
      </c>
      <c r="O598">
        <v>6</v>
      </c>
      <c r="P598">
        <v>46</v>
      </c>
      <c r="Q598">
        <v>22.84</v>
      </c>
      <c r="R598" t="s">
        <v>26</v>
      </c>
      <c r="S598" t="b">
        <v>0</v>
      </c>
      <c r="T598" t="b">
        <v>0</v>
      </c>
    </row>
    <row r="599" spans="1:20" x14ac:dyDescent="0.3">
      <c r="A599" t="s">
        <v>1229</v>
      </c>
      <c r="B599" s="1">
        <v>41563</v>
      </c>
      <c r="C599" s="1">
        <v>41569</v>
      </c>
      <c r="D599" t="s">
        <v>1230</v>
      </c>
      <c r="E599" t="s">
        <v>1231</v>
      </c>
      <c r="F599" t="s">
        <v>72</v>
      </c>
      <c r="G599" t="s">
        <v>965</v>
      </c>
      <c r="H599">
        <v>60.12</v>
      </c>
      <c r="I599">
        <v>9</v>
      </c>
      <c r="J599">
        <v>28.857600000000001</v>
      </c>
      <c r="K599">
        <v>2013</v>
      </c>
      <c r="L599">
        <v>10</v>
      </c>
      <c r="M599" t="s">
        <v>82</v>
      </c>
      <c r="N599">
        <v>16</v>
      </c>
      <c r="O599">
        <v>6</v>
      </c>
      <c r="P599">
        <v>48</v>
      </c>
      <c r="Q599">
        <v>6.68</v>
      </c>
      <c r="R599" t="s">
        <v>26</v>
      </c>
      <c r="S599" t="b">
        <v>0</v>
      </c>
      <c r="T599" t="b">
        <v>0</v>
      </c>
    </row>
    <row r="600" spans="1:20" x14ac:dyDescent="0.3">
      <c r="A600" t="s">
        <v>1229</v>
      </c>
      <c r="B600" s="1">
        <v>41563</v>
      </c>
      <c r="C600" s="1">
        <v>41569</v>
      </c>
      <c r="D600" t="s">
        <v>1230</v>
      </c>
      <c r="E600" t="s">
        <v>1231</v>
      </c>
      <c r="F600" t="s">
        <v>33</v>
      </c>
      <c r="G600" t="s">
        <v>1233</v>
      </c>
      <c r="H600">
        <v>41.72</v>
      </c>
      <c r="I600">
        <v>5</v>
      </c>
      <c r="J600">
        <v>13.0375</v>
      </c>
      <c r="K600">
        <v>2013</v>
      </c>
      <c r="L600">
        <v>10</v>
      </c>
      <c r="M600" t="s">
        <v>82</v>
      </c>
      <c r="N600">
        <v>16</v>
      </c>
      <c r="O600">
        <v>6</v>
      </c>
      <c r="P600">
        <v>31.25</v>
      </c>
      <c r="Q600">
        <v>8.3439999999999994</v>
      </c>
      <c r="R600" t="s">
        <v>26</v>
      </c>
      <c r="S600" t="b">
        <v>0</v>
      </c>
      <c r="T600" t="b">
        <v>0</v>
      </c>
    </row>
    <row r="601" spans="1:20" x14ac:dyDescent="0.3">
      <c r="A601" t="s">
        <v>1229</v>
      </c>
      <c r="B601" s="1">
        <v>41563</v>
      </c>
      <c r="C601" s="1">
        <v>41569</v>
      </c>
      <c r="D601" t="s">
        <v>1230</v>
      </c>
      <c r="E601" t="s">
        <v>1231</v>
      </c>
      <c r="F601" t="s">
        <v>72</v>
      </c>
      <c r="G601" t="s">
        <v>320</v>
      </c>
      <c r="H601">
        <v>71.599999999999994</v>
      </c>
      <c r="I601">
        <v>8</v>
      </c>
      <c r="J601">
        <v>32.936</v>
      </c>
      <c r="K601">
        <v>2013</v>
      </c>
      <c r="L601">
        <v>10</v>
      </c>
      <c r="M601" t="s">
        <v>82</v>
      </c>
      <c r="N601">
        <v>16</v>
      </c>
      <c r="O601">
        <v>6</v>
      </c>
      <c r="P601">
        <v>46</v>
      </c>
      <c r="Q601">
        <v>8.9499999999999993</v>
      </c>
      <c r="R601" t="s">
        <v>26</v>
      </c>
      <c r="S601" t="b">
        <v>0</v>
      </c>
      <c r="T601" t="b">
        <v>0</v>
      </c>
    </row>
    <row r="602" spans="1:20" x14ac:dyDescent="0.3">
      <c r="A602" t="s">
        <v>1234</v>
      </c>
      <c r="B602" s="1">
        <v>41853</v>
      </c>
      <c r="C602" s="1">
        <v>41856</v>
      </c>
      <c r="D602" t="s">
        <v>1235</v>
      </c>
      <c r="E602" t="s">
        <v>540</v>
      </c>
      <c r="F602" t="s">
        <v>33</v>
      </c>
      <c r="G602" t="s">
        <v>1236</v>
      </c>
      <c r="H602">
        <v>54.896000000000001</v>
      </c>
      <c r="I602">
        <v>2</v>
      </c>
      <c r="J602">
        <v>18.5274</v>
      </c>
      <c r="K602">
        <v>2014</v>
      </c>
      <c r="L602">
        <v>8</v>
      </c>
      <c r="M602" t="s">
        <v>53</v>
      </c>
      <c r="N602">
        <v>2</v>
      </c>
      <c r="O602">
        <v>3</v>
      </c>
      <c r="P602">
        <v>33.75</v>
      </c>
      <c r="Q602">
        <v>27.448</v>
      </c>
      <c r="R602" t="s">
        <v>26</v>
      </c>
      <c r="S602" t="b">
        <v>0</v>
      </c>
      <c r="T602" t="b">
        <v>0</v>
      </c>
    </row>
    <row r="603" spans="1:20" x14ac:dyDescent="0.3">
      <c r="A603" t="s">
        <v>1237</v>
      </c>
      <c r="B603" s="1">
        <v>41451</v>
      </c>
      <c r="C603" s="1">
        <v>41455</v>
      </c>
      <c r="D603" t="s">
        <v>1238</v>
      </c>
      <c r="E603" t="s">
        <v>22</v>
      </c>
      <c r="F603" t="s">
        <v>35</v>
      </c>
      <c r="G603" t="s">
        <v>1239</v>
      </c>
      <c r="H603">
        <v>60.81</v>
      </c>
      <c r="I603">
        <v>3</v>
      </c>
      <c r="J603">
        <v>17.026800000000001</v>
      </c>
      <c r="K603">
        <v>2013</v>
      </c>
      <c r="L603">
        <v>6</v>
      </c>
      <c r="M603" t="s">
        <v>25</v>
      </c>
      <c r="N603">
        <v>26</v>
      </c>
      <c r="O603">
        <v>4</v>
      </c>
      <c r="P603">
        <v>28</v>
      </c>
      <c r="Q603">
        <v>20.27</v>
      </c>
      <c r="R603" t="s">
        <v>26</v>
      </c>
      <c r="S603" t="b">
        <v>0</v>
      </c>
      <c r="T603" t="b">
        <v>0</v>
      </c>
    </row>
    <row r="604" spans="1:20" x14ac:dyDescent="0.3">
      <c r="A604" t="s">
        <v>1240</v>
      </c>
      <c r="B604" s="1">
        <v>41619</v>
      </c>
      <c r="C604" s="1">
        <v>41626</v>
      </c>
      <c r="D604" t="s">
        <v>691</v>
      </c>
      <c r="E604" t="s">
        <v>39</v>
      </c>
      <c r="F604" t="s">
        <v>33</v>
      </c>
      <c r="G604" t="s">
        <v>1241</v>
      </c>
      <c r="H604">
        <v>153.55199999999999</v>
      </c>
      <c r="I604">
        <v>3</v>
      </c>
      <c r="J604">
        <v>51.823799999999999</v>
      </c>
      <c r="K604">
        <v>2013</v>
      </c>
      <c r="L604">
        <v>12</v>
      </c>
      <c r="M604" t="s">
        <v>41</v>
      </c>
      <c r="N604">
        <v>11</v>
      </c>
      <c r="O604">
        <v>7</v>
      </c>
      <c r="P604">
        <v>33.75</v>
      </c>
      <c r="Q604">
        <v>51.183999999999997</v>
      </c>
      <c r="R604" t="s">
        <v>26</v>
      </c>
      <c r="S604" t="b">
        <v>0</v>
      </c>
      <c r="T604" t="b">
        <v>0</v>
      </c>
    </row>
    <row r="605" spans="1:20" x14ac:dyDescent="0.3">
      <c r="A605" t="s">
        <v>1240</v>
      </c>
      <c r="B605" s="1">
        <v>41619</v>
      </c>
      <c r="C605" s="1">
        <v>41626</v>
      </c>
      <c r="D605" t="s">
        <v>691</v>
      </c>
      <c r="E605" t="s">
        <v>39</v>
      </c>
      <c r="F605" t="s">
        <v>35</v>
      </c>
      <c r="G605" t="s">
        <v>1242</v>
      </c>
      <c r="H605">
        <v>65.34</v>
      </c>
      <c r="I605">
        <v>3</v>
      </c>
      <c r="J605">
        <v>22.869</v>
      </c>
      <c r="K605">
        <v>2013</v>
      </c>
      <c r="L605">
        <v>12</v>
      </c>
      <c r="M605" t="s">
        <v>41</v>
      </c>
      <c r="N605">
        <v>11</v>
      </c>
      <c r="O605">
        <v>7</v>
      </c>
      <c r="P605">
        <v>35</v>
      </c>
      <c r="Q605">
        <v>21.78</v>
      </c>
      <c r="R605" t="s">
        <v>26</v>
      </c>
      <c r="S605" t="b">
        <v>0</v>
      </c>
      <c r="T605" t="b">
        <v>0</v>
      </c>
    </row>
    <row r="606" spans="1:20" x14ac:dyDescent="0.3">
      <c r="A606" t="s">
        <v>1240</v>
      </c>
      <c r="B606" s="1">
        <v>41619</v>
      </c>
      <c r="C606" s="1">
        <v>41626</v>
      </c>
      <c r="D606" t="s">
        <v>691</v>
      </c>
      <c r="E606" t="s">
        <v>39</v>
      </c>
      <c r="F606" t="s">
        <v>72</v>
      </c>
      <c r="G606" t="s">
        <v>1243</v>
      </c>
      <c r="H606">
        <v>123.92</v>
      </c>
      <c r="I606">
        <v>4</v>
      </c>
      <c r="J606">
        <v>55.764000000000003</v>
      </c>
      <c r="K606">
        <v>2013</v>
      </c>
      <c r="L606">
        <v>12</v>
      </c>
      <c r="M606" t="s">
        <v>41</v>
      </c>
      <c r="N606">
        <v>11</v>
      </c>
      <c r="O606">
        <v>7</v>
      </c>
      <c r="P606">
        <v>45</v>
      </c>
      <c r="Q606">
        <v>30.98</v>
      </c>
      <c r="R606" t="s">
        <v>26</v>
      </c>
      <c r="S606" t="b">
        <v>0</v>
      </c>
      <c r="T606" t="b">
        <v>0</v>
      </c>
    </row>
    <row r="607" spans="1:20" x14ac:dyDescent="0.3">
      <c r="A607" t="s">
        <v>1240</v>
      </c>
      <c r="B607" s="1">
        <v>41619</v>
      </c>
      <c r="C607" s="1">
        <v>41626</v>
      </c>
      <c r="D607" t="s">
        <v>691</v>
      </c>
      <c r="E607" t="s">
        <v>39</v>
      </c>
      <c r="F607" t="s">
        <v>35</v>
      </c>
      <c r="G607" t="s">
        <v>1244</v>
      </c>
      <c r="H607">
        <v>35.1</v>
      </c>
      <c r="I607">
        <v>3</v>
      </c>
      <c r="J607">
        <v>12.285</v>
      </c>
      <c r="K607">
        <v>2013</v>
      </c>
      <c r="L607">
        <v>12</v>
      </c>
      <c r="M607" t="s">
        <v>41</v>
      </c>
      <c r="N607">
        <v>11</v>
      </c>
      <c r="O607">
        <v>7</v>
      </c>
      <c r="P607">
        <v>35</v>
      </c>
      <c r="Q607">
        <v>11.7</v>
      </c>
      <c r="R607" t="s">
        <v>26</v>
      </c>
      <c r="S607" t="b">
        <v>0</v>
      </c>
      <c r="T607" t="b">
        <v>0</v>
      </c>
    </row>
    <row r="608" spans="1:20" x14ac:dyDescent="0.3">
      <c r="A608" t="s">
        <v>1240</v>
      </c>
      <c r="B608" s="1">
        <v>41619</v>
      </c>
      <c r="C608" s="1">
        <v>41626</v>
      </c>
      <c r="D608" t="s">
        <v>691</v>
      </c>
      <c r="E608" t="s">
        <v>39</v>
      </c>
      <c r="F608" t="s">
        <v>61</v>
      </c>
      <c r="G608" t="s">
        <v>1008</v>
      </c>
      <c r="H608">
        <v>44.75</v>
      </c>
      <c r="I608">
        <v>5</v>
      </c>
      <c r="J608">
        <v>8.5024999999999995</v>
      </c>
      <c r="K608">
        <v>2013</v>
      </c>
      <c r="L608">
        <v>12</v>
      </c>
      <c r="M608" t="s">
        <v>41</v>
      </c>
      <c r="N608">
        <v>11</v>
      </c>
      <c r="O608">
        <v>7</v>
      </c>
      <c r="P608">
        <v>19</v>
      </c>
      <c r="Q608">
        <v>8.9499999999999993</v>
      </c>
      <c r="R608" t="s">
        <v>26</v>
      </c>
      <c r="S608" t="b">
        <v>0</v>
      </c>
      <c r="T608" t="b">
        <v>0</v>
      </c>
    </row>
    <row r="609" spans="1:20" x14ac:dyDescent="0.3">
      <c r="A609" t="s">
        <v>1245</v>
      </c>
      <c r="B609" s="1">
        <v>41158</v>
      </c>
      <c r="C609" s="1">
        <v>41164</v>
      </c>
      <c r="D609" t="s">
        <v>817</v>
      </c>
      <c r="E609" t="s">
        <v>39</v>
      </c>
      <c r="F609" t="s">
        <v>33</v>
      </c>
      <c r="G609" t="s">
        <v>1246</v>
      </c>
      <c r="H609">
        <v>6.0960000000000001</v>
      </c>
      <c r="I609">
        <v>2</v>
      </c>
      <c r="J609">
        <v>2.1335999999999999</v>
      </c>
      <c r="K609">
        <v>2012</v>
      </c>
      <c r="L609">
        <v>9</v>
      </c>
      <c r="M609" t="s">
        <v>87</v>
      </c>
      <c r="N609">
        <v>6</v>
      </c>
      <c r="O609">
        <v>6</v>
      </c>
      <c r="P609">
        <v>35</v>
      </c>
      <c r="Q609">
        <v>3.048</v>
      </c>
      <c r="R609" t="s">
        <v>26</v>
      </c>
      <c r="S609" t="b">
        <v>0</v>
      </c>
      <c r="T609" t="b">
        <v>0</v>
      </c>
    </row>
    <row r="610" spans="1:20" x14ac:dyDescent="0.3">
      <c r="A610" t="s">
        <v>1245</v>
      </c>
      <c r="B610" s="1">
        <v>41158</v>
      </c>
      <c r="C610" s="1">
        <v>41164</v>
      </c>
      <c r="D610" t="s">
        <v>817</v>
      </c>
      <c r="E610" t="s">
        <v>39</v>
      </c>
      <c r="F610" t="s">
        <v>29</v>
      </c>
      <c r="G610" t="s">
        <v>1247</v>
      </c>
      <c r="H610">
        <v>191.82</v>
      </c>
      <c r="I610">
        <v>3</v>
      </c>
      <c r="J610">
        <v>74.809799999999996</v>
      </c>
      <c r="K610">
        <v>2012</v>
      </c>
      <c r="L610">
        <v>9</v>
      </c>
      <c r="M610" t="s">
        <v>87</v>
      </c>
      <c r="N610">
        <v>6</v>
      </c>
      <c r="O610">
        <v>6</v>
      </c>
      <c r="P610">
        <v>39</v>
      </c>
      <c r="Q610">
        <v>63.94</v>
      </c>
      <c r="R610" t="s">
        <v>26</v>
      </c>
      <c r="S610" t="b">
        <v>0</v>
      </c>
      <c r="T610" t="b">
        <v>0</v>
      </c>
    </row>
    <row r="611" spans="1:20" x14ac:dyDescent="0.3">
      <c r="A611" t="s">
        <v>1248</v>
      </c>
      <c r="B611" s="1">
        <v>41914</v>
      </c>
      <c r="C611" s="1">
        <v>41915</v>
      </c>
      <c r="D611" t="s">
        <v>1249</v>
      </c>
      <c r="E611" t="s">
        <v>139</v>
      </c>
      <c r="F611" t="s">
        <v>33</v>
      </c>
      <c r="G611" t="s">
        <v>601</v>
      </c>
      <c r="H611">
        <v>1.44</v>
      </c>
      <c r="I611">
        <v>1</v>
      </c>
      <c r="J611">
        <v>0.504</v>
      </c>
      <c r="K611">
        <v>2014</v>
      </c>
      <c r="L611">
        <v>10</v>
      </c>
      <c r="M611" t="s">
        <v>82</v>
      </c>
      <c r="N611">
        <v>2</v>
      </c>
      <c r="O611">
        <v>1</v>
      </c>
      <c r="P611">
        <v>35</v>
      </c>
      <c r="Q611">
        <v>1.44</v>
      </c>
      <c r="R611" t="s">
        <v>26</v>
      </c>
      <c r="S611" t="b">
        <v>0</v>
      </c>
      <c r="T611" t="b">
        <v>0</v>
      </c>
    </row>
    <row r="612" spans="1:20" x14ac:dyDescent="0.3">
      <c r="A612" t="s">
        <v>1248</v>
      </c>
      <c r="B612" s="1">
        <v>41914</v>
      </c>
      <c r="C612" s="1">
        <v>41915</v>
      </c>
      <c r="D612" t="s">
        <v>1249</v>
      </c>
      <c r="E612" t="s">
        <v>139</v>
      </c>
      <c r="F612" t="s">
        <v>33</v>
      </c>
      <c r="G612" t="s">
        <v>240</v>
      </c>
      <c r="H612">
        <v>61.776000000000003</v>
      </c>
      <c r="I612">
        <v>13</v>
      </c>
      <c r="J612">
        <v>20.849399999999999</v>
      </c>
      <c r="K612">
        <v>2014</v>
      </c>
      <c r="L612">
        <v>10</v>
      </c>
      <c r="M612" t="s">
        <v>82</v>
      </c>
      <c r="N612">
        <v>2</v>
      </c>
      <c r="O612">
        <v>1</v>
      </c>
      <c r="P612">
        <v>33.75</v>
      </c>
      <c r="Q612">
        <v>4.7520000000000007</v>
      </c>
      <c r="R612" t="s">
        <v>26</v>
      </c>
      <c r="S612" t="b">
        <v>0</v>
      </c>
      <c r="T612" t="b">
        <v>0</v>
      </c>
    </row>
    <row r="613" spans="1:20" x14ac:dyDescent="0.3">
      <c r="A613" t="s">
        <v>1248</v>
      </c>
      <c r="B613" s="1">
        <v>41914</v>
      </c>
      <c r="C613" s="1">
        <v>41915</v>
      </c>
      <c r="D613" t="s">
        <v>1249</v>
      </c>
      <c r="E613" t="s">
        <v>139</v>
      </c>
      <c r="F613" t="s">
        <v>35</v>
      </c>
      <c r="G613" t="s">
        <v>1250</v>
      </c>
      <c r="H613">
        <v>241.96</v>
      </c>
      <c r="I613">
        <v>2</v>
      </c>
      <c r="J613">
        <v>60.49</v>
      </c>
      <c r="K613">
        <v>2014</v>
      </c>
      <c r="L613">
        <v>10</v>
      </c>
      <c r="M613" t="s">
        <v>82</v>
      </c>
      <c r="N613">
        <v>2</v>
      </c>
      <c r="O613">
        <v>1</v>
      </c>
      <c r="P613">
        <v>25</v>
      </c>
      <c r="Q613">
        <v>120.98</v>
      </c>
      <c r="R613" t="s">
        <v>26</v>
      </c>
      <c r="S613" t="b">
        <v>0</v>
      </c>
      <c r="T613" t="b">
        <v>1</v>
      </c>
    </row>
    <row r="614" spans="1:20" x14ac:dyDescent="0.3">
      <c r="A614" t="s">
        <v>1248</v>
      </c>
      <c r="B614" s="1">
        <v>41914</v>
      </c>
      <c r="C614" s="1">
        <v>41915</v>
      </c>
      <c r="D614" t="s">
        <v>1249</v>
      </c>
      <c r="E614" t="s">
        <v>139</v>
      </c>
      <c r="F614" t="s">
        <v>110</v>
      </c>
      <c r="G614" t="s">
        <v>1251</v>
      </c>
      <c r="H614">
        <v>108.608</v>
      </c>
      <c r="I614">
        <v>4</v>
      </c>
      <c r="J614">
        <v>9.5031999999999996</v>
      </c>
      <c r="K614">
        <v>2014</v>
      </c>
      <c r="L614">
        <v>10</v>
      </c>
      <c r="M614" t="s">
        <v>82</v>
      </c>
      <c r="N614">
        <v>2</v>
      </c>
      <c r="O614">
        <v>1</v>
      </c>
      <c r="P614">
        <v>8.75</v>
      </c>
      <c r="Q614">
        <v>27.152000000000001</v>
      </c>
      <c r="R614" t="s">
        <v>26</v>
      </c>
      <c r="S614" t="b">
        <v>0</v>
      </c>
      <c r="T614" t="b">
        <v>0</v>
      </c>
    </row>
    <row r="615" spans="1:20" x14ac:dyDescent="0.3">
      <c r="A615" t="s">
        <v>1252</v>
      </c>
      <c r="B615" s="1">
        <v>41849</v>
      </c>
      <c r="C615" s="1">
        <v>41853</v>
      </c>
      <c r="D615" t="s">
        <v>1253</v>
      </c>
      <c r="E615" t="s">
        <v>51</v>
      </c>
      <c r="F615" t="s">
        <v>33</v>
      </c>
      <c r="G615" t="s">
        <v>1254</v>
      </c>
      <c r="H615">
        <v>9.984</v>
      </c>
      <c r="I615">
        <v>4</v>
      </c>
      <c r="J615">
        <v>3.6192000000000002</v>
      </c>
      <c r="K615">
        <v>2014</v>
      </c>
      <c r="L615">
        <v>7</v>
      </c>
      <c r="M615" t="s">
        <v>66</v>
      </c>
      <c r="N615">
        <v>29</v>
      </c>
      <c r="O615">
        <v>4</v>
      </c>
      <c r="P615">
        <v>36.25</v>
      </c>
      <c r="Q615">
        <v>2.496</v>
      </c>
      <c r="R615" t="s">
        <v>26</v>
      </c>
      <c r="S615" t="b">
        <v>0</v>
      </c>
      <c r="T615" t="b">
        <v>0</v>
      </c>
    </row>
    <row r="616" spans="1:20" x14ac:dyDescent="0.3">
      <c r="A616" t="s">
        <v>1252</v>
      </c>
      <c r="B616" s="1">
        <v>41849</v>
      </c>
      <c r="C616" s="1">
        <v>41853</v>
      </c>
      <c r="D616" t="s">
        <v>1253</v>
      </c>
      <c r="E616" t="s">
        <v>51</v>
      </c>
      <c r="F616" t="s">
        <v>45</v>
      </c>
      <c r="G616" t="s">
        <v>1255</v>
      </c>
      <c r="H616">
        <v>14.98</v>
      </c>
      <c r="I616">
        <v>1</v>
      </c>
      <c r="J616">
        <v>4.1943999999999999</v>
      </c>
      <c r="K616">
        <v>2014</v>
      </c>
      <c r="L616">
        <v>7</v>
      </c>
      <c r="M616" t="s">
        <v>66</v>
      </c>
      <c r="N616">
        <v>29</v>
      </c>
      <c r="O616">
        <v>4</v>
      </c>
      <c r="P616">
        <v>28</v>
      </c>
      <c r="Q616">
        <v>14.98</v>
      </c>
      <c r="R616" t="s">
        <v>26</v>
      </c>
      <c r="S616" t="b">
        <v>0</v>
      </c>
      <c r="T616" t="b">
        <v>0</v>
      </c>
    </row>
    <row r="617" spans="1:20" x14ac:dyDescent="0.3">
      <c r="A617" t="s">
        <v>1256</v>
      </c>
      <c r="B617" s="1">
        <v>41353</v>
      </c>
      <c r="C617" s="1">
        <v>41355</v>
      </c>
      <c r="D617" t="s">
        <v>1257</v>
      </c>
      <c r="E617" t="s">
        <v>1258</v>
      </c>
      <c r="F617" t="s">
        <v>317</v>
      </c>
      <c r="G617" t="s">
        <v>1259</v>
      </c>
      <c r="H617">
        <v>72.293999999999997</v>
      </c>
      <c r="I617">
        <v>1</v>
      </c>
      <c r="J617">
        <v>-98.8018</v>
      </c>
      <c r="K617">
        <v>2013</v>
      </c>
      <c r="L617">
        <v>3</v>
      </c>
      <c r="M617" t="s">
        <v>135</v>
      </c>
      <c r="N617">
        <v>20</v>
      </c>
      <c r="O617">
        <v>2</v>
      </c>
      <c r="P617">
        <v>-136.66999999999999</v>
      </c>
      <c r="Q617">
        <v>72.293999999999997</v>
      </c>
      <c r="R617" t="s">
        <v>48</v>
      </c>
      <c r="S617" t="b">
        <v>1</v>
      </c>
      <c r="T617" t="b">
        <v>0</v>
      </c>
    </row>
    <row r="618" spans="1:20" x14ac:dyDescent="0.3">
      <c r="A618" t="s">
        <v>1260</v>
      </c>
      <c r="B618" s="1">
        <v>40633</v>
      </c>
      <c r="C618" s="1">
        <v>40638</v>
      </c>
      <c r="D618" t="s">
        <v>760</v>
      </c>
      <c r="E618" t="s">
        <v>51</v>
      </c>
      <c r="F618" t="s">
        <v>35</v>
      </c>
      <c r="G618" t="s">
        <v>1261</v>
      </c>
      <c r="H618">
        <v>52.98</v>
      </c>
      <c r="I618">
        <v>2</v>
      </c>
      <c r="J618">
        <v>14.8344</v>
      </c>
      <c r="K618">
        <v>2011</v>
      </c>
      <c r="L618">
        <v>3</v>
      </c>
      <c r="M618" t="s">
        <v>135</v>
      </c>
      <c r="N618">
        <v>31</v>
      </c>
      <c r="O618">
        <v>5</v>
      </c>
      <c r="P618">
        <v>28</v>
      </c>
      <c r="Q618">
        <v>26.49</v>
      </c>
      <c r="R618" t="s">
        <v>26</v>
      </c>
      <c r="S618" t="b">
        <v>0</v>
      </c>
      <c r="T618" t="b">
        <v>0</v>
      </c>
    </row>
    <row r="619" spans="1:20" x14ac:dyDescent="0.3">
      <c r="A619" t="s">
        <v>1262</v>
      </c>
      <c r="B619" s="1">
        <v>41257</v>
      </c>
      <c r="C619" s="1">
        <v>41259</v>
      </c>
      <c r="D619" t="s">
        <v>1263</v>
      </c>
      <c r="E619" t="s">
        <v>92</v>
      </c>
      <c r="F619" t="s">
        <v>54</v>
      </c>
      <c r="G619" t="s">
        <v>1264</v>
      </c>
      <c r="H619">
        <v>319.96800000000002</v>
      </c>
      <c r="I619">
        <v>4</v>
      </c>
      <c r="J619">
        <v>35.996400000000001</v>
      </c>
      <c r="K619">
        <v>2012</v>
      </c>
      <c r="L619">
        <v>12</v>
      </c>
      <c r="M619" t="s">
        <v>41</v>
      </c>
      <c r="N619">
        <v>14</v>
      </c>
      <c r="O619">
        <v>2</v>
      </c>
      <c r="P619">
        <v>11.25</v>
      </c>
      <c r="Q619">
        <v>79.992000000000004</v>
      </c>
      <c r="R619" t="s">
        <v>48</v>
      </c>
      <c r="S619" t="b">
        <v>0</v>
      </c>
      <c r="T619" t="b">
        <v>1</v>
      </c>
    </row>
    <row r="620" spans="1:20" x14ac:dyDescent="0.3">
      <c r="A620" t="s">
        <v>1265</v>
      </c>
      <c r="B620" s="1">
        <v>41471</v>
      </c>
      <c r="C620" s="1">
        <v>41477</v>
      </c>
      <c r="D620" t="s">
        <v>1266</v>
      </c>
      <c r="E620" t="s">
        <v>1267</v>
      </c>
      <c r="F620" t="s">
        <v>122</v>
      </c>
      <c r="G620" t="s">
        <v>1268</v>
      </c>
      <c r="H620">
        <v>44.4</v>
      </c>
      <c r="I620">
        <v>5</v>
      </c>
      <c r="J620">
        <v>12.432</v>
      </c>
      <c r="K620">
        <v>2013</v>
      </c>
      <c r="L620">
        <v>7</v>
      </c>
      <c r="M620" t="s">
        <v>66</v>
      </c>
      <c r="N620">
        <v>16</v>
      </c>
      <c r="O620">
        <v>6</v>
      </c>
      <c r="P620">
        <v>28</v>
      </c>
      <c r="Q620">
        <v>8.879999999999999</v>
      </c>
      <c r="R620" t="s">
        <v>26</v>
      </c>
      <c r="S620" t="b">
        <v>0</v>
      </c>
      <c r="T620" t="b">
        <v>0</v>
      </c>
    </row>
    <row r="621" spans="1:20" x14ac:dyDescent="0.3">
      <c r="A621" t="s">
        <v>1269</v>
      </c>
      <c r="B621" s="1">
        <v>41594</v>
      </c>
      <c r="C621" s="1">
        <v>41596</v>
      </c>
      <c r="D621" t="s">
        <v>1270</v>
      </c>
      <c r="E621" t="s">
        <v>22</v>
      </c>
      <c r="F621" t="s">
        <v>33</v>
      </c>
      <c r="G621" t="s">
        <v>1271</v>
      </c>
      <c r="H621">
        <v>38.136000000000003</v>
      </c>
      <c r="I621">
        <v>7</v>
      </c>
      <c r="J621">
        <v>13.3476</v>
      </c>
      <c r="K621">
        <v>2013</v>
      </c>
      <c r="L621">
        <v>11</v>
      </c>
      <c r="M621" t="s">
        <v>70</v>
      </c>
      <c r="N621">
        <v>16</v>
      </c>
      <c r="O621">
        <v>2</v>
      </c>
      <c r="P621">
        <v>35</v>
      </c>
      <c r="Q621">
        <v>5.4480000000000004</v>
      </c>
      <c r="R621" t="s">
        <v>26</v>
      </c>
      <c r="S621" t="b">
        <v>0</v>
      </c>
      <c r="T621" t="b">
        <v>0</v>
      </c>
    </row>
    <row r="622" spans="1:20" x14ac:dyDescent="0.3">
      <c r="A622" t="s">
        <v>1272</v>
      </c>
      <c r="B622" s="1">
        <v>41965</v>
      </c>
      <c r="C622" s="1">
        <v>41969</v>
      </c>
      <c r="D622" t="s">
        <v>1273</v>
      </c>
      <c r="E622" t="s">
        <v>763</v>
      </c>
      <c r="F622" t="s">
        <v>45</v>
      </c>
      <c r="G622" t="s">
        <v>968</v>
      </c>
      <c r="H622">
        <v>56.56</v>
      </c>
      <c r="I622">
        <v>2</v>
      </c>
      <c r="J622">
        <v>15.2712</v>
      </c>
      <c r="K622">
        <v>2014</v>
      </c>
      <c r="L622">
        <v>11</v>
      </c>
      <c r="M622" t="s">
        <v>70</v>
      </c>
      <c r="N622">
        <v>22</v>
      </c>
      <c r="O622">
        <v>4</v>
      </c>
      <c r="P622">
        <v>27</v>
      </c>
      <c r="Q622">
        <v>28.28</v>
      </c>
      <c r="R622" t="s">
        <v>26</v>
      </c>
      <c r="S622" t="b">
        <v>0</v>
      </c>
      <c r="T622" t="b">
        <v>0</v>
      </c>
    </row>
    <row r="623" spans="1:20" x14ac:dyDescent="0.3">
      <c r="A623" t="s">
        <v>1272</v>
      </c>
      <c r="B623" s="1">
        <v>41965</v>
      </c>
      <c r="C623" s="1">
        <v>41969</v>
      </c>
      <c r="D623" t="s">
        <v>1273</v>
      </c>
      <c r="E623" t="s">
        <v>763</v>
      </c>
      <c r="F623" t="s">
        <v>31</v>
      </c>
      <c r="G623" t="s">
        <v>1274</v>
      </c>
      <c r="H623">
        <v>5.56</v>
      </c>
      <c r="I623">
        <v>2</v>
      </c>
      <c r="J623">
        <v>1.4456</v>
      </c>
      <c r="K623">
        <v>2014</v>
      </c>
      <c r="L623">
        <v>11</v>
      </c>
      <c r="M623" t="s">
        <v>70</v>
      </c>
      <c r="N623">
        <v>22</v>
      </c>
      <c r="O623">
        <v>4</v>
      </c>
      <c r="P623">
        <v>26</v>
      </c>
      <c r="Q623">
        <v>2.78</v>
      </c>
      <c r="R623" t="s">
        <v>26</v>
      </c>
      <c r="S623" t="b">
        <v>0</v>
      </c>
      <c r="T623" t="b">
        <v>0</v>
      </c>
    </row>
    <row r="624" spans="1:20" x14ac:dyDescent="0.3">
      <c r="A624" t="s">
        <v>1272</v>
      </c>
      <c r="B624" s="1">
        <v>41965</v>
      </c>
      <c r="C624" s="1">
        <v>41969</v>
      </c>
      <c r="D624" t="s">
        <v>1273</v>
      </c>
      <c r="E624" t="s">
        <v>763</v>
      </c>
      <c r="F624" t="s">
        <v>119</v>
      </c>
      <c r="G624" t="s">
        <v>1275</v>
      </c>
      <c r="H624">
        <v>9.02</v>
      </c>
      <c r="I624">
        <v>2</v>
      </c>
      <c r="J624">
        <v>3.5177999999999998</v>
      </c>
      <c r="K624">
        <v>2014</v>
      </c>
      <c r="L624">
        <v>11</v>
      </c>
      <c r="M624" t="s">
        <v>70</v>
      </c>
      <c r="N624">
        <v>22</v>
      </c>
      <c r="O624">
        <v>4</v>
      </c>
      <c r="P624">
        <v>39</v>
      </c>
      <c r="Q624">
        <v>4.51</v>
      </c>
      <c r="R624" t="s">
        <v>26</v>
      </c>
      <c r="S624" t="b">
        <v>0</v>
      </c>
      <c r="T624" t="b">
        <v>0</v>
      </c>
    </row>
    <row r="625" spans="1:20" x14ac:dyDescent="0.3">
      <c r="A625" t="s">
        <v>1272</v>
      </c>
      <c r="B625" s="1">
        <v>41965</v>
      </c>
      <c r="C625" s="1">
        <v>41969</v>
      </c>
      <c r="D625" t="s">
        <v>1273</v>
      </c>
      <c r="E625" t="s">
        <v>763</v>
      </c>
      <c r="F625" t="s">
        <v>35</v>
      </c>
      <c r="G625" t="s">
        <v>1276</v>
      </c>
      <c r="H625">
        <v>8.6199999999999992</v>
      </c>
      <c r="I625">
        <v>1</v>
      </c>
      <c r="J625">
        <v>2.2412000000000001</v>
      </c>
      <c r="K625">
        <v>2014</v>
      </c>
      <c r="L625">
        <v>11</v>
      </c>
      <c r="M625" t="s">
        <v>70</v>
      </c>
      <c r="N625">
        <v>22</v>
      </c>
      <c r="O625">
        <v>4</v>
      </c>
      <c r="P625">
        <v>26</v>
      </c>
      <c r="Q625">
        <v>8.6199999999999992</v>
      </c>
      <c r="R625" t="s">
        <v>26</v>
      </c>
      <c r="S625" t="b">
        <v>0</v>
      </c>
      <c r="T625" t="b">
        <v>0</v>
      </c>
    </row>
    <row r="626" spans="1:20" x14ac:dyDescent="0.3">
      <c r="A626" t="s">
        <v>1277</v>
      </c>
      <c r="B626" s="1">
        <v>40954</v>
      </c>
      <c r="C626" s="1">
        <v>40957</v>
      </c>
      <c r="D626" t="s">
        <v>1278</v>
      </c>
      <c r="E626" t="s">
        <v>22</v>
      </c>
      <c r="F626" t="s">
        <v>72</v>
      </c>
      <c r="G626" t="s">
        <v>1279</v>
      </c>
      <c r="H626">
        <v>13.36</v>
      </c>
      <c r="I626">
        <v>2</v>
      </c>
      <c r="J626">
        <v>6.4127999999999998</v>
      </c>
      <c r="K626">
        <v>2012</v>
      </c>
      <c r="L626">
        <v>2</v>
      </c>
      <c r="M626" t="s">
        <v>303</v>
      </c>
      <c r="N626">
        <v>15</v>
      </c>
      <c r="O626">
        <v>3</v>
      </c>
      <c r="P626">
        <v>48</v>
      </c>
      <c r="Q626">
        <v>6.68</v>
      </c>
      <c r="R626" t="s">
        <v>26</v>
      </c>
      <c r="S626" t="b">
        <v>0</v>
      </c>
      <c r="T626" t="b">
        <v>0</v>
      </c>
    </row>
    <row r="627" spans="1:20" x14ac:dyDescent="0.3">
      <c r="A627" t="s">
        <v>1277</v>
      </c>
      <c r="B627" s="1">
        <v>40954</v>
      </c>
      <c r="C627" s="1">
        <v>40957</v>
      </c>
      <c r="D627" t="s">
        <v>1278</v>
      </c>
      <c r="E627" t="s">
        <v>22</v>
      </c>
      <c r="F627" t="s">
        <v>33</v>
      </c>
      <c r="G627" t="s">
        <v>1233</v>
      </c>
      <c r="H627">
        <v>41.72</v>
      </c>
      <c r="I627">
        <v>5</v>
      </c>
      <c r="J627">
        <v>13.0375</v>
      </c>
      <c r="K627">
        <v>2012</v>
      </c>
      <c r="L627">
        <v>2</v>
      </c>
      <c r="M627" t="s">
        <v>303</v>
      </c>
      <c r="N627">
        <v>15</v>
      </c>
      <c r="O627">
        <v>3</v>
      </c>
      <c r="P627">
        <v>31.25</v>
      </c>
      <c r="Q627">
        <v>8.3439999999999994</v>
      </c>
      <c r="R627" t="s">
        <v>26</v>
      </c>
      <c r="S627" t="b">
        <v>0</v>
      </c>
      <c r="T627" t="b">
        <v>0</v>
      </c>
    </row>
    <row r="628" spans="1:20" x14ac:dyDescent="0.3">
      <c r="A628" t="s">
        <v>1277</v>
      </c>
      <c r="B628" s="1">
        <v>40954</v>
      </c>
      <c r="C628" s="1">
        <v>40957</v>
      </c>
      <c r="D628" t="s">
        <v>1278</v>
      </c>
      <c r="E628" t="s">
        <v>22</v>
      </c>
      <c r="F628" t="s">
        <v>33</v>
      </c>
      <c r="G628" t="s">
        <v>1280</v>
      </c>
      <c r="H628">
        <v>11.52</v>
      </c>
      <c r="I628">
        <v>5</v>
      </c>
      <c r="J628">
        <v>4.1760000000000002</v>
      </c>
      <c r="K628">
        <v>2012</v>
      </c>
      <c r="L628">
        <v>2</v>
      </c>
      <c r="M628" t="s">
        <v>303</v>
      </c>
      <c r="N628">
        <v>15</v>
      </c>
      <c r="O628">
        <v>3</v>
      </c>
      <c r="P628">
        <v>36.25</v>
      </c>
      <c r="Q628">
        <v>2.3039999999999998</v>
      </c>
      <c r="R628" t="s">
        <v>26</v>
      </c>
      <c r="S628" t="b">
        <v>0</v>
      </c>
      <c r="T628" t="b">
        <v>0</v>
      </c>
    </row>
    <row r="629" spans="1:20" x14ac:dyDescent="0.3">
      <c r="A629" t="s">
        <v>1277</v>
      </c>
      <c r="B629" s="1">
        <v>40954</v>
      </c>
      <c r="C629" s="1">
        <v>40957</v>
      </c>
      <c r="D629" t="s">
        <v>1278</v>
      </c>
      <c r="E629" t="s">
        <v>22</v>
      </c>
      <c r="F629" t="s">
        <v>72</v>
      </c>
      <c r="G629" t="s">
        <v>1281</v>
      </c>
      <c r="H629">
        <v>19.440000000000001</v>
      </c>
      <c r="I629">
        <v>3</v>
      </c>
      <c r="J629">
        <v>9.3312000000000008</v>
      </c>
      <c r="K629">
        <v>2012</v>
      </c>
      <c r="L629">
        <v>2</v>
      </c>
      <c r="M629" t="s">
        <v>303</v>
      </c>
      <c r="N629">
        <v>15</v>
      </c>
      <c r="O629">
        <v>3</v>
      </c>
      <c r="P629">
        <v>48</v>
      </c>
      <c r="Q629">
        <v>6.48</v>
      </c>
      <c r="R629" t="s">
        <v>26</v>
      </c>
      <c r="S629" t="b">
        <v>0</v>
      </c>
      <c r="T629" t="b">
        <v>0</v>
      </c>
    </row>
    <row r="630" spans="1:20" x14ac:dyDescent="0.3">
      <c r="A630" t="s">
        <v>1282</v>
      </c>
      <c r="B630" s="1">
        <v>41380</v>
      </c>
      <c r="C630" s="1">
        <v>41382</v>
      </c>
      <c r="D630" t="s">
        <v>1283</v>
      </c>
      <c r="E630" t="s">
        <v>194</v>
      </c>
      <c r="F630" t="s">
        <v>72</v>
      </c>
      <c r="G630" t="s">
        <v>130</v>
      </c>
      <c r="H630">
        <v>143.69999999999999</v>
      </c>
      <c r="I630">
        <v>3</v>
      </c>
      <c r="J630">
        <v>68.975999999999999</v>
      </c>
      <c r="K630">
        <v>2013</v>
      </c>
      <c r="L630">
        <v>4</v>
      </c>
      <c r="M630" t="s">
        <v>236</v>
      </c>
      <c r="N630">
        <v>16</v>
      </c>
      <c r="O630">
        <v>2</v>
      </c>
      <c r="P630">
        <v>48</v>
      </c>
      <c r="Q630">
        <v>47.9</v>
      </c>
      <c r="R630" t="s">
        <v>48</v>
      </c>
      <c r="S630" t="b">
        <v>0</v>
      </c>
      <c r="T630" t="b">
        <v>0</v>
      </c>
    </row>
    <row r="631" spans="1:20" x14ac:dyDescent="0.3">
      <c r="A631" t="s">
        <v>1284</v>
      </c>
      <c r="B631" s="1">
        <v>41180</v>
      </c>
      <c r="C631" s="1">
        <v>41183</v>
      </c>
      <c r="D631" t="s">
        <v>769</v>
      </c>
      <c r="E631" t="s">
        <v>51</v>
      </c>
      <c r="F631" t="s">
        <v>35</v>
      </c>
      <c r="G631" t="s">
        <v>1285</v>
      </c>
      <c r="H631">
        <v>43.26</v>
      </c>
      <c r="I631">
        <v>3</v>
      </c>
      <c r="J631">
        <v>14.2758</v>
      </c>
      <c r="K631">
        <v>2012</v>
      </c>
      <c r="L631">
        <v>9</v>
      </c>
      <c r="M631" t="s">
        <v>87</v>
      </c>
      <c r="N631">
        <v>28</v>
      </c>
      <c r="O631">
        <v>3</v>
      </c>
      <c r="P631">
        <v>33</v>
      </c>
      <c r="Q631">
        <v>14.42</v>
      </c>
      <c r="R631" t="s">
        <v>26</v>
      </c>
      <c r="S631" t="b">
        <v>0</v>
      </c>
      <c r="T631" t="b">
        <v>0</v>
      </c>
    </row>
    <row r="632" spans="1:20" x14ac:dyDescent="0.3">
      <c r="A632" t="s">
        <v>1284</v>
      </c>
      <c r="B632" s="1">
        <v>41180</v>
      </c>
      <c r="C632" s="1">
        <v>41183</v>
      </c>
      <c r="D632" t="s">
        <v>769</v>
      </c>
      <c r="E632" t="s">
        <v>51</v>
      </c>
      <c r="F632" t="s">
        <v>35</v>
      </c>
      <c r="G632" t="s">
        <v>1242</v>
      </c>
      <c r="H632">
        <v>43.56</v>
      </c>
      <c r="I632">
        <v>2</v>
      </c>
      <c r="J632">
        <v>15.246</v>
      </c>
      <c r="K632">
        <v>2012</v>
      </c>
      <c r="L632">
        <v>9</v>
      </c>
      <c r="M632" t="s">
        <v>87</v>
      </c>
      <c r="N632">
        <v>28</v>
      </c>
      <c r="O632">
        <v>3</v>
      </c>
      <c r="P632">
        <v>35</v>
      </c>
      <c r="Q632">
        <v>21.78</v>
      </c>
      <c r="R632" t="s">
        <v>26</v>
      </c>
      <c r="S632" t="b">
        <v>0</v>
      </c>
      <c r="T632" t="b">
        <v>0</v>
      </c>
    </row>
    <row r="633" spans="1:20" x14ac:dyDescent="0.3">
      <c r="A633" t="s">
        <v>1286</v>
      </c>
      <c r="B633" s="1">
        <v>41807</v>
      </c>
      <c r="C633" s="1">
        <v>41810</v>
      </c>
      <c r="D633" t="s">
        <v>104</v>
      </c>
      <c r="E633" t="s">
        <v>51</v>
      </c>
      <c r="F633" t="s">
        <v>72</v>
      </c>
      <c r="G633" t="s">
        <v>1287</v>
      </c>
      <c r="H633">
        <v>18.54</v>
      </c>
      <c r="I633">
        <v>2</v>
      </c>
      <c r="J633">
        <v>8.7138000000000009</v>
      </c>
      <c r="K633">
        <v>2014</v>
      </c>
      <c r="L633">
        <v>6</v>
      </c>
      <c r="M633" t="s">
        <v>25</v>
      </c>
      <c r="N633">
        <v>17</v>
      </c>
      <c r="O633">
        <v>3</v>
      </c>
      <c r="P633">
        <v>47</v>
      </c>
      <c r="Q633">
        <v>9.27</v>
      </c>
      <c r="R633" t="s">
        <v>26</v>
      </c>
      <c r="S633" t="b">
        <v>0</v>
      </c>
      <c r="T633" t="b">
        <v>0</v>
      </c>
    </row>
    <row r="634" spans="1:20" x14ac:dyDescent="0.3">
      <c r="A634" t="s">
        <v>1288</v>
      </c>
      <c r="B634" s="1">
        <v>41221</v>
      </c>
      <c r="C634" s="1">
        <v>41223</v>
      </c>
      <c r="D634" t="s">
        <v>1289</v>
      </c>
      <c r="E634" t="s">
        <v>194</v>
      </c>
      <c r="F634" t="s">
        <v>119</v>
      </c>
      <c r="G634" t="s">
        <v>1290</v>
      </c>
      <c r="H634">
        <v>5</v>
      </c>
      <c r="I634">
        <v>1</v>
      </c>
      <c r="J634">
        <v>2.4</v>
      </c>
      <c r="K634">
        <v>2012</v>
      </c>
      <c r="L634">
        <v>11</v>
      </c>
      <c r="M634" t="s">
        <v>70</v>
      </c>
      <c r="N634">
        <v>8</v>
      </c>
      <c r="O634">
        <v>2</v>
      </c>
      <c r="P634">
        <v>48</v>
      </c>
      <c r="Q634">
        <v>5</v>
      </c>
      <c r="R634" t="s">
        <v>26</v>
      </c>
      <c r="S634" t="b">
        <v>0</v>
      </c>
      <c r="T634" t="b">
        <v>0</v>
      </c>
    </row>
    <row r="635" spans="1:20" x14ac:dyDescent="0.3">
      <c r="A635" t="s">
        <v>1288</v>
      </c>
      <c r="B635" s="1">
        <v>41221</v>
      </c>
      <c r="C635" s="1">
        <v>41223</v>
      </c>
      <c r="D635" t="s">
        <v>1289</v>
      </c>
      <c r="E635" t="s">
        <v>194</v>
      </c>
      <c r="F635" t="s">
        <v>61</v>
      </c>
      <c r="G635" t="s">
        <v>1291</v>
      </c>
      <c r="H635">
        <v>371.97</v>
      </c>
      <c r="I635">
        <v>3</v>
      </c>
      <c r="J635">
        <v>66.954599999999999</v>
      </c>
      <c r="K635">
        <v>2012</v>
      </c>
      <c r="L635">
        <v>11</v>
      </c>
      <c r="M635" t="s">
        <v>70</v>
      </c>
      <c r="N635">
        <v>8</v>
      </c>
      <c r="O635">
        <v>2</v>
      </c>
      <c r="P635">
        <v>18</v>
      </c>
      <c r="Q635">
        <v>123.99</v>
      </c>
      <c r="R635" t="s">
        <v>26</v>
      </c>
      <c r="S635" t="b">
        <v>0</v>
      </c>
      <c r="T635" t="b">
        <v>1</v>
      </c>
    </row>
    <row r="636" spans="1:20" x14ac:dyDescent="0.3">
      <c r="A636" t="s">
        <v>1292</v>
      </c>
      <c r="B636" s="1">
        <v>41900</v>
      </c>
      <c r="C636" s="1">
        <v>41900</v>
      </c>
      <c r="D636" t="s">
        <v>1293</v>
      </c>
      <c r="E636" t="s">
        <v>39</v>
      </c>
      <c r="F636" t="s">
        <v>72</v>
      </c>
      <c r="G636" t="s">
        <v>1294</v>
      </c>
      <c r="H636">
        <v>12.96</v>
      </c>
      <c r="I636">
        <v>2</v>
      </c>
      <c r="J636">
        <v>6.3503999999999996</v>
      </c>
      <c r="K636">
        <v>2014</v>
      </c>
      <c r="L636">
        <v>9</v>
      </c>
      <c r="M636" t="s">
        <v>87</v>
      </c>
      <c r="N636">
        <v>18</v>
      </c>
      <c r="O636">
        <v>0</v>
      </c>
      <c r="P636">
        <v>49</v>
      </c>
      <c r="Q636">
        <v>6.48</v>
      </c>
      <c r="R636" t="s">
        <v>48</v>
      </c>
      <c r="S636" t="b">
        <v>0</v>
      </c>
      <c r="T636" t="b">
        <v>0</v>
      </c>
    </row>
    <row r="637" spans="1:20" x14ac:dyDescent="0.3">
      <c r="A637" t="s">
        <v>1295</v>
      </c>
      <c r="B637" s="1">
        <v>41173</v>
      </c>
      <c r="C637" s="1">
        <v>41179</v>
      </c>
      <c r="D637" t="s">
        <v>160</v>
      </c>
      <c r="E637" t="s">
        <v>39</v>
      </c>
      <c r="F637" t="s">
        <v>45</v>
      </c>
      <c r="G637" t="s">
        <v>1296</v>
      </c>
      <c r="H637">
        <v>199.74</v>
      </c>
      <c r="I637">
        <v>6</v>
      </c>
      <c r="J637">
        <v>47.937600000000003</v>
      </c>
      <c r="K637">
        <v>2012</v>
      </c>
      <c r="L637">
        <v>9</v>
      </c>
      <c r="M637" t="s">
        <v>87</v>
      </c>
      <c r="N637">
        <v>21</v>
      </c>
      <c r="O637">
        <v>6</v>
      </c>
      <c r="P637">
        <v>24</v>
      </c>
      <c r="Q637">
        <v>33.29</v>
      </c>
      <c r="R637" t="s">
        <v>26</v>
      </c>
      <c r="S637" t="b">
        <v>0</v>
      </c>
      <c r="T637" t="b">
        <v>0</v>
      </c>
    </row>
    <row r="638" spans="1:20" x14ac:dyDescent="0.3">
      <c r="A638" t="s">
        <v>1297</v>
      </c>
      <c r="B638" s="1">
        <v>40974</v>
      </c>
      <c r="C638" s="1">
        <v>40979</v>
      </c>
      <c r="D638" t="s">
        <v>580</v>
      </c>
      <c r="E638" t="s">
        <v>51</v>
      </c>
      <c r="F638" t="s">
        <v>29</v>
      </c>
      <c r="G638" t="s">
        <v>1298</v>
      </c>
      <c r="H638">
        <v>435.26</v>
      </c>
      <c r="I638">
        <v>7</v>
      </c>
      <c r="J638">
        <v>95.757199999999997</v>
      </c>
      <c r="K638">
        <v>2012</v>
      </c>
      <c r="L638">
        <v>3</v>
      </c>
      <c r="M638" t="s">
        <v>135</v>
      </c>
      <c r="N638">
        <v>6</v>
      </c>
      <c r="O638">
        <v>5</v>
      </c>
      <c r="P638">
        <v>22</v>
      </c>
      <c r="Q638">
        <v>62.18</v>
      </c>
      <c r="R638" t="s">
        <v>26</v>
      </c>
      <c r="S638" t="b">
        <v>0</v>
      </c>
      <c r="T638" t="b">
        <v>1</v>
      </c>
    </row>
    <row r="639" spans="1:20" x14ac:dyDescent="0.3">
      <c r="A639" t="s">
        <v>1299</v>
      </c>
      <c r="B639" s="1">
        <v>40819</v>
      </c>
      <c r="C639" s="1">
        <v>40824</v>
      </c>
      <c r="D639" t="s">
        <v>1300</v>
      </c>
      <c r="E639" t="s">
        <v>22</v>
      </c>
      <c r="F639" t="s">
        <v>174</v>
      </c>
      <c r="G639" t="s">
        <v>1301</v>
      </c>
      <c r="H639">
        <v>143.43199999999999</v>
      </c>
      <c r="I639">
        <v>1</v>
      </c>
      <c r="J639">
        <v>3.5857999999999999</v>
      </c>
      <c r="K639">
        <v>2011</v>
      </c>
      <c r="L639">
        <v>10</v>
      </c>
      <c r="M639" t="s">
        <v>82</v>
      </c>
      <c r="N639">
        <v>3</v>
      </c>
      <c r="O639">
        <v>5</v>
      </c>
      <c r="P639">
        <v>2.5</v>
      </c>
      <c r="Q639">
        <v>143.43199999999999</v>
      </c>
      <c r="R639" t="s">
        <v>26</v>
      </c>
      <c r="S639" t="b">
        <v>0</v>
      </c>
      <c r="T639" t="b">
        <v>0</v>
      </c>
    </row>
    <row r="640" spans="1:20" x14ac:dyDescent="0.3">
      <c r="A640" t="s">
        <v>1299</v>
      </c>
      <c r="B640" s="1">
        <v>40819</v>
      </c>
      <c r="C640" s="1">
        <v>40824</v>
      </c>
      <c r="D640" t="s">
        <v>1300</v>
      </c>
      <c r="E640" t="s">
        <v>22</v>
      </c>
      <c r="F640" t="s">
        <v>110</v>
      </c>
      <c r="G640" t="s">
        <v>1302</v>
      </c>
      <c r="H640">
        <v>122.352</v>
      </c>
      <c r="I640">
        <v>3</v>
      </c>
      <c r="J640">
        <v>13.7646</v>
      </c>
      <c r="K640">
        <v>2011</v>
      </c>
      <c r="L640">
        <v>10</v>
      </c>
      <c r="M640" t="s">
        <v>82</v>
      </c>
      <c r="N640">
        <v>3</v>
      </c>
      <c r="O640">
        <v>5</v>
      </c>
      <c r="P640">
        <v>11.25</v>
      </c>
      <c r="Q640">
        <v>40.783999999999999</v>
      </c>
      <c r="R640" t="s">
        <v>26</v>
      </c>
      <c r="S640" t="b">
        <v>0</v>
      </c>
      <c r="T640" t="b">
        <v>0</v>
      </c>
    </row>
    <row r="641" spans="1:20" x14ac:dyDescent="0.3">
      <c r="A641" t="s">
        <v>1303</v>
      </c>
      <c r="B641" s="1">
        <v>41943</v>
      </c>
      <c r="C641" s="1">
        <v>41946</v>
      </c>
      <c r="D641" t="s">
        <v>1304</v>
      </c>
      <c r="E641" t="s">
        <v>39</v>
      </c>
      <c r="F641" t="s">
        <v>110</v>
      </c>
      <c r="G641" t="s">
        <v>1163</v>
      </c>
      <c r="H641">
        <v>97.567999999999998</v>
      </c>
      <c r="I641">
        <v>2</v>
      </c>
      <c r="J641">
        <v>-6.0979999999999999</v>
      </c>
      <c r="K641">
        <v>2014</v>
      </c>
      <c r="L641">
        <v>10</v>
      </c>
      <c r="M641" t="s">
        <v>82</v>
      </c>
      <c r="N641">
        <v>31</v>
      </c>
      <c r="O641">
        <v>3</v>
      </c>
      <c r="P641">
        <v>-6.25</v>
      </c>
      <c r="Q641">
        <v>48.783999999999999</v>
      </c>
      <c r="R641" t="s">
        <v>26</v>
      </c>
      <c r="S641" t="b">
        <v>1</v>
      </c>
      <c r="T641" t="b">
        <v>0</v>
      </c>
    </row>
    <row r="642" spans="1:20" x14ac:dyDescent="0.3">
      <c r="A642" t="s">
        <v>1303</v>
      </c>
      <c r="B642" s="1">
        <v>41943</v>
      </c>
      <c r="C642" s="1">
        <v>41946</v>
      </c>
      <c r="D642" t="s">
        <v>1304</v>
      </c>
      <c r="E642" t="s">
        <v>39</v>
      </c>
      <c r="F642" t="s">
        <v>317</v>
      </c>
      <c r="G642" t="s">
        <v>738</v>
      </c>
      <c r="H642">
        <v>199.98</v>
      </c>
      <c r="I642">
        <v>2</v>
      </c>
      <c r="J642">
        <v>37.996200000000002</v>
      </c>
      <c r="K642">
        <v>2014</v>
      </c>
      <c r="L642">
        <v>10</v>
      </c>
      <c r="M642" t="s">
        <v>82</v>
      </c>
      <c r="N642">
        <v>31</v>
      </c>
      <c r="O642">
        <v>3</v>
      </c>
      <c r="P642">
        <v>19</v>
      </c>
      <c r="Q642">
        <v>99.99</v>
      </c>
      <c r="R642" t="s">
        <v>26</v>
      </c>
      <c r="S642" t="b">
        <v>0</v>
      </c>
      <c r="T642" t="b">
        <v>0</v>
      </c>
    </row>
    <row r="643" spans="1:20" x14ac:dyDescent="0.3">
      <c r="A643" t="s">
        <v>1305</v>
      </c>
      <c r="B643" s="1">
        <v>41801</v>
      </c>
      <c r="C643" s="1">
        <v>41804</v>
      </c>
      <c r="D643" t="s">
        <v>1306</v>
      </c>
      <c r="E643" t="s">
        <v>22</v>
      </c>
      <c r="F643" t="s">
        <v>31</v>
      </c>
      <c r="G643" t="s">
        <v>1307</v>
      </c>
      <c r="H643">
        <v>16.399999999999999</v>
      </c>
      <c r="I643">
        <v>5</v>
      </c>
      <c r="J643">
        <v>4.7560000000000002</v>
      </c>
      <c r="K643">
        <v>2014</v>
      </c>
      <c r="L643">
        <v>6</v>
      </c>
      <c r="M643" t="s">
        <v>25</v>
      </c>
      <c r="N643">
        <v>11</v>
      </c>
      <c r="O643">
        <v>3</v>
      </c>
      <c r="P643">
        <v>29</v>
      </c>
      <c r="Q643">
        <v>3.28</v>
      </c>
      <c r="R643" t="s">
        <v>26</v>
      </c>
      <c r="S643" t="b">
        <v>0</v>
      </c>
      <c r="T643" t="b">
        <v>0</v>
      </c>
    </row>
    <row r="644" spans="1:20" x14ac:dyDescent="0.3">
      <c r="A644" t="s">
        <v>1308</v>
      </c>
      <c r="B644" s="1">
        <v>41802</v>
      </c>
      <c r="C644" s="1">
        <v>41803</v>
      </c>
      <c r="D644" t="s">
        <v>1309</v>
      </c>
      <c r="E644" t="s">
        <v>1152</v>
      </c>
      <c r="F644" t="s">
        <v>110</v>
      </c>
      <c r="G644" t="s">
        <v>1310</v>
      </c>
      <c r="H644">
        <v>280.79199999999997</v>
      </c>
      <c r="I644">
        <v>1</v>
      </c>
      <c r="J644">
        <v>35.098999999999997</v>
      </c>
      <c r="K644">
        <v>2014</v>
      </c>
      <c r="L644">
        <v>6</v>
      </c>
      <c r="M644" t="s">
        <v>25</v>
      </c>
      <c r="N644">
        <v>12</v>
      </c>
      <c r="O644">
        <v>1</v>
      </c>
      <c r="P644">
        <v>12.5</v>
      </c>
      <c r="Q644">
        <v>280.79199999999997</v>
      </c>
      <c r="R644" t="s">
        <v>26</v>
      </c>
      <c r="S644" t="b">
        <v>0</v>
      </c>
      <c r="T644" t="b">
        <v>1</v>
      </c>
    </row>
    <row r="645" spans="1:20" x14ac:dyDescent="0.3">
      <c r="A645" t="s">
        <v>1308</v>
      </c>
      <c r="B645" s="1">
        <v>41802</v>
      </c>
      <c r="C645" s="1">
        <v>41803</v>
      </c>
      <c r="D645" t="s">
        <v>1309</v>
      </c>
      <c r="E645" t="s">
        <v>1152</v>
      </c>
      <c r="F645" t="s">
        <v>45</v>
      </c>
      <c r="G645" t="s">
        <v>83</v>
      </c>
      <c r="H645">
        <v>68.447999999999993</v>
      </c>
      <c r="I645">
        <v>4</v>
      </c>
      <c r="J645">
        <v>7.7004000000000001</v>
      </c>
      <c r="K645">
        <v>2014</v>
      </c>
      <c r="L645">
        <v>6</v>
      </c>
      <c r="M645" t="s">
        <v>25</v>
      </c>
      <c r="N645">
        <v>12</v>
      </c>
      <c r="O645">
        <v>1</v>
      </c>
      <c r="P645">
        <v>11.25</v>
      </c>
      <c r="Q645">
        <v>17.111999999999998</v>
      </c>
      <c r="R645" t="s">
        <v>26</v>
      </c>
      <c r="S645" t="b">
        <v>0</v>
      </c>
      <c r="T645" t="b">
        <v>0</v>
      </c>
    </row>
    <row r="646" spans="1:20" x14ac:dyDescent="0.3">
      <c r="A646" t="s">
        <v>1308</v>
      </c>
      <c r="B646" s="1">
        <v>41802</v>
      </c>
      <c r="C646" s="1">
        <v>41803</v>
      </c>
      <c r="D646" t="s">
        <v>1309</v>
      </c>
      <c r="E646" t="s">
        <v>1152</v>
      </c>
      <c r="F646" t="s">
        <v>31</v>
      </c>
      <c r="G646" t="s">
        <v>610</v>
      </c>
      <c r="H646">
        <v>88.04</v>
      </c>
      <c r="I646">
        <v>5</v>
      </c>
      <c r="J646">
        <v>6.6029999999999998</v>
      </c>
      <c r="K646">
        <v>2014</v>
      </c>
      <c r="L646">
        <v>6</v>
      </c>
      <c r="M646" t="s">
        <v>25</v>
      </c>
      <c r="N646">
        <v>12</v>
      </c>
      <c r="O646">
        <v>1</v>
      </c>
      <c r="P646">
        <v>7.5</v>
      </c>
      <c r="Q646">
        <v>17.608000000000001</v>
      </c>
      <c r="R646" t="s">
        <v>26</v>
      </c>
      <c r="S646" t="b">
        <v>0</v>
      </c>
      <c r="T646" t="b">
        <v>0</v>
      </c>
    </row>
    <row r="647" spans="1:20" x14ac:dyDescent="0.3">
      <c r="A647" t="s">
        <v>1308</v>
      </c>
      <c r="B647" s="1">
        <v>41802</v>
      </c>
      <c r="C647" s="1">
        <v>41803</v>
      </c>
      <c r="D647" t="s">
        <v>1309</v>
      </c>
      <c r="E647" t="s">
        <v>1152</v>
      </c>
      <c r="F647" t="s">
        <v>31</v>
      </c>
      <c r="G647" t="s">
        <v>1311</v>
      </c>
      <c r="H647">
        <v>15.872</v>
      </c>
      <c r="I647">
        <v>1</v>
      </c>
      <c r="J647">
        <v>1.984</v>
      </c>
      <c r="K647">
        <v>2014</v>
      </c>
      <c r="L647">
        <v>6</v>
      </c>
      <c r="M647" t="s">
        <v>25</v>
      </c>
      <c r="N647">
        <v>12</v>
      </c>
      <c r="O647">
        <v>1</v>
      </c>
      <c r="P647">
        <v>12.5</v>
      </c>
      <c r="Q647">
        <v>15.872</v>
      </c>
      <c r="R647" t="s">
        <v>26</v>
      </c>
      <c r="S647" t="b">
        <v>0</v>
      </c>
      <c r="T647" t="b">
        <v>0</v>
      </c>
    </row>
    <row r="648" spans="1:20" x14ac:dyDescent="0.3">
      <c r="A648" t="s">
        <v>1308</v>
      </c>
      <c r="B648" s="1">
        <v>41802</v>
      </c>
      <c r="C648" s="1">
        <v>41803</v>
      </c>
      <c r="D648" t="s">
        <v>1309</v>
      </c>
      <c r="E648" t="s">
        <v>1152</v>
      </c>
      <c r="F648" t="s">
        <v>45</v>
      </c>
      <c r="G648" t="s">
        <v>486</v>
      </c>
      <c r="H648">
        <v>215.59200000000001</v>
      </c>
      <c r="I648">
        <v>3</v>
      </c>
      <c r="J648">
        <v>-48.508200000000002</v>
      </c>
      <c r="K648">
        <v>2014</v>
      </c>
      <c r="L648">
        <v>6</v>
      </c>
      <c r="M648" t="s">
        <v>25</v>
      </c>
      <c r="N648">
        <v>12</v>
      </c>
      <c r="O648">
        <v>1</v>
      </c>
      <c r="P648">
        <v>-22.5</v>
      </c>
      <c r="Q648">
        <v>71.864000000000004</v>
      </c>
      <c r="R648" t="s">
        <v>26</v>
      </c>
      <c r="S648" t="b">
        <v>1</v>
      </c>
      <c r="T648" t="b">
        <v>0</v>
      </c>
    </row>
    <row r="649" spans="1:20" x14ac:dyDescent="0.3">
      <c r="A649" t="s">
        <v>1312</v>
      </c>
      <c r="B649" s="1">
        <v>41719</v>
      </c>
      <c r="C649" s="1">
        <v>41723</v>
      </c>
      <c r="D649" t="s">
        <v>511</v>
      </c>
      <c r="E649" t="s">
        <v>39</v>
      </c>
      <c r="F649" t="s">
        <v>61</v>
      </c>
      <c r="G649" t="s">
        <v>1313</v>
      </c>
      <c r="H649">
        <v>265.93</v>
      </c>
      <c r="I649">
        <v>7</v>
      </c>
      <c r="J649">
        <v>63.8232</v>
      </c>
      <c r="K649">
        <v>2014</v>
      </c>
      <c r="L649">
        <v>3</v>
      </c>
      <c r="M649" t="s">
        <v>135</v>
      </c>
      <c r="N649">
        <v>21</v>
      </c>
      <c r="O649">
        <v>4</v>
      </c>
      <c r="P649">
        <v>24</v>
      </c>
      <c r="Q649">
        <v>37.99</v>
      </c>
      <c r="R649" t="s">
        <v>26</v>
      </c>
      <c r="S649" t="b">
        <v>0</v>
      </c>
      <c r="T649" t="b">
        <v>1</v>
      </c>
    </row>
    <row r="650" spans="1:20" x14ac:dyDescent="0.3">
      <c r="A650" t="s">
        <v>1314</v>
      </c>
      <c r="B650" s="1">
        <v>41906</v>
      </c>
      <c r="C650" s="1">
        <v>41909</v>
      </c>
      <c r="D650" t="s">
        <v>1315</v>
      </c>
      <c r="E650" t="s">
        <v>1316</v>
      </c>
      <c r="F650" t="s">
        <v>128</v>
      </c>
      <c r="G650" t="s">
        <v>1317</v>
      </c>
      <c r="H650">
        <v>14.352</v>
      </c>
      <c r="I650">
        <v>3</v>
      </c>
      <c r="J650">
        <v>5.2026000000000003</v>
      </c>
      <c r="K650">
        <v>2014</v>
      </c>
      <c r="L650">
        <v>9</v>
      </c>
      <c r="M650" t="s">
        <v>87</v>
      </c>
      <c r="N650">
        <v>24</v>
      </c>
      <c r="O650">
        <v>3</v>
      </c>
      <c r="P650">
        <v>36.25</v>
      </c>
      <c r="Q650">
        <v>4.7839999999999998</v>
      </c>
      <c r="R650" t="s">
        <v>26</v>
      </c>
      <c r="S650" t="b">
        <v>0</v>
      </c>
      <c r="T650" t="b">
        <v>0</v>
      </c>
    </row>
    <row r="651" spans="1:20" x14ac:dyDescent="0.3">
      <c r="A651" t="s">
        <v>1318</v>
      </c>
      <c r="B651" s="1">
        <v>41542</v>
      </c>
      <c r="C651" s="1">
        <v>41544</v>
      </c>
      <c r="D651" t="s">
        <v>1319</v>
      </c>
      <c r="E651" t="s">
        <v>22</v>
      </c>
      <c r="F651" t="s">
        <v>45</v>
      </c>
      <c r="G651" t="s">
        <v>1320</v>
      </c>
      <c r="H651">
        <v>41.96</v>
      </c>
      <c r="I651">
        <v>2</v>
      </c>
      <c r="J651">
        <v>2.9371999999999998</v>
      </c>
      <c r="K651">
        <v>2013</v>
      </c>
      <c r="L651">
        <v>9</v>
      </c>
      <c r="M651" t="s">
        <v>87</v>
      </c>
      <c r="N651">
        <v>25</v>
      </c>
      <c r="O651">
        <v>2</v>
      </c>
      <c r="P651">
        <v>7</v>
      </c>
      <c r="Q651">
        <v>20.98</v>
      </c>
      <c r="R651" t="s">
        <v>26</v>
      </c>
      <c r="S651" t="b">
        <v>0</v>
      </c>
      <c r="T651" t="b">
        <v>0</v>
      </c>
    </row>
    <row r="652" spans="1:20" x14ac:dyDescent="0.3">
      <c r="A652" t="s">
        <v>1318</v>
      </c>
      <c r="B652" s="1">
        <v>41542</v>
      </c>
      <c r="C652" s="1">
        <v>41544</v>
      </c>
      <c r="D652" t="s">
        <v>1319</v>
      </c>
      <c r="E652" t="s">
        <v>22</v>
      </c>
      <c r="F652" t="s">
        <v>72</v>
      </c>
      <c r="G652" t="s">
        <v>1321</v>
      </c>
      <c r="H652">
        <v>41.7</v>
      </c>
      <c r="I652">
        <v>5</v>
      </c>
      <c r="J652">
        <v>20.85</v>
      </c>
      <c r="K652">
        <v>2013</v>
      </c>
      <c r="L652">
        <v>9</v>
      </c>
      <c r="M652" t="s">
        <v>87</v>
      </c>
      <c r="N652">
        <v>25</v>
      </c>
      <c r="O652">
        <v>2</v>
      </c>
      <c r="P652">
        <v>50</v>
      </c>
      <c r="Q652">
        <v>8.34</v>
      </c>
      <c r="R652" t="s">
        <v>26</v>
      </c>
      <c r="S652" t="b">
        <v>0</v>
      </c>
      <c r="T652" t="b">
        <v>0</v>
      </c>
    </row>
    <row r="653" spans="1:20" x14ac:dyDescent="0.3">
      <c r="A653" t="s">
        <v>1322</v>
      </c>
      <c r="B653" s="1">
        <v>41976</v>
      </c>
      <c r="C653" s="1">
        <v>41977</v>
      </c>
      <c r="D653" t="s">
        <v>1323</v>
      </c>
      <c r="E653" t="s">
        <v>22</v>
      </c>
      <c r="F653" t="s">
        <v>33</v>
      </c>
      <c r="G653" t="s">
        <v>155</v>
      </c>
      <c r="H653">
        <v>9.0239999999999991</v>
      </c>
      <c r="I653">
        <v>6</v>
      </c>
      <c r="J653">
        <v>3.1583999999999999</v>
      </c>
      <c r="K653">
        <v>2014</v>
      </c>
      <c r="L653">
        <v>12</v>
      </c>
      <c r="M653" t="s">
        <v>41</v>
      </c>
      <c r="N653">
        <v>3</v>
      </c>
      <c r="O653">
        <v>1</v>
      </c>
      <c r="P653">
        <v>35</v>
      </c>
      <c r="Q653">
        <v>1.504</v>
      </c>
      <c r="R653" t="s">
        <v>26</v>
      </c>
      <c r="S653" t="b">
        <v>0</v>
      </c>
      <c r="T653" t="b">
        <v>0</v>
      </c>
    </row>
    <row r="654" spans="1:20" x14ac:dyDescent="0.3">
      <c r="A654" t="s">
        <v>1322</v>
      </c>
      <c r="B654" s="1">
        <v>41976</v>
      </c>
      <c r="C654" s="1">
        <v>41977</v>
      </c>
      <c r="D654" t="s">
        <v>1323</v>
      </c>
      <c r="E654" t="s">
        <v>22</v>
      </c>
      <c r="F654" t="s">
        <v>33</v>
      </c>
      <c r="G654" t="s">
        <v>1324</v>
      </c>
      <c r="H654">
        <v>69.456000000000003</v>
      </c>
      <c r="I654">
        <v>2</v>
      </c>
      <c r="J654">
        <v>22.5732</v>
      </c>
      <c r="K654">
        <v>2014</v>
      </c>
      <c r="L654">
        <v>12</v>
      </c>
      <c r="M654" t="s">
        <v>41</v>
      </c>
      <c r="N654">
        <v>3</v>
      </c>
      <c r="O654">
        <v>1</v>
      </c>
      <c r="P654">
        <v>32.5</v>
      </c>
      <c r="Q654">
        <v>34.728000000000002</v>
      </c>
      <c r="R654" t="s">
        <v>26</v>
      </c>
      <c r="S654" t="b">
        <v>0</v>
      </c>
      <c r="T654" t="b">
        <v>0</v>
      </c>
    </row>
    <row r="655" spans="1:20" x14ac:dyDescent="0.3">
      <c r="A655" t="s">
        <v>1322</v>
      </c>
      <c r="B655" s="1">
        <v>41976</v>
      </c>
      <c r="C655" s="1">
        <v>41977</v>
      </c>
      <c r="D655" t="s">
        <v>1323</v>
      </c>
      <c r="E655" t="s">
        <v>22</v>
      </c>
      <c r="F655" t="s">
        <v>72</v>
      </c>
      <c r="G655" t="s">
        <v>276</v>
      </c>
      <c r="H655">
        <v>10.86</v>
      </c>
      <c r="I655">
        <v>2</v>
      </c>
      <c r="J655">
        <v>5.3213999999999997</v>
      </c>
      <c r="K655">
        <v>2014</v>
      </c>
      <c r="L655">
        <v>12</v>
      </c>
      <c r="M655" t="s">
        <v>41</v>
      </c>
      <c r="N655">
        <v>3</v>
      </c>
      <c r="O655">
        <v>1</v>
      </c>
      <c r="P655">
        <v>49</v>
      </c>
      <c r="Q655">
        <v>5.43</v>
      </c>
      <c r="R655" t="s">
        <v>26</v>
      </c>
      <c r="S655" t="b">
        <v>0</v>
      </c>
      <c r="T655" t="b">
        <v>0</v>
      </c>
    </row>
    <row r="656" spans="1:20" x14ac:dyDescent="0.3">
      <c r="A656" t="s">
        <v>1322</v>
      </c>
      <c r="B656" s="1">
        <v>41976</v>
      </c>
      <c r="C656" s="1">
        <v>41977</v>
      </c>
      <c r="D656" t="s">
        <v>1323</v>
      </c>
      <c r="E656" t="s">
        <v>22</v>
      </c>
      <c r="F656" t="s">
        <v>35</v>
      </c>
      <c r="G656" t="s">
        <v>1261</v>
      </c>
      <c r="H656">
        <v>79.47</v>
      </c>
      <c r="I656">
        <v>3</v>
      </c>
      <c r="J656">
        <v>22.2516</v>
      </c>
      <c r="K656">
        <v>2014</v>
      </c>
      <c r="L656">
        <v>12</v>
      </c>
      <c r="M656" t="s">
        <v>41</v>
      </c>
      <c r="N656">
        <v>3</v>
      </c>
      <c r="O656">
        <v>1</v>
      </c>
      <c r="P656">
        <v>28</v>
      </c>
      <c r="Q656">
        <v>26.49</v>
      </c>
      <c r="R656" t="s">
        <v>26</v>
      </c>
      <c r="S656" t="b">
        <v>0</v>
      </c>
      <c r="T656" t="b">
        <v>0</v>
      </c>
    </row>
    <row r="657" spans="1:20" x14ac:dyDescent="0.3">
      <c r="A657" t="s">
        <v>1322</v>
      </c>
      <c r="B657" s="1">
        <v>41976</v>
      </c>
      <c r="C657" s="1">
        <v>41977</v>
      </c>
      <c r="D657" t="s">
        <v>1323</v>
      </c>
      <c r="E657" t="s">
        <v>22</v>
      </c>
      <c r="F657" t="s">
        <v>31</v>
      </c>
      <c r="G657" t="s">
        <v>878</v>
      </c>
      <c r="H657">
        <v>10.08</v>
      </c>
      <c r="I657">
        <v>6</v>
      </c>
      <c r="J657">
        <v>5.04</v>
      </c>
      <c r="K657">
        <v>2014</v>
      </c>
      <c r="L657">
        <v>12</v>
      </c>
      <c r="M657" t="s">
        <v>41</v>
      </c>
      <c r="N657">
        <v>3</v>
      </c>
      <c r="O657">
        <v>1</v>
      </c>
      <c r="P657">
        <v>50</v>
      </c>
      <c r="Q657">
        <v>1.68</v>
      </c>
      <c r="R657" t="s">
        <v>26</v>
      </c>
      <c r="S657" t="b">
        <v>0</v>
      </c>
      <c r="T657" t="b">
        <v>0</v>
      </c>
    </row>
    <row r="658" spans="1:20" x14ac:dyDescent="0.3">
      <c r="A658" t="s">
        <v>1325</v>
      </c>
      <c r="B658" s="1">
        <v>41152</v>
      </c>
      <c r="C658" s="1">
        <v>41154</v>
      </c>
      <c r="D658" t="s">
        <v>1326</v>
      </c>
      <c r="E658" t="s">
        <v>51</v>
      </c>
      <c r="F658" t="s">
        <v>33</v>
      </c>
      <c r="G658" t="s">
        <v>1236</v>
      </c>
      <c r="H658">
        <v>137.24</v>
      </c>
      <c r="I658">
        <v>5</v>
      </c>
      <c r="J658">
        <v>46.3185</v>
      </c>
      <c r="K658">
        <v>2012</v>
      </c>
      <c r="L658">
        <v>8</v>
      </c>
      <c r="M658" t="s">
        <v>53</v>
      </c>
      <c r="N658">
        <v>31</v>
      </c>
      <c r="O658">
        <v>2</v>
      </c>
      <c r="P658">
        <v>33.75</v>
      </c>
      <c r="Q658">
        <v>27.448</v>
      </c>
      <c r="R658" t="s">
        <v>26</v>
      </c>
      <c r="S658" t="b">
        <v>0</v>
      </c>
      <c r="T658" t="b">
        <v>0</v>
      </c>
    </row>
    <row r="659" spans="1:20" x14ac:dyDescent="0.3">
      <c r="A659" t="s">
        <v>1325</v>
      </c>
      <c r="B659" s="1">
        <v>41152</v>
      </c>
      <c r="C659" s="1">
        <v>41154</v>
      </c>
      <c r="D659" t="s">
        <v>1326</v>
      </c>
      <c r="E659" t="s">
        <v>51</v>
      </c>
      <c r="F659" t="s">
        <v>61</v>
      </c>
      <c r="G659" t="s">
        <v>1327</v>
      </c>
      <c r="H659">
        <v>36.51</v>
      </c>
      <c r="I659">
        <v>1</v>
      </c>
      <c r="J659">
        <v>15.699299999999999</v>
      </c>
      <c r="K659">
        <v>2012</v>
      </c>
      <c r="L659">
        <v>8</v>
      </c>
      <c r="M659" t="s">
        <v>53</v>
      </c>
      <c r="N659">
        <v>31</v>
      </c>
      <c r="O659">
        <v>2</v>
      </c>
      <c r="P659">
        <v>43</v>
      </c>
      <c r="Q659">
        <v>36.51</v>
      </c>
      <c r="R659" t="s">
        <v>26</v>
      </c>
      <c r="S659" t="b">
        <v>0</v>
      </c>
      <c r="T659" t="b">
        <v>0</v>
      </c>
    </row>
    <row r="660" spans="1:20" x14ac:dyDescent="0.3">
      <c r="A660" t="s">
        <v>1325</v>
      </c>
      <c r="B660" s="1">
        <v>41152</v>
      </c>
      <c r="C660" s="1">
        <v>41154</v>
      </c>
      <c r="D660" t="s">
        <v>1326</v>
      </c>
      <c r="E660" t="s">
        <v>51</v>
      </c>
      <c r="F660" t="s">
        <v>793</v>
      </c>
      <c r="G660" t="s">
        <v>1328</v>
      </c>
      <c r="H660">
        <v>239.976</v>
      </c>
      <c r="I660">
        <v>3</v>
      </c>
      <c r="J660">
        <v>80.991900000000001</v>
      </c>
      <c r="K660">
        <v>2012</v>
      </c>
      <c r="L660">
        <v>8</v>
      </c>
      <c r="M660" t="s">
        <v>53</v>
      </c>
      <c r="N660">
        <v>31</v>
      </c>
      <c r="O660">
        <v>2</v>
      </c>
      <c r="P660">
        <v>33.75</v>
      </c>
      <c r="Q660">
        <v>79.992000000000004</v>
      </c>
      <c r="R660" t="s">
        <v>26</v>
      </c>
      <c r="S660" t="b">
        <v>0</v>
      </c>
      <c r="T660" t="b">
        <v>1</v>
      </c>
    </row>
    <row r="661" spans="1:20" x14ac:dyDescent="0.3">
      <c r="A661" t="s">
        <v>1329</v>
      </c>
      <c r="B661" s="1">
        <v>40871</v>
      </c>
      <c r="C661" s="1">
        <v>40873</v>
      </c>
      <c r="D661" t="s">
        <v>1330</v>
      </c>
      <c r="E661" t="s">
        <v>1331</v>
      </c>
      <c r="F661" t="s">
        <v>110</v>
      </c>
      <c r="G661" t="s">
        <v>1332</v>
      </c>
      <c r="H661">
        <v>120.712</v>
      </c>
      <c r="I661">
        <v>1</v>
      </c>
      <c r="J661">
        <v>-18.1068</v>
      </c>
      <c r="K661">
        <v>2011</v>
      </c>
      <c r="L661">
        <v>11</v>
      </c>
      <c r="M661" t="s">
        <v>70</v>
      </c>
      <c r="N661">
        <v>24</v>
      </c>
      <c r="O661">
        <v>2</v>
      </c>
      <c r="P661">
        <v>-15</v>
      </c>
      <c r="Q661">
        <v>120.712</v>
      </c>
      <c r="R661" t="s">
        <v>26</v>
      </c>
      <c r="S661" t="b">
        <v>1</v>
      </c>
      <c r="T661" t="b">
        <v>0</v>
      </c>
    </row>
    <row r="662" spans="1:20" x14ac:dyDescent="0.3">
      <c r="A662" t="s">
        <v>1333</v>
      </c>
      <c r="B662" s="1">
        <v>41249</v>
      </c>
      <c r="C662" s="1">
        <v>41254</v>
      </c>
      <c r="D662" t="s">
        <v>1334</v>
      </c>
      <c r="E662" t="s">
        <v>1335</v>
      </c>
      <c r="F662" t="s">
        <v>72</v>
      </c>
      <c r="G662" t="s">
        <v>1336</v>
      </c>
      <c r="H662">
        <v>32.75</v>
      </c>
      <c r="I662">
        <v>5</v>
      </c>
      <c r="J662">
        <v>15.065</v>
      </c>
      <c r="K662">
        <v>2012</v>
      </c>
      <c r="L662">
        <v>12</v>
      </c>
      <c r="M662" t="s">
        <v>41</v>
      </c>
      <c r="N662">
        <v>6</v>
      </c>
      <c r="O662">
        <v>5</v>
      </c>
      <c r="P662">
        <v>46</v>
      </c>
      <c r="Q662">
        <v>6.55</v>
      </c>
      <c r="R662" t="s">
        <v>26</v>
      </c>
      <c r="S662" t="b">
        <v>0</v>
      </c>
      <c r="T662" t="b">
        <v>0</v>
      </c>
    </row>
    <row r="663" spans="1:20" x14ac:dyDescent="0.3">
      <c r="A663" t="s">
        <v>1337</v>
      </c>
      <c r="B663" s="1">
        <v>41724</v>
      </c>
      <c r="C663" s="1">
        <v>41725</v>
      </c>
      <c r="D663" t="s">
        <v>1338</v>
      </c>
      <c r="E663" t="s">
        <v>737</v>
      </c>
      <c r="F663" t="s">
        <v>35</v>
      </c>
      <c r="G663" t="s">
        <v>1339</v>
      </c>
      <c r="H663">
        <v>176.04</v>
      </c>
      <c r="I663">
        <v>4</v>
      </c>
      <c r="J663">
        <v>45.770400000000002</v>
      </c>
      <c r="K663">
        <v>2014</v>
      </c>
      <c r="L663">
        <v>3</v>
      </c>
      <c r="M663" t="s">
        <v>135</v>
      </c>
      <c r="N663">
        <v>26</v>
      </c>
      <c r="O663">
        <v>1</v>
      </c>
      <c r="P663">
        <v>26</v>
      </c>
      <c r="Q663">
        <v>44.01</v>
      </c>
      <c r="R663" t="s">
        <v>26</v>
      </c>
      <c r="S663" t="b">
        <v>0</v>
      </c>
      <c r="T663" t="b">
        <v>0</v>
      </c>
    </row>
    <row r="664" spans="1:20" x14ac:dyDescent="0.3">
      <c r="A664" t="s">
        <v>1337</v>
      </c>
      <c r="B664" s="1">
        <v>41724</v>
      </c>
      <c r="C664" s="1">
        <v>41725</v>
      </c>
      <c r="D664" t="s">
        <v>1338</v>
      </c>
      <c r="E664" t="s">
        <v>737</v>
      </c>
      <c r="F664" t="s">
        <v>31</v>
      </c>
      <c r="G664" t="s">
        <v>155</v>
      </c>
      <c r="H664">
        <v>16.02</v>
      </c>
      <c r="I664">
        <v>9</v>
      </c>
      <c r="J664">
        <v>4.4855999999999998</v>
      </c>
      <c r="K664">
        <v>2014</v>
      </c>
      <c r="L664">
        <v>3</v>
      </c>
      <c r="M664" t="s">
        <v>135</v>
      </c>
      <c r="N664">
        <v>26</v>
      </c>
      <c r="O664">
        <v>1</v>
      </c>
      <c r="P664">
        <v>28</v>
      </c>
      <c r="Q664">
        <v>1.78</v>
      </c>
      <c r="R664" t="s">
        <v>26</v>
      </c>
      <c r="S664" t="b">
        <v>0</v>
      </c>
      <c r="T664" t="b">
        <v>0</v>
      </c>
    </row>
    <row r="665" spans="1:20" x14ac:dyDescent="0.3">
      <c r="A665" t="s">
        <v>1337</v>
      </c>
      <c r="B665" s="1">
        <v>41724</v>
      </c>
      <c r="C665" s="1">
        <v>41725</v>
      </c>
      <c r="D665" t="s">
        <v>1338</v>
      </c>
      <c r="E665" t="s">
        <v>737</v>
      </c>
      <c r="F665" t="s">
        <v>33</v>
      </c>
      <c r="G665" t="s">
        <v>1340</v>
      </c>
      <c r="H665">
        <v>185.92</v>
      </c>
      <c r="I665">
        <v>4</v>
      </c>
      <c r="J665">
        <v>62.747999999999998</v>
      </c>
      <c r="K665">
        <v>2014</v>
      </c>
      <c r="L665">
        <v>3</v>
      </c>
      <c r="M665" t="s">
        <v>135</v>
      </c>
      <c r="N665">
        <v>26</v>
      </c>
      <c r="O665">
        <v>1</v>
      </c>
      <c r="P665">
        <v>33.75</v>
      </c>
      <c r="Q665">
        <v>46.48</v>
      </c>
      <c r="R665" t="s">
        <v>26</v>
      </c>
      <c r="S665" t="b">
        <v>0</v>
      </c>
      <c r="T665" t="b">
        <v>0</v>
      </c>
    </row>
    <row r="666" spans="1:20" x14ac:dyDescent="0.3">
      <c r="A666" t="s">
        <v>1337</v>
      </c>
      <c r="B666" s="1">
        <v>41724</v>
      </c>
      <c r="C666" s="1">
        <v>41725</v>
      </c>
      <c r="D666" t="s">
        <v>1338</v>
      </c>
      <c r="E666" t="s">
        <v>737</v>
      </c>
      <c r="F666" t="s">
        <v>54</v>
      </c>
      <c r="G666" t="s">
        <v>1341</v>
      </c>
      <c r="H666">
        <v>211.16800000000001</v>
      </c>
      <c r="I666">
        <v>4</v>
      </c>
      <c r="J666">
        <v>15.8376</v>
      </c>
      <c r="K666">
        <v>2014</v>
      </c>
      <c r="L666">
        <v>3</v>
      </c>
      <c r="M666" t="s">
        <v>135</v>
      </c>
      <c r="N666">
        <v>26</v>
      </c>
      <c r="O666">
        <v>1</v>
      </c>
      <c r="P666">
        <v>7.5</v>
      </c>
      <c r="Q666">
        <v>52.792000000000002</v>
      </c>
      <c r="R666" t="s">
        <v>26</v>
      </c>
      <c r="S666" t="b">
        <v>0</v>
      </c>
      <c r="T666" t="b">
        <v>0</v>
      </c>
    </row>
    <row r="667" spans="1:20" x14ac:dyDescent="0.3">
      <c r="A667" t="s">
        <v>1337</v>
      </c>
      <c r="B667" s="1">
        <v>41724</v>
      </c>
      <c r="C667" s="1">
        <v>41725</v>
      </c>
      <c r="D667" t="s">
        <v>1338</v>
      </c>
      <c r="E667" t="s">
        <v>737</v>
      </c>
      <c r="F667" t="s">
        <v>1342</v>
      </c>
      <c r="G667" t="s">
        <v>1343</v>
      </c>
      <c r="H667">
        <v>479.98399999999998</v>
      </c>
      <c r="I667">
        <v>2</v>
      </c>
      <c r="J667">
        <v>59.997999999999998</v>
      </c>
      <c r="K667">
        <v>2014</v>
      </c>
      <c r="L667">
        <v>3</v>
      </c>
      <c r="M667" t="s">
        <v>135</v>
      </c>
      <c r="N667">
        <v>26</v>
      </c>
      <c r="O667">
        <v>1</v>
      </c>
      <c r="P667">
        <v>12.5</v>
      </c>
      <c r="Q667">
        <v>239.99199999999999</v>
      </c>
      <c r="R667" t="s">
        <v>26</v>
      </c>
      <c r="S667" t="b">
        <v>0</v>
      </c>
      <c r="T667" t="b">
        <v>1</v>
      </c>
    </row>
    <row r="668" spans="1:20" x14ac:dyDescent="0.3">
      <c r="A668" t="s">
        <v>1344</v>
      </c>
      <c r="B668" s="1">
        <v>41255</v>
      </c>
      <c r="C668" s="1">
        <v>41258</v>
      </c>
      <c r="D668" t="s">
        <v>1345</v>
      </c>
      <c r="E668" t="s">
        <v>194</v>
      </c>
      <c r="F668" t="s">
        <v>119</v>
      </c>
      <c r="G668" t="s">
        <v>155</v>
      </c>
      <c r="H668">
        <v>7.86</v>
      </c>
      <c r="I668">
        <v>2</v>
      </c>
      <c r="J668">
        <v>3.6156000000000001</v>
      </c>
      <c r="K668">
        <v>2012</v>
      </c>
      <c r="L668">
        <v>12</v>
      </c>
      <c r="M668" t="s">
        <v>41</v>
      </c>
      <c r="N668">
        <v>12</v>
      </c>
      <c r="O668">
        <v>3</v>
      </c>
      <c r="P668">
        <v>46</v>
      </c>
      <c r="Q668">
        <v>3.93</v>
      </c>
      <c r="R668" t="s">
        <v>26</v>
      </c>
      <c r="S668" t="b">
        <v>0</v>
      </c>
      <c r="T668" t="b">
        <v>0</v>
      </c>
    </row>
    <row r="669" spans="1:20" x14ac:dyDescent="0.3">
      <c r="A669" t="s">
        <v>1344</v>
      </c>
      <c r="B669" s="1">
        <v>41255</v>
      </c>
      <c r="C669" s="1">
        <v>41258</v>
      </c>
      <c r="D669" t="s">
        <v>1345</v>
      </c>
      <c r="E669" t="s">
        <v>194</v>
      </c>
      <c r="F669" t="s">
        <v>33</v>
      </c>
      <c r="G669" t="s">
        <v>1346</v>
      </c>
      <c r="H669">
        <v>24.448</v>
      </c>
      <c r="I669">
        <v>2</v>
      </c>
      <c r="J669">
        <v>8.8623999999999992</v>
      </c>
      <c r="K669">
        <v>2012</v>
      </c>
      <c r="L669">
        <v>12</v>
      </c>
      <c r="M669" t="s">
        <v>41</v>
      </c>
      <c r="N669">
        <v>12</v>
      </c>
      <c r="O669">
        <v>3</v>
      </c>
      <c r="P669">
        <v>36.25</v>
      </c>
      <c r="Q669">
        <v>12.224</v>
      </c>
      <c r="R669" t="s">
        <v>26</v>
      </c>
      <c r="S669" t="b">
        <v>0</v>
      </c>
      <c r="T669" t="b">
        <v>0</v>
      </c>
    </row>
    <row r="670" spans="1:20" x14ac:dyDescent="0.3">
      <c r="A670" t="s">
        <v>1347</v>
      </c>
      <c r="B670" s="1">
        <v>41866</v>
      </c>
      <c r="C670" s="1">
        <v>41868</v>
      </c>
      <c r="D670" t="s">
        <v>736</v>
      </c>
      <c r="E670" t="s">
        <v>51</v>
      </c>
      <c r="F670" t="s">
        <v>23</v>
      </c>
      <c r="G670" t="s">
        <v>1348</v>
      </c>
      <c r="H670">
        <v>5.76</v>
      </c>
      <c r="I670">
        <v>2</v>
      </c>
      <c r="J670">
        <v>2.8224</v>
      </c>
      <c r="K670">
        <v>2014</v>
      </c>
      <c r="L670">
        <v>8</v>
      </c>
      <c r="M670" t="s">
        <v>53</v>
      </c>
      <c r="N670">
        <v>15</v>
      </c>
      <c r="O670">
        <v>2</v>
      </c>
      <c r="P670">
        <v>49</v>
      </c>
      <c r="Q670">
        <v>2.88</v>
      </c>
      <c r="R670" t="s">
        <v>26</v>
      </c>
      <c r="S670" t="b">
        <v>0</v>
      </c>
      <c r="T670" t="b">
        <v>0</v>
      </c>
    </row>
    <row r="671" spans="1:20" x14ac:dyDescent="0.3">
      <c r="A671" t="s">
        <v>1347</v>
      </c>
      <c r="B671" s="1">
        <v>41866</v>
      </c>
      <c r="C671" s="1">
        <v>41868</v>
      </c>
      <c r="D671" t="s">
        <v>736</v>
      </c>
      <c r="E671" t="s">
        <v>51</v>
      </c>
      <c r="F671" t="s">
        <v>31</v>
      </c>
      <c r="G671" t="s">
        <v>1349</v>
      </c>
      <c r="H671">
        <v>16.68</v>
      </c>
      <c r="I671">
        <v>6</v>
      </c>
      <c r="J671">
        <v>4.3368000000000002</v>
      </c>
      <c r="K671">
        <v>2014</v>
      </c>
      <c r="L671">
        <v>8</v>
      </c>
      <c r="M671" t="s">
        <v>53</v>
      </c>
      <c r="N671">
        <v>15</v>
      </c>
      <c r="O671">
        <v>2</v>
      </c>
      <c r="P671">
        <v>26</v>
      </c>
      <c r="Q671">
        <v>2.78</v>
      </c>
      <c r="R671" t="s">
        <v>26</v>
      </c>
      <c r="S671" t="b">
        <v>0</v>
      </c>
      <c r="T671" t="b">
        <v>0</v>
      </c>
    </row>
    <row r="672" spans="1:20" x14ac:dyDescent="0.3">
      <c r="A672" t="s">
        <v>1350</v>
      </c>
      <c r="B672" s="1">
        <v>41920</v>
      </c>
      <c r="C672" s="1">
        <v>41924</v>
      </c>
      <c r="D672" t="s">
        <v>1351</v>
      </c>
      <c r="E672" t="s">
        <v>22</v>
      </c>
      <c r="F672" t="s">
        <v>54</v>
      </c>
      <c r="G672" t="s">
        <v>358</v>
      </c>
      <c r="H672">
        <v>128.744</v>
      </c>
      <c r="I672">
        <v>7</v>
      </c>
      <c r="J672">
        <v>-28.967400000000001</v>
      </c>
      <c r="K672">
        <v>2014</v>
      </c>
      <c r="L672">
        <v>10</v>
      </c>
      <c r="M672" t="s">
        <v>82</v>
      </c>
      <c r="N672">
        <v>8</v>
      </c>
      <c r="O672">
        <v>4</v>
      </c>
      <c r="P672">
        <v>-22.5</v>
      </c>
      <c r="Q672">
        <v>18.391999999999999</v>
      </c>
      <c r="R672" t="s">
        <v>26</v>
      </c>
      <c r="S672" t="b">
        <v>1</v>
      </c>
      <c r="T672" t="b">
        <v>0</v>
      </c>
    </row>
    <row r="673" spans="1:20" x14ac:dyDescent="0.3">
      <c r="A673" t="s">
        <v>1350</v>
      </c>
      <c r="B673" s="1">
        <v>41920</v>
      </c>
      <c r="C673" s="1">
        <v>41924</v>
      </c>
      <c r="D673" t="s">
        <v>1351</v>
      </c>
      <c r="E673" t="s">
        <v>22</v>
      </c>
      <c r="F673" t="s">
        <v>54</v>
      </c>
      <c r="G673" t="s">
        <v>1352</v>
      </c>
      <c r="H673">
        <v>79.92</v>
      </c>
      <c r="I673">
        <v>10</v>
      </c>
      <c r="J673">
        <v>26.972999999999999</v>
      </c>
      <c r="K673">
        <v>2014</v>
      </c>
      <c r="L673">
        <v>10</v>
      </c>
      <c r="M673" t="s">
        <v>82</v>
      </c>
      <c r="N673">
        <v>8</v>
      </c>
      <c r="O673">
        <v>4</v>
      </c>
      <c r="P673">
        <v>33.75</v>
      </c>
      <c r="Q673">
        <v>7.992</v>
      </c>
      <c r="R673" t="s">
        <v>26</v>
      </c>
      <c r="S673" t="b">
        <v>0</v>
      </c>
      <c r="T673" t="b">
        <v>0</v>
      </c>
    </row>
    <row r="674" spans="1:20" x14ac:dyDescent="0.3">
      <c r="A674" t="s">
        <v>1353</v>
      </c>
      <c r="B674" s="1">
        <v>41660</v>
      </c>
      <c r="C674" s="1">
        <v>41665</v>
      </c>
      <c r="D674" t="s">
        <v>1354</v>
      </c>
      <c r="E674" t="s">
        <v>51</v>
      </c>
      <c r="F674" t="s">
        <v>31</v>
      </c>
      <c r="G674" t="s">
        <v>155</v>
      </c>
      <c r="H674">
        <v>24.2</v>
      </c>
      <c r="I674">
        <v>5</v>
      </c>
      <c r="J674">
        <v>7.9859999999999998</v>
      </c>
      <c r="K674">
        <v>2014</v>
      </c>
      <c r="L674">
        <v>1</v>
      </c>
      <c r="M674" t="s">
        <v>60</v>
      </c>
      <c r="N674">
        <v>21</v>
      </c>
      <c r="O674">
        <v>5</v>
      </c>
      <c r="P674">
        <v>33</v>
      </c>
      <c r="Q674">
        <v>4.84</v>
      </c>
      <c r="R674" t="s">
        <v>26</v>
      </c>
      <c r="S674" t="b">
        <v>0</v>
      </c>
      <c r="T674" t="b">
        <v>0</v>
      </c>
    </row>
    <row r="675" spans="1:20" x14ac:dyDescent="0.3">
      <c r="A675" t="s">
        <v>1353</v>
      </c>
      <c r="B675" s="1">
        <v>41660</v>
      </c>
      <c r="C675" s="1">
        <v>41665</v>
      </c>
      <c r="D675" t="s">
        <v>1354</v>
      </c>
      <c r="E675" t="s">
        <v>51</v>
      </c>
      <c r="F675" t="s">
        <v>54</v>
      </c>
      <c r="G675" t="s">
        <v>1355</v>
      </c>
      <c r="H675">
        <v>359.976</v>
      </c>
      <c r="I675">
        <v>3</v>
      </c>
      <c r="J675">
        <v>130.4913</v>
      </c>
      <c r="K675">
        <v>2014</v>
      </c>
      <c r="L675">
        <v>1</v>
      </c>
      <c r="M675" t="s">
        <v>60</v>
      </c>
      <c r="N675">
        <v>21</v>
      </c>
      <c r="O675">
        <v>5</v>
      </c>
      <c r="P675">
        <v>36.25</v>
      </c>
      <c r="Q675">
        <v>119.992</v>
      </c>
      <c r="R675" t="s">
        <v>26</v>
      </c>
      <c r="S675" t="b">
        <v>0</v>
      </c>
      <c r="T675" t="b">
        <v>1</v>
      </c>
    </row>
    <row r="676" spans="1:20" x14ac:dyDescent="0.3">
      <c r="A676" t="s">
        <v>1356</v>
      </c>
      <c r="B676" s="1">
        <v>41722</v>
      </c>
      <c r="C676" s="1">
        <v>41724</v>
      </c>
      <c r="D676" t="s">
        <v>1357</v>
      </c>
      <c r="E676" t="s">
        <v>51</v>
      </c>
      <c r="F676" t="s">
        <v>29</v>
      </c>
      <c r="G676" t="s">
        <v>1358</v>
      </c>
      <c r="H676">
        <v>211.84</v>
      </c>
      <c r="I676">
        <v>8</v>
      </c>
      <c r="J676">
        <v>76.2624</v>
      </c>
      <c r="K676">
        <v>2014</v>
      </c>
      <c r="L676">
        <v>3</v>
      </c>
      <c r="M676" t="s">
        <v>135</v>
      </c>
      <c r="N676">
        <v>24</v>
      </c>
      <c r="O676">
        <v>2</v>
      </c>
      <c r="P676">
        <v>36</v>
      </c>
      <c r="Q676">
        <v>26.48</v>
      </c>
      <c r="R676" t="s">
        <v>48</v>
      </c>
      <c r="S676" t="b">
        <v>0</v>
      </c>
      <c r="T676" t="b">
        <v>0</v>
      </c>
    </row>
    <row r="677" spans="1:20" x14ac:dyDescent="0.3">
      <c r="A677" t="s">
        <v>1359</v>
      </c>
      <c r="B677" s="1">
        <v>41067</v>
      </c>
      <c r="C677" s="1">
        <v>41069</v>
      </c>
      <c r="D677" t="s">
        <v>1360</v>
      </c>
      <c r="E677" t="s">
        <v>22</v>
      </c>
      <c r="F677" t="s">
        <v>33</v>
      </c>
      <c r="G677" t="s">
        <v>155</v>
      </c>
      <c r="H677">
        <v>7.52</v>
      </c>
      <c r="I677">
        <v>5</v>
      </c>
      <c r="J677">
        <v>2.6320000000000001</v>
      </c>
      <c r="K677">
        <v>2012</v>
      </c>
      <c r="L677">
        <v>6</v>
      </c>
      <c r="M677" t="s">
        <v>25</v>
      </c>
      <c r="N677">
        <v>7</v>
      </c>
      <c r="O677">
        <v>2</v>
      </c>
      <c r="P677">
        <v>35</v>
      </c>
      <c r="Q677">
        <v>1.504</v>
      </c>
      <c r="R677" t="s">
        <v>26</v>
      </c>
      <c r="S677" t="b">
        <v>0</v>
      </c>
      <c r="T677" t="b">
        <v>0</v>
      </c>
    </row>
    <row r="678" spans="1:20" x14ac:dyDescent="0.3">
      <c r="A678" t="s">
        <v>1361</v>
      </c>
      <c r="B678" s="1">
        <v>40859</v>
      </c>
      <c r="C678" s="1">
        <v>40863</v>
      </c>
      <c r="D678" t="s">
        <v>586</v>
      </c>
      <c r="E678" t="s">
        <v>22</v>
      </c>
      <c r="F678" t="s">
        <v>72</v>
      </c>
      <c r="G678" t="s">
        <v>494</v>
      </c>
      <c r="H678">
        <v>11.96</v>
      </c>
      <c r="I678">
        <v>2</v>
      </c>
      <c r="J678">
        <v>5.8604000000000003</v>
      </c>
      <c r="K678">
        <v>2011</v>
      </c>
      <c r="L678">
        <v>11</v>
      </c>
      <c r="M678" t="s">
        <v>70</v>
      </c>
      <c r="N678">
        <v>12</v>
      </c>
      <c r="O678">
        <v>4</v>
      </c>
      <c r="P678">
        <v>49</v>
      </c>
      <c r="Q678">
        <v>5.98</v>
      </c>
      <c r="R678" t="s">
        <v>26</v>
      </c>
      <c r="S678" t="b">
        <v>0</v>
      </c>
      <c r="T678" t="b">
        <v>0</v>
      </c>
    </row>
    <row r="679" spans="1:20" x14ac:dyDescent="0.3">
      <c r="A679" t="s">
        <v>1362</v>
      </c>
      <c r="B679" s="1">
        <v>41925</v>
      </c>
      <c r="C679" s="1">
        <v>41931</v>
      </c>
      <c r="D679" t="s">
        <v>1363</v>
      </c>
      <c r="E679" t="s">
        <v>1364</v>
      </c>
      <c r="F679" t="s">
        <v>33</v>
      </c>
      <c r="G679" t="s">
        <v>1119</v>
      </c>
      <c r="H679">
        <v>79.872</v>
      </c>
      <c r="I679">
        <v>3</v>
      </c>
      <c r="J679">
        <v>29.952000000000002</v>
      </c>
      <c r="K679">
        <v>2014</v>
      </c>
      <c r="L679">
        <v>10</v>
      </c>
      <c r="M679" t="s">
        <v>82</v>
      </c>
      <c r="N679">
        <v>13</v>
      </c>
      <c r="O679">
        <v>6</v>
      </c>
      <c r="P679">
        <v>37.5</v>
      </c>
      <c r="Q679">
        <v>26.623999999999999</v>
      </c>
      <c r="R679" t="s">
        <v>26</v>
      </c>
      <c r="S679" t="b">
        <v>0</v>
      </c>
      <c r="T679" t="b">
        <v>0</v>
      </c>
    </row>
    <row r="680" spans="1:20" x14ac:dyDescent="0.3">
      <c r="A680" t="s">
        <v>1365</v>
      </c>
      <c r="B680" s="1">
        <v>41953</v>
      </c>
      <c r="C680" s="1">
        <v>41958</v>
      </c>
      <c r="D680" t="s">
        <v>1366</v>
      </c>
      <c r="E680" t="s">
        <v>1367</v>
      </c>
      <c r="F680" t="s">
        <v>45</v>
      </c>
      <c r="G680" t="s">
        <v>812</v>
      </c>
      <c r="H680">
        <v>63.56</v>
      </c>
      <c r="I680">
        <v>2</v>
      </c>
      <c r="J680">
        <v>3.1779999999999999</v>
      </c>
      <c r="K680">
        <v>2014</v>
      </c>
      <c r="L680">
        <v>11</v>
      </c>
      <c r="M680" t="s">
        <v>70</v>
      </c>
      <c r="N680">
        <v>10</v>
      </c>
      <c r="O680">
        <v>5</v>
      </c>
      <c r="P680">
        <v>5</v>
      </c>
      <c r="Q680">
        <v>31.78</v>
      </c>
      <c r="R680" t="s">
        <v>26</v>
      </c>
      <c r="S680" t="b">
        <v>0</v>
      </c>
      <c r="T680" t="b">
        <v>0</v>
      </c>
    </row>
    <row r="681" spans="1:20" x14ac:dyDescent="0.3">
      <c r="A681" t="s">
        <v>1365</v>
      </c>
      <c r="B681" s="1">
        <v>41953</v>
      </c>
      <c r="C681" s="1">
        <v>41958</v>
      </c>
      <c r="D681" t="s">
        <v>1366</v>
      </c>
      <c r="E681" t="s">
        <v>1367</v>
      </c>
      <c r="F681" t="s">
        <v>61</v>
      </c>
      <c r="G681" t="s">
        <v>1368</v>
      </c>
      <c r="H681">
        <v>99.99</v>
      </c>
      <c r="I681">
        <v>1</v>
      </c>
      <c r="J681">
        <v>43.995600000000003</v>
      </c>
      <c r="K681">
        <v>2014</v>
      </c>
      <c r="L681">
        <v>11</v>
      </c>
      <c r="M681" t="s">
        <v>70</v>
      </c>
      <c r="N681">
        <v>10</v>
      </c>
      <c r="O681">
        <v>5</v>
      </c>
      <c r="P681">
        <v>44</v>
      </c>
      <c r="Q681">
        <v>99.99</v>
      </c>
      <c r="R681" t="s">
        <v>26</v>
      </c>
      <c r="S681" t="b">
        <v>0</v>
      </c>
      <c r="T681" t="b">
        <v>0</v>
      </c>
    </row>
    <row r="682" spans="1:20" x14ac:dyDescent="0.3">
      <c r="A682" t="s">
        <v>1369</v>
      </c>
      <c r="B682" s="1">
        <v>41773</v>
      </c>
      <c r="C682" s="1">
        <v>41780</v>
      </c>
      <c r="D682" t="s">
        <v>1370</v>
      </c>
      <c r="E682" t="s">
        <v>51</v>
      </c>
      <c r="F682" t="s">
        <v>23</v>
      </c>
      <c r="G682" t="s">
        <v>24</v>
      </c>
      <c r="H682">
        <v>58.48</v>
      </c>
      <c r="I682">
        <v>8</v>
      </c>
      <c r="J682">
        <v>27.485600000000002</v>
      </c>
      <c r="K682">
        <v>2014</v>
      </c>
      <c r="L682">
        <v>5</v>
      </c>
      <c r="M682" t="s">
        <v>47</v>
      </c>
      <c r="N682">
        <v>14</v>
      </c>
      <c r="O682">
        <v>7</v>
      </c>
      <c r="P682">
        <v>47</v>
      </c>
      <c r="Q682">
        <v>7.31</v>
      </c>
      <c r="R682" t="s">
        <v>26</v>
      </c>
      <c r="S682" t="b">
        <v>0</v>
      </c>
      <c r="T682" t="b">
        <v>0</v>
      </c>
    </row>
    <row r="683" spans="1:20" x14ac:dyDescent="0.3">
      <c r="A683" t="s">
        <v>1371</v>
      </c>
      <c r="B683" s="1">
        <v>42002</v>
      </c>
      <c r="C683" s="1">
        <v>42007</v>
      </c>
      <c r="D683" t="s">
        <v>1372</v>
      </c>
      <c r="E683" t="s">
        <v>39</v>
      </c>
      <c r="F683" t="s">
        <v>29</v>
      </c>
      <c r="G683" t="s">
        <v>451</v>
      </c>
      <c r="H683">
        <v>7.4</v>
      </c>
      <c r="I683">
        <v>2</v>
      </c>
      <c r="J683">
        <v>3.0339999999999998</v>
      </c>
      <c r="K683">
        <v>2014</v>
      </c>
      <c r="L683">
        <v>12</v>
      </c>
      <c r="M683" t="s">
        <v>41</v>
      </c>
      <c r="N683">
        <v>29</v>
      </c>
      <c r="O683">
        <v>5</v>
      </c>
      <c r="P683">
        <v>41</v>
      </c>
      <c r="Q683">
        <v>3.7</v>
      </c>
      <c r="R683" t="s">
        <v>26</v>
      </c>
      <c r="S683" t="b">
        <v>0</v>
      </c>
      <c r="T683" t="b">
        <v>0</v>
      </c>
    </row>
    <row r="684" spans="1:20" x14ac:dyDescent="0.3">
      <c r="A684" t="s">
        <v>1373</v>
      </c>
      <c r="B684" s="1">
        <v>40865</v>
      </c>
      <c r="C684" s="1">
        <v>40867</v>
      </c>
      <c r="D684" t="s">
        <v>1374</v>
      </c>
      <c r="E684" t="s">
        <v>297</v>
      </c>
      <c r="F684" t="s">
        <v>174</v>
      </c>
      <c r="G684" t="s">
        <v>1375</v>
      </c>
      <c r="H684">
        <v>145.97999999999999</v>
      </c>
      <c r="I684">
        <v>2</v>
      </c>
      <c r="J684">
        <v>-99.266400000000004</v>
      </c>
      <c r="K684">
        <v>2011</v>
      </c>
      <c r="L684">
        <v>11</v>
      </c>
      <c r="M684" t="s">
        <v>70</v>
      </c>
      <c r="N684">
        <v>18</v>
      </c>
      <c r="O684">
        <v>2</v>
      </c>
      <c r="P684">
        <v>-68</v>
      </c>
      <c r="Q684">
        <v>72.989999999999995</v>
      </c>
      <c r="R684" t="s">
        <v>26</v>
      </c>
      <c r="S684" t="b">
        <v>1</v>
      </c>
      <c r="T684" t="b">
        <v>0</v>
      </c>
    </row>
    <row r="685" spans="1:20" x14ac:dyDescent="0.3">
      <c r="A685" t="s">
        <v>1373</v>
      </c>
      <c r="B685" s="1">
        <v>40865</v>
      </c>
      <c r="C685" s="1">
        <v>40867</v>
      </c>
      <c r="D685" t="s">
        <v>1374</v>
      </c>
      <c r="E685" t="s">
        <v>297</v>
      </c>
      <c r="F685" t="s">
        <v>72</v>
      </c>
      <c r="G685" t="s">
        <v>1376</v>
      </c>
      <c r="H685">
        <v>35.808</v>
      </c>
      <c r="I685">
        <v>4</v>
      </c>
      <c r="J685">
        <v>12.5328</v>
      </c>
      <c r="K685">
        <v>2011</v>
      </c>
      <c r="L685">
        <v>11</v>
      </c>
      <c r="M685" t="s">
        <v>70</v>
      </c>
      <c r="N685">
        <v>18</v>
      </c>
      <c r="O685">
        <v>2</v>
      </c>
      <c r="P685">
        <v>35</v>
      </c>
      <c r="Q685">
        <v>8.952</v>
      </c>
      <c r="R685" t="s">
        <v>26</v>
      </c>
      <c r="S685" t="b">
        <v>0</v>
      </c>
      <c r="T685" t="b">
        <v>0</v>
      </c>
    </row>
    <row r="686" spans="1:20" x14ac:dyDescent="0.3">
      <c r="A686" t="s">
        <v>1377</v>
      </c>
      <c r="B686" s="1">
        <v>41177</v>
      </c>
      <c r="C686" s="1">
        <v>41183</v>
      </c>
      <c r="D686" t="s">
        <v>1378</v>
      </c>
      <c r="E686" t="s">
        <v>22</v>
      </c>
      <c r="F686" t="s">
        <v>128</v>
      </c>
      <c r="G686" t="s">
        <v>1379</v>
      </c>
      <c r="H686">
        <v>17.48</v>
      </c>
      <c r="I686">
        <v>2</v>
      </c>
      <c r="J686">
        <v>8.2156000000000002</v>
      </c>
      <c r="K686">
        <v>2012</v>
      </c>
      <c r="L686">
        <v>9</v>
      </c>
      <c r="M686" t="s">
        <v>87</v>
      </c>
      <c r="N686">
        <v>25</v>
      </c>
      <c r="O686">
        <v>6</v>
      </c>
      <c r="P686">
        <v>47</v>
      </c>
      <c r="Q686">
        <v>8.74</v>
      </c>
      <c r="R686" t="s">
        <v>26</v>
      </c>
      <c r="S686" t="b">
        <v>0</v>
      </c>
      <c r="T686" t="b">
        <v>0</v>
      </c>
    </row>
    <row r="687" spans="1:20" x14ac:dyDescent="0.3">
      <c r="A687" t="s">
        <v>1380</v>
      </c>
      <c r="B687" s="1">
        <v>41584</v>
      </c>
      <c r="C687" s="1">
        <v>41589</v>
      </c>
      <c r="D687" t="s">
        <v>924</v>
      </c>
      <c r="E687" t="s">
        <v>139</v>
      </c>
      <c r="F687" t="s">
        <v>33</v>
      </c>
      <c r="G687" t="s">
        <v>1381</v>
      </c>
      <c r="H687">
        <v>29.12</v>
      </c>
      <c r="I687">
        <v>5</v>
      </c>
      <c r="J687">
        <v>9.8279999999999994</v>
      </c>
      <c r="K687">
        <v>2013</v>
      </c>
      <c r="L687">
        <v>11</v>
      </c>
      <c r="M687" t="s">
        <v>70</v>
      </c>
      <c r="N687">
        <v>6</v>
      </c>
      <c r="O687">
        <v>5</v>
      </c>
      <c r="P687">
        <v>33.75</v>
      </c>
      <c r="Q687">
        <v>5.8239999999999998</v>
      </c>
      <c r="R687" t="s">
        <v>26</v>
      </c>
      <c r="S687" t="b">
        <v>0</v>
      </c>
      <c r="T687" t="b">
        <v>0</v>
      </c>
    </row>
    <row r="688" spans="1:20" x14ac:dyDescent="0.3">
      <c r="A688" t="s">
        <v>1382</v>
      </c>
      <c r="B688" s="1">
        <v>41101</v>
      </c>
      <c r="C688" s="1">
        <v>41103</v>
      </c>
      <c r="D688" t="s">
        <v>1383</v>
      </c>
      <c r="E688" t="s">
        <v>39</v>
      </c>
      <c r="F688" t="s">
        <v>72</v>
      </c>
      <c r="G688" t="s">
        <v>1384</v>
      </c>
      <c r="H688">
        <v>29.97</v>
      </c>
      <c r="I688">
        <v>3</v>
      </c>
      <c r="J688">
        <v>13.486499999999999</v>
      </c>
      <c r="K688">
        <v>2012</v>
      </c>
      <c r="L688">
        <v>7</v>
      </c>
      <c r="M688" t="s">
        <v>66</v>
      </c>
      <c r="N688">
        <v>11</v>
      </c>
      <c r="O688">
        <v>2</v>
      </c>
      <c r="P688">
        <v>45</v>
      </c>
      <c r="Q688">
        <v>9.99</v>
      </c>
      <c r="R688" t="s">
        <v>26</v>
      </c>
      <c r="S688" t="b">
        <v>0</v>
      </c>
      <c r="T688" t="b">
        <v>0</v>
      </c>
    </row>
    <row r="689" spans="1:20" x14ac:dyDescent="0.3">
      <c r="A689" t="s">
        <v>1382</v>
      </c>
      <c r="B689" s="1">
        <v>41101</v>
      </c>
      <c r="C689" s="1">
        <v>41103</v>
      </c>
      <c r="D689" t="s">
        <v>1383</v>
      </c>
      <c r="E689" t="s">
        <v>39</v>
      </c>
      <c r="F689" t="s">
        <v>33</v>
      </c>
      <c r="G689" t="s">
        <v>642</v>
      </c>
      <c r="H689">
        <v>98.352000000000004</v>
      </c>
      <c r="I689">
        <v>3</v>
      </c>
      <c r="J689">
        <v>34.423200000000001</v>
      </c>
      <c r="K689">
        <v>2012</v>
      </c>
      <c r="L689">
        <v>7</v>
      </c>
      <c r="M689" t="s">
        <v>66</v>
      </c>
      <c r="N689">
        <v>11</v>
      </c>
      <c r="O689">
        <v>2</v>
      </c>
      <c r="P689">
        <v>35</v>
      </c>
      <c r="Q689">
        <v>32.783999999999999</v>
      </c>
      <c r="R689" t="s">
        <v>26</v>
      </c>
      <c r="S689" t="b">
        <v>0</v>
      </c>
      <c r="T689" t="b">
        <v>0</v>
      </c>
    </row>
    <row r="690" spans="1:20" x14ac:dyDescent="0.3">
      <c r="A690" t="s">
        <v>1385</v>
      </c>
      <c r="B690" s="1">
        <v>41582</v>
      </c>
      <c r="C690" s="1">
        <v>41585</v>
      </c>
      <c r="D690" t="s">
        <v>740</v>
      </c>
      <c r="E690" t="s">
        <v>22</v>
      </c>
      <c r="F690" t="s">
        <v>110</v>
      </c>
      <c r="G690" t="s">
        <v>1386</v>
      </c>
      <c r="H690">
        <v>217.584</v>
      </c>
      <c r="I690">
        <v>2</v>
      </c>
      <c r="J690">
        <v>-29.9178</v>
      </c>
      <c r="K690">
        <v>2013</v>
      </c>
      <c r="L690">
        <v>11</v>
      </c>
      <c r="M690" t="s">
        <v>70</v>
      </c>
      <c r="N690">
        <v>4</v>
      </c>
      <c r="O690">
        <v>3</v>
      </c>
      <c r="P690">
        <v>-13.75</v>
      </c>
      <c r="Q690">
        <v>108.792</v>
      </c>
      <c r="R690" t="s">
        <v>26</v>
      </c>
      <c r="S690" t="b">
        <v>1</v>
      </c>
      <c r="T690" t="b">
        <v>1</v>
      </c>
    </row>
    <row r="691" spans="1:20" x14ac:dyDescent="0.3">
      <c r="A691" t="s">
        <v>1385</v>
      </c>
      <c r="B691" s="1">
        <v>41582</v>
      </c>
      <c r="C691" s="1">
        <v>41585</v>
      </c>
      <c r="D691" t="s">
        <v>740</v>
      </c>
      <c r="E691" t="s">
        <v>22</v>
      </c>
      <c r="F691" t="s">
        <v>61</v>
      </c>
      <c r="G691" t="s">
        <v>1387</v>
      </c>
      <c r="H691">
        <v>82.95</v>
      </c>
      <c r="I691">
        <v>5</v>
      </c>
      <c r="J691">
        <v>29.032499999999999</v>
      </c>
      <c r="K691">
        <v>2013</v>
      </c>
      <c r="L691">
        <v>11</v>
      </c>
      <c r="M691" t="s">
        <v>70</v>
      </c>
      <c r="N691">
        <v>4</v>
      </c>
      <c r="O691">
        <v>3</v>
      </c>
      <c r="P691">
        <v>35</v>
      </c>
      <c r="Q691">
        <v>16.59</v>
      </c>
      <c r="R691" t="s">
        <v>26</v>
      </c>
      <c r="S691" t="b">
        <v>0</v>
      </c>
      <c r="T691" t="b">
        <v>0</v>
      </c>
    </row>
    <row r="692" spans="1:20" x14ac:dyDescent="0.3">
      <c r="A692" t="s">
        <v>1385</v>
      </c>
      <c r="B692" s="1">
        <v>41582</v>
      </c>
      <c r="C692" s="1">
        <v>41585</v>
      </c>
      <c r="D692" t="s">
        <v>740</v>
      </c>
      <c r="E692" t="s">
        <v>22</v>
      </c>
      <c r="F692" t="s">
        <v>23</v>
      </c>
      <c r="G692" t="s">
        <v>1388</v>
      </c>
      <c r="H692">
        <v>87.71</v>
      </c>
      <c r="I692">
        <v>7</v>
      </c>
      <c r="J692">
        <v>41.223700000000001</v>
      </c>
      <c r="K692">
        <v>2013</v>
      </c>
      <c r="L692">
        <v>11</v>
      </c>
      <c r="M692" t="s">
        <v>70</v>
      </c>
      <c r="N692">
        <v>4</v>
      </c>
      <c r="O692">
        <v>3</v>
      </c>
      <c r="P692">
        <v>47</v>
      </c>
      <c r="Q692">
        <v>12.53</v>
      </c>
      <c r="R692" t="s">
        <v>26</v>
      </c>
      <c r="S692" t="b">
        <v>0</v>
      </c>
      <c r="T692" t="b">
        <v>0</v>
      </c>
    </row>
    <row r="693" spans="1:20" x14ac:dyDescent="0.3">
      <c r="A693" t="s">
        <v>1389</v>
      </c>
      <c r="B693" s="1">
        <v>41880</v>
      </c>
      <c r="C693" s="1">
        <v>41886</v>
      </c>
      <c r="D693" t="s">
        <v>1315</v>
      </c>
      <c r="E693" t="s">
        <v>39</v>
      </c>
      <c r="F693" t="s">
        <v>54</v>
      </c>
      <c r="G693" t="s">
        <v>1390</v>
      </c>
      <c r="H693">
        <v>35.167999999999999</v>
      </c>
      <c r="I693">
        <v>4</v>
      </c>
      <c r="J693">
        <v>11.429600000000001</v>
      </c>
      <c r="K693">
        <v>2014</v>
      </c>
      <c r="L693">
        <v>8</v>
      </c>
      <c r="M693" t="s">
        <v>53</v>
      </c>
      <c r="N693">
        <v>29</v>
      </c>
      <c r="O693">
        <v>6</v>
      </c>
      <c r="P693">
        <v>32.5</v>
      </c>
      <c r="Q693">
        <v>8.7919999999999998</v>
      </c>
      <c r="R693" t="s">
        <v>26</v>
      </c>
      <c r="S693" t="b">
        <v>0</v>
      </c>
      <c r="T693" t="b">
        <v>0</v>
      </c>
    </row>
    <row r="694" spans="1:20" x14ac:dyDescent="0.3">
      <c r="A694" t="s">
        <v>1389</v>
      </c>
      <c r="B694" s="1">
        <v>41880</v>
      </c>
      <c r="C694" s="1">
        <v>41886</v>
      </c>
      <c r="D694" t="s">
        <v>1315</v>
      </c>
      <c r="E694" t="s">
        <v>39</v>
      </c>
      <c r="F694" t="s">
        <v>33</v>
      </c>
      <c r="G694" t="s">
        <v>345</v>
      </c>
      <c r="H694">
        <v>99.68</v>
      </c>
      <c r="I694">
        <v>5</v>
      </c>
      <c r="J694">
        <v>32.396000000000001</v>
      </c>
      <c r="K694">
        <v>2014</v>
      </c>
      <c r="L694">
        <v>8</v>
      </c>
      <c r="M694" t="s">
        <v>53</v>
      </c>
      <c r="N694">
        <v>29</v>
      </c>
      <c r="O694">
        <v>6</v>
      </c>
      <c r="P694">
        <v>32.5</v>
      </c>
      <c r="Q694">
        <v>19.936</v>
      </c>
      <c r="R694" t="s">
        <v>26</v>
      </c>
      <c r="S694" t="b">
        <v>0</v>
      </c>
      <c r="T694" t="b">
        <v>0</v>
      </c>
    </row>
    <row r="695" spans="1:20" x14ac:dyDescent="0.3">
      <c r="A695" t="s">
        <v>1389</v>
      </c>
      <c r="B695" s="1">
        <v>41880</v>
      </c>
      <c r="C695" s="1">
        <v>41886</v>
      </c>
      <c r="D695" t="s">
        <v>1315</v>
      </c>
      <c r="E695" t="s">
        <v>39</v>
      </c>
      <c r="F695" t="s">
        <v>31</v>
      </c>
      <c r="G695" t="s">
        <v>1274</v>
      </c>
      <c r="H695">
        <v>5.56</v>
      </c>
      <c r="I695">
        <v>2</v>
      </c>
      <c r="J695">
        <v>1.4456</v>
      </c>
      <c r="K695">
        <v>2014</v>
      </c>
      <c r="L695">
        <v>8</v>
      </c>
      <c r="M695" t="s">
        <v>53</v>
      </c>
      <c r="N695">
        <v>29</v>
      </c>
      <c r="O695">
        <v>6</v>
      </c>
      <c r="P695">
        <v>26</v>
      </c>
      <c r="Q695">
        <v>2.78</v>
      </c>
      <c r="R695" t="s">
        <v>26</v>
      </c>
      <c r="S695" t="b">
        <v>0</v>
      </c>
      <c r="T695" t="b">
        <v>0</v>
      </c>
    </row>
    <row r="696" spans="1:20" x14ac:dyDescent="0.3">
      <c r="A696" t="s">
        <v>1391</v>
      </c>
      <c r="B696" s="1">
        <v>40890</v>
      </c>
      <c r="C696" s="1">
        <v>40892</v>
      </c>
      <c r="D696" t="s">
        <v>95</v>
      </c>
      <c r="E696" t="s">
        <v>22</v>
      </c>
      <c r="F696" t="s">
        <v>72</v>
      </c>
      <c r="G696" t="s">
        <v>1392</v>
      </c>
      <c r="H696">
        <v>90.24</v>
      </c>
      <c r="I696">
        <v>6</v>
      </c>
      <c r="J696">
        <v>41.510399999999997</v>
      </c>
      <c r="K696">
        <v>2011</v>
      </c>
      <c r="L696">
        <v>12</v>
      </c>
      <c r="M696" t="s">
        <v>41</v>
      </c>
      <c r="N696">
        <v>13</v>
      </c>
      <c r="O696">
        <v>2</v>
      </c>
      <c r="P696">
        <v>46</v>
      </c>
      <c r="Q696">
        <v>15.04</v>
      </c>
      <c r="R696" t="s">
        <v>26</v>
      </c>
      <c r="S696" t="b">
        <v>0</v>
      </c>
      <c r="T696" t="b">
        <v>0</v>
      </c>
    </row>
    <row r="697" spans="1:20" x14ac:dyDescent="0.3">
      <c r="A697" t="s">
        <v>1393</v>
      </c>
      <c r="B697" s="1">
        <v>41178</v>
      </c>
      <c r="C697" s="1">
        <v>41183</v>
      </c>
      <c r="D697" t="s">
        <v>1394</v>
      </c>
      <c r="E697" t="s">
        <v>194</v>
      </c>
      <c r="F697" t="s">
        <v>45</v>
      </c>
      <c r="G697" t="s">
        <v>83</v>
      </c>
      <c r="H697">
        <v>64.17</v>
      </c>
      <c r="I697">
        <v>3</v>
      </c>
      <c r="J697">
        <v>18.609300000000001</v>
      </c>
      <c r="K697">
        <v>2012</v>
      </c>
      <c r="L697">
        <v>9</v>
      </c>
      <c r="M697" t="s">
        <v>87</v>
      </c>
      <c r="N697">
        <v>26</v>
      </c>
      <c r="O697">
        <v>5</v>
      </c>
      <c r="P697">
        <v>29</v>
      </c>
      <c r="Q697">
        <v>21.39</v>
      </c>
      <c r="R697" t="s">
        <v>26</v>
      </c>
      <c r="S697" t="b">
        <v>0</v>
      </c>
      <c r="T697" t="b">
        <v>0</v>
      </c>
    </row>
    <row r="698" spans="1:20" x14ac:dyDescent="0.3">
      <c r="A698" t="s">
        <v>1393</v>
      </c>
      <c r="B698" s="1">
        <v>41178</v>
      </c>
      <c r="C698" s="1">
        <v>41183</v>
      </c>
      <c r="D698" t="s">
        <v>1394</v>
      </c>
      <c r="E698" t="s">
        <v>194</v>
      </c>
      <c r="F698" t="s">
        <v>128</v>
      </c>
      <c r="G698" t="s">
        <v>1395</v>
      </c>
      <c r="H698">
        <v>124.46</v>
      </c>
      <c r="I698">
        <v>2</v>
      </c>
      <c r="J698">
        <v>58.496200000000002</v>
      </c>
      <c r="K698">
        <v>2012</v>
      </c>
      <c r="L698">
        <v>9</v>
      </c>
      <c r="M698" t="s">
        <v>87</v>
      </c>
      <c r="N698">
        <v>26</v>
      </c>
      <c r="O698">
        <v>5</v>
      </c>
      <c r="P698">
        <v>47</v>
      </c>
      <c r="Q698">
        <v>62.23</v>
      </c>
      <c r="R698" t="s">
        <v>26</v>
      </c>
      <c r="S698" t="b">
        <v>0</v>
      </c>
      <c r="T698" t="b">
        <v>0</v>
      </c>
    </row>
    <row r="699" spans="1:20" x14ac:dyDescent="0.3">
      <c r="A699" t="s">
        <v>1396</v>
      </c>
      <c r="B699" s="1">
        <v>41414</v>
      </c>
      <c r="C699" s="1">
        <v>41419</v>
      </c>
      <c r="D699" t="s">
        <v>1397</v>
      </c>
      <c r="E699" t="s">
        <v>51</v>
      </c>
      <c r="F699" t="s">
        <v>33</v>
      </c>
      <c r="G699" t="s">
        <v>1157</v>
      </c>
      <c r="H699">
        <v>9.5839999999999996</v>
      </c>
      <c r="I699">
        <v>1</v>
      </c>
      <c r="J699">
        <v>3.3544</v>
      </c>
      <c r="K699">
        <v>2013</v>
      </c>
      <c r="L699">
        <v>5</v>
      </c>
      <c r="M699" t="s">
        <v>47</v>
      </c>
      <c r="N699">
        <v>20</v>
      </c>
      <c r="O699">
        <v>5</v>
      </c>
      <c r="P699">
        <v>35</v>
      </c>
      <c r="Q699">
        <v>9.5839999999999996</v>
      </c>
      <c r="R699" t="s">
        <v>26</v>
      </c>
      <c r="S699" t="b">
        <v>0</v>
      </c>
      <c r="T699" t="b">
        <v>0</v>
      </c>
    </row>
    <row r="700" spans="1:20" x14ac:dyDescent="0.3">
      <c r="A700" t="s">
        <v>1398</v>
      </c>
      <c r="B700" s="1">
        <v>41593</v>
      </c>
      <c r="C700" s="1">
        <v>41598</v>
      </c>
      <c r="D700" t="s">
        <v>1399</v>
      </c>
      <c r="E700" t="s">
        <v>51</v>
      </c>
      <c r="F700" t="s">
        <v>23</v>
      </c>
      <c r="G700" t="s">
        <v>1400</v>
      </c>
      <c r="H700">
        <v>7.38</v>
      </c>
      <c r="I700">
        <v>2</v>
      </c>
      <c r="J700">
        <v>3.4685999999999999</v>
      </c>
      <c r="K700">
        <v>2013</v>
      </c>
      <c r="L700">
        <v>11</v>
      </c>
      <c r="M700" t="s">
        <v>70</v>
      </c>
      <c r="N700">
        <v>15</v>
      </c>
      <c r="O700">
        <v>5</v>
      </c>
      <c r="P700">
        <v>47</v>
      </c>
      <c r="Q700">
        <v>3.69</v>
      </c>
      <c r="R700" t="s">
        <v>48</v>
      </c>
      <c r="S700" t="b">
        <v>0</v>
      </c>
      <c r="T700" t="b">
        <v>0</v>
      </c>
    </row>
    <row r="701" spans="1:20" x14ac:dyDescent="0.3">
      <c r="A701" t="s">
        <v>1401</v>
      </c>
      <c r="B701" s="1">
        <v>40749</v>
      </c>
      <c r="C701" s="1">
        <v>40751</v>
      </c>
      <c r="D701" t="s">
        <v>246</v>
      </c>
      <c r="E701" t="s">
        <v>51</v>
      </c>
      <c r="F701" t="s">
        <v>45</v>
      </c>
      <c r="G701" t="s">
        <v>1124</v>
      </c>
      <c r="H701">
        <v>53.72</v>
      </c>
      <c r="I701">
        <v>4</v>
      </c>
      <c r="J701">
        <v>15.041600000000001</v>
      </c>
      <c r="K701">
        <v>2011</v>
      </c>
      <c r="L701">
        <v>7</v>
      </c>
      <c r="M701" t="s">
        <v>66</v>
      </c>
      <c r="N701">
        <v>25</v>
      </c>
      <c r="O701">
        <v>2</v>
      </c>
      <c r="P701">
        <v>28</v>
      </c>
      <c r="Q701">
        <v>13.43</v>
      </c>
      <c r="R701" t="s">
        <v>26</v>
      </c>
      <c r="S701" t="b">
        <v>0</v>
      </c>
      <c r="T701" t="b">
        <v>0</v>
      </c>
    </row>
    <row r="702" spans="1:20" x14ac:dyDescent="0.3">
      <c r="A702" t="s">
        <v>1401</v>
      </c>
      <c r="B702" s="1">
        <v>40749</v>
      </c>
      <c r="C702" s="1">
        <v>40751</v>
      </c>
      <c r="D702" t="s">
        <v>246</v>
      </c>
      <c r="E702" t="s">
        <v>51</v>
      </c>
      <c r="F702" t="s">
        <v>29</v>
      </c>
      <c r="G702" t="s">
        <v>155</v>
      </c>
      <c r="H702">
        <v>77.92</v>
      </c>
      <c r="I702">
        <v>8</v>
      </c>
      <c r="J702">
        <v>34.284799999999997</v>
      </c>
      <c r="K702">
        <v>2011</v>
      </c>
      <c r="L702">
        <v>7</v>
      </c>
      <c r="M702" t="s">
        <v>66</v>
      </c>
      <c r="N702">
        <v>25</v>
      </c>
      <c r="O702">
        <v>2</v>
      </c>
      <c r="P702">
        <v>44</v>
      </c>
      <c r="Q702">
        <v>9.74</v>
      </c>
      <c r="R702" t="s">
        <v>26</v>
      </c>
      <c r="S702" t="b">
        <v>0</v>
      </c>
      <c r="T702" t="b">
        <v>0</v>
      </c>
    </row>
    <row r="703" spans="1:20" x14ac:dyDescent="0.3">
      <c r="A703" t="s">
        <v>1402</v>
      </c>
      <c r="B703" s="1">
        <v>41701</v>
      </c>
      <c r="C703" s="1">
        <v>41707</v>
      </c>
      <c r="D703" t="s">
        <v>342</v>
      </c>
      <c r="E703" t="s">
        <v>22</v>
      </c>
      <c r="F703" t="s">
        <v>54</v>
      </c>
      <c r="G703" t="s">
        <v>1403</v>
      </c>
      <c r="H703">
        <v>196.77600000000001</v>
      </c>
      <c r="I703">
        <v>3</v>
      </c>
      <c r="J703">
        <v>14.7582</v>
      </c>
      <c r="K703">
        <v>2014</v>
      </c>
      <c r="L703">
        <v>3</v>
      </c>
      <c r="M703" t="s">
        <v>135</v>
      </c>
      <c r="N703">
        <v>3</v>
      </c>
      <c r="O703">
        <v>6</v>
      </c>
      <c r="P703">
        <v>7.5</v>
      </c>
      <c r="Q703">
        <v>65.591999999999999</v>
      </c>
      <c r="R703" t="s">
        <v>26</v>
      </c>
      <c r="S703" t="b">
        <v>0</v>
      </c>
      <c r="T703" t="b">
        <v>0</v>
      </c>
    </row>
    <row r="704" spans="1:20" x14ac:dyDescent="0.3">
      <c r="A704" t="s">
        <v>1402</v>
      </c>
      <c r="B704" s="1">
        <v>41701</v>
      </c>
      <c r="C704" s="1">
        <v>41707</v>
      </c>
      <c r="D704" t="s">
        <v>342</v>
      </c>
      <c r="E704" t="s">
        <v>22</v>
      </c>
      <c r="F704" t="s">
        <v>61</v>
      </c>
      <c r="G704" t="s">
        <v>818</v>
      </c>
      <c r="H704">
        <v>479.94</v>
      </c>
      <c r="I704">
        <v>6</v>
      </c>
      <c r="J704">
        <v>52.793399999999998</v>
      </c>
      <c r="K704">
        <v>2014</v>
      </c>
      <c r="L704">
        <v>3</v>
      </c>
      <c r="M704" t="s">
        <v>135</v>
      </c>
      <c r="N704">
        <v>3</v>
      </c>
      <c r="O704">
        <v>6</v>
      </c>
      <c r="P704">
        <v>11</v>
      </c>
      <c r="Q704">
        <v>79.989999999999995</v>
      </c>
      <c r="R704" t="s">
        <v>26</v>
      </c>
      <c r="S704" t="b">
        <v>0</v>
      </c>
      <c r="T704" t="b">
        <v>1</v>
      </c>
    </row>
    <row r="705" spans="1:20" x14ac:dyDescent="0.3">
      <c r="A705" t="s">
        <v>1404</v>
      </c>
      <c r="B705" s="1">
        <v>41158</v>
      </c>
      <c r="C705" s="1">
        <v>41160</v>
      </c>
      <c r="D705" t="s">
        <v>1405</v>
      </c>
      <c r="E705" t="s">
        <v>1406</v>
      </c>
      <c r="F705" t="s">
        <v>61</v>
      </c>
      <c r="G705" t="s">
        <v>1407</v>
      </c>
      <c r="H705">
        <v>46.32</v>
      </c>
      <c r="I705">
        <v>4</v>
      </c>
      <c r="J705">
        <v>18.064800000000002</v>
      </c>
      <c r="K705">
        <v>2012</v>
      </c>
      <c r="L705">
        <v>9</v>
      </c>
      <c r="M705" t="s">
        <v>87</v>
      </c>
      <c r="N705">
        <v>6</v>
      </c>
      <c r="O705">
        <v>2</v>
      </c>
      <c r="P705">
        <v>39</v>
      </c>
      <c r="Q705">
        <v>11.58</v>
      </c>
      <c r="R705" t="s">
        <v>48</v>
      </c>
      <c r="S705" t="b">
        <v>0</v>
      </c>
      <c r="T705" t="b">
        <v>0</v>
      </c>
    </row>
    <row r="706" spans="1:20" x14ac:dyDescent="0.3">
      <c r="A706" t="s">
        <v>1408</v>
      </c>
      <c r="B706" s="1">
        <v>41395</v>
      </c>
      <c r="C706" s="1">
        <v>41399</v>
      </c>
      <c r="D706" t="s">
        <v>1409</v>
      </c>
      <c r="E706" t="s">
        <v>133</v>
      </c>
      <c r="F706" t="s">
        <v>29</v>
      </c>
      <c r="G706" t="s">
        <v>489</v>
      </c>
      <c r="H706">
        <v>111.88800000000001</v>
      </c>
      <c r="I706">
        <v>7</v>
      </c>
      <c r="J706">
        <v>22.377600000000001</v>
      </c>
      <c r="K706">
        <v>2013</v>
      </c>
      <c r="L706">
        <v>5</v>
      </c>
      <c r="M706" t="s">
        <v>47</v>
      </c>
      <c r="N706">
        <v>1</v>
      </c>
      <c r="O706">
        <v>4</v>
      </c>
      <c r="P706">
        <v>20</v>
      </c>
      <c r="Q706">
        <v>15.984</v>
      </c>
      <c r="R706" t="s">
        <v>26</v>
      </c>
      <c r="S706" t="b">
        <v>0</v>
      </c>
      <c r="T706" t="b">
        <v>0</v>
      </c>
    </row>
    <row r="707" spans="1:20" x14ac:dyDescent="0.3">
      <c r="A707" t="s">
        <v>1410</v>
      </c>
      <c r="B707" s="1">
        <v>41746</v>
      </c>
      <c r="C707" s="1">
        <v>41750</v>
      </c>
      <c r="D707" t="s">
        <v>296</v>
      </c>
      <c r="E707" t="s">
        <v>139</v>
      </c>
      <c r="F707" t="s">
        <v>45</v>
      </c>
      <c r="G707" t="s">
        <v>897</v>
      </c>
      <c r="H707">
        <v>205.92</v>
      </c>
      <c r="I707">
        <v>4</v>
      </c>
      <c r="J707">
        <v>2.0592000000000001</v>
      </c>
      <c r="K707">
        <v>2014</v>
      </c>
      <c r="L707">
        <v>4</v>
      </c>
      <c r="M707" t="s">
        <v>236</v>
      </c>
      <c r="N707">
        <v>17</v>
      </c>
      <c r="O707">
        <v>4</v>
      </c>
      <c r="P707">
        <v>1</v>
      </c>
      <c r="Q707">
        <v>51.48</v>
      </c>
      <c r="R707" t="s">
        <v>26</v>
      </c>
      <c r="S707" t="b">
        <v>0</v>
      </c>
      <c r="T707" t="b">
        <v>0</v>
      </c>
    </row>
    <row r="708" spans="1:20" x14ac:dyDescent="0.3">
      <c r="A708" t="s">
        <v>1410</v>
      </c>
      <c r="B708" s="1">
        <v>41746</v>
      </c>
      <c r="C708" s="1">
        <v>41750</v>
      </c>
      <c r="D708" t="s">
        <v>296</v>
      </c>
      <c r="E708" t="s">
        <v>139</v>
      </c>
      <c r="F708" t="s">
        <v>317</v>
      </c>
      <c r="G708" t="s">
        <v>1411</v>
      </c>
      <c r="H708">
        <v>102.833</v>
      </c>
      <c r="I708">
        <v>1</v>
      </c>
      <c r="J708">
        <v>-6.0490000000000004</v>
      </c>
      <c r="K708">
        <v>2014</v>
      </c>
      <c r="L708">
        <v>4</v>
      </c>
      <c r="M708" t="s">
        <v>236</v>
      </c>
      <c r="N708">
        <v>17</v>
      </c>
      <c r="O708">
        <v>4</v>
      </c>
      <c r="P708">
        <v>-5.88</v>
      </c>
      <c r="Q708">
        <v>102.833</v>
      </c>
      <c r="R708" t="s">
        <v>26</v>
      </c>
      <c r="S708" t="b">
        <v>1</v>
      </c>
      <c r="T708" t="b">
        <v>0</v>
      </c>
    </row>
    <row r="709" spans="1:20" x14ac:dyDescent="0.3">
      <c r="A709" t="s">
        <v>1412</v>
      </c>
      <c r="B709" s="1">
        <v>41137</v>
      </c>
      <c r="C709" s="1">
        <v>41143</v>
      </c>
      <c r="D709" t="s">
        <v>1413</v>
      </c>
      <c r="E709" t="s">
        <v>105</v>
      </c>
      <c r="F709" t="s">
        <v>31</v>
      </c>
      <c r="G709" t="s">
        <v>678</v>
      </c>
      <c r="H709">
        <v>2.3039999999999998</v>
      </c>
      <c r="I709">
        <v>1</v>
      </c>
      <c r="J709">
        <v>0.25919999999999999</v>
      </c>
      <c r="K709">
        <v>2012</v>
      </c>
      <c r="L709">
        <v>8</v>
      </c>
      <c r="M709" t="s">
        <v>53</v>
      </c>
      <c r="N709">
        <v>16</v>
      </c>
      <c r="O709">
        <v>6</v>
      </c>
      <c r="P709">
        <v>11.25</v>
      </c>
      <c r="Q709">
        <v>2.3039999999999998</v>
      </c>
      <c r="R709" t="s">
        <v>26</v>
      </c>
      <c r="S709" t="b">
        <v>0</v>
      </c>
      <c r="T709" t="b">
        <v>0</v>
      </c>
    </row>
    <row r="710" spans="1:20" x14ac:dyDescent="0.3">
      <c r="A710" t="s">
        <v>1412</v>
      </c>
      <c r="B710" s="1">
        <v>41137</v>
      </c>
      <c r="C710" s="1">
        <v>41143</v>
      </c>
      <c r="D710" t="s">
        <v>1413</v>
      </c>
      <c r="E710" t="s">
        <v>105</v>
      </c>
      <c r="F710" t="s">
        <v>72</v>
      </c>
      <c r="G710" t="s">
        <v>1414</v>
      </c>
      <c r="H710">
        <v>313.024</v>
      </c>
      <c r="I710">
        <v>8</v>
      </c>
      <c r="J710">
        <v>105.6456</v>
      </c>
      <c r="K710">
        <v>2012</v>
      </c>
      <c r="L710">
        <v>8</v>
      </c>
      <c r="M710" t="s">
        <v>53</v>
      </c>
      <c r="N710">
        <v>16</v>
      </c>
      <c r="O710">
        <v>6</v>
      </c>
      <c r="P710">
        <v>33.75</v>
      </c>
      <c r="Q710">
        <v>39.128</v>
      </c>
      <c r="R710" t="s">
        <v>26</v>
      </c>
      <c r="S710" t="b">
        <v>0</v>
      </c>
      <c r="T710" t="b">
        <v>1</v>
      </c>
    </row>
    <row r="711" spans="1:20" x14ac:dyDescent="0.3">
      <c r="A711" t="s">
        <v>1412</v>
      </c>
      <c r="B711" s="1">
        <v>41137</v>
      </c>
      <c r="C711" s="1">
        <v>41143</v>
      </c>
      <c r="D711" t="s">
        <v>1413</v>
      </c>
      <c r="E711" t="s">
        <v>105</v>
      </c>
      <c r="F711" t="s">
        <v>23</v>
      </c>
      <c r="G711" t="s">
        <v>665</v>
      </c>
      <c r="H711">
        <v>5.04</v>
      </c>
      <c r="I711">
        <v>2</v>
      </c>
      <c r="J711">
        <v>1.764</v>
      </c>
      <c r="K711">
        <v>2012</v>
      </c>
      <c r="L711">
        <v>8</v>
      </c>
      <c r="M711" t="s">
        <v>53</v>
      </c>
      <c r="N711">
        <v>16</v>
      </c>
      <c r="O711">
        <v>6</v>
      </c>
      <c r="P711">
        <v>35</v>
      </c>
      <c r="Q711">
        <v>2.52</v>
      </c>
      <c r="R711" t="s">
        <v>26</v>
      </c>
      <c r="S711" t="b">
        <v>0</v>
      </c>
      <c r="T711" t="b">
        <v>0</v>
      </c>
    </row>
    <row r="712" spans="1:20" x14ac:dyDescent="0.3">
      <c r="A712" t="s">
        <v>1415</v>
      </c>
      <c r="B712" s="1">
        <v>41060</v>
      </c>
      <c r="C712" s="1">
        <v>41064</v>
      </c>
      <c r="D712" t="s">
        <v>1354</v>
      </c>
      <c r="E712" t="s">
        <v>468</v>
      </c>
      <c r="F712" t="s">
        <v>23</v>
      </c>
      <c r="G712" t="s">
        <v>278</v>
      </c>
      <c r="H712">
        <v>15.75</v>
      </c>
      <c r="I712">
        <v>5</v>
      </c>
      <c r="J712">
        <v>7.56</v>
      </c>
      <c r="K712">
        <v>2012</v>
      </c>
      <c r="L712">
        <v>5</v>
      </c>
      <c r="M712" t="s">
        <v>47</v>
      </c>
      <c r="N712">
        <v>31</v>
      </c>
      <c r="O712">
        <v>4</v>
      </c>
      <c r="P712">
        <v>48</v>
      </c>
      <c r="Q712">
        <v>3.15</v>
      </c>
      <c r="R712" t="s">
        <v>26</v>
      </c>
      <c r="S712" t="b">
        <v>0</v>
      </c>
      <c r="T712" t="b">
        <v>0</v>
      </c>
    </row>
    <row r="713" spans="1:20" x14ac:dyDescent="0.3">
      <c r="A713" t="s">
        <v>1415</v>
      </c>
      <c r="B713" s="1">
        <v>41060</v>
      </c>
      <c r="C713" s="1">
        <v>41064</v>
      </c>
      <c r="D713" t="s">
        <v>1354</v>
      </c>
      <c r="E713" t="s">
        <v>468</v>
      </c>
      <c r="F713" t="s">
        <v>45</v>
      </c>
      <c r="G713" t="s">
        <v>614</v>
      </c>
      <c r="H713">
        <v>323.10000000000002</v>
      </c>
      <c r="I713">
        <v>2</v>
      </c>
      <c r="J713">
        <v>61.389000000000003</v>
      </c>
      <c r="K713">
        <v>2012</v>
      </c>
      <c r="L713">
        <v>5</v>
      </c>
      <c r="M713" t="s">
        <v>47</v>
      </c>
      <c r="N713">
        <v>31</v>
      </c>
      <c r="O713">
        <v>4</v>
      </c>
      <c r="P713">
        <v>19</v>
      </c>
      <c r="Q713">
        <v>161.55000000000001</v>
      </c>
      <c r="R713" t="s">
        <v>26</v>
      </c>
      <c r="S713" t="b">
        <v>0</v>
      </c>
      <c r="T713" t="b">
        <v>1</v>
      </c>
    </row>
    <row r="714" spans="1:20" x14ac:dyDescent="0.3">
      <c r="A714" t="s">
        <v>1416</v>
      </c>
      <c r="B714" s="1">
        <v>41945</v>
      </c>
      <c r="C714" s="1">
        <v>41947</v>
      </c>
      <c r="D714" t="s">
        <v>394</v>
      </c>
      <c r="E714" t="s">
        <v>1417</v>
      </c>
      <c r="F714" t="s">
        <v>33</v>
      </c>
      <c r="G714" t="s">
        <v>1418</v>
      </c>
      <c r="H714">
        <v>25.12</v>
      </c>
      <c r="I714">
        <v>5</v>
      </c>
      <c r="J714">
        <v>7.85</v>
      </c>
      <c r="K714">
        <v>2014</v>
      </c>
      <c r="L714">
        <v>11</v>
      </c>
      <c r="M714" t="s">
        <v>70</v>
      </c>
      <c r="N714">
        <v>2</v>
      </c>
      <c r="O714">
        <v>2</v>
      </c>
      <c r="P714">
        <v>31.25</v>
      </c>
      <c r="Q714">
        <v>5.024</v>
      </c>
      <c r="R714" t="s">
        <v>26</v>
      </c>
      <c r="S714" t="b">
        <v>0</v>
      </c>
      <c r="T714" t="b">
        <v>0</v>
      </c>
    </row>
    <row r="715" spans="1:20" x14ac:dyDescent="0.3">
      <c r="A715" t="s">
        <v>1419</v>
      </c>
      <c r="B715" s="1">
        <v>41400</v>
      </c>
      <c r="C715" s="1">
        <v>41404</v>
      </c>
      <c r="D715" t="s">
        <v>1273</v>
      </c>
      <c r="E715" t="s">
        <v>22</v>
      </c>
      <c r="F715" t="s">
        <v>45</v>
      </c>
      <c r="G715" t="s">
        <v>1120</v>
      </c>
      <c r="H715">
        <v>5.98</v>
      </c>
      <c r="I715">
        <v>1</v>
      </c>
      <c r="J715">
        <v>1.0165999999999999</v>
      </c>
      <c r="K715">
        <v>2013</v>
      </c>
      <c r="L715">
        <v>5</v>
      </c>
      <c r="M715" t="s">
        <v>47</v>
      </c>
      <c r="N715">
        <v>6</v>
      </c>
      <c r="O715">
        <v>4</v>
      </c>
      <c r="P715">
        <v>17</v>
      </c>
      <c r="Q715">
        <v>5.98</v>
      </c>
      <c r="R715" t="s">
        <v>26</v>
      </c>
      <c r="S715" t="b">
        <v>0</v>
      </c>
      <c r="T715" t="b">
        <v>0</v>
      </c>
    </row>
    <row r="716" spans="1:20" x14ac:dyDescent="0.3">
      <c r="A716" t="s">
        <v>1419</v>
      </c>
      <c r="B716" s="1">
        <v>41400</v>
      </c>
      <c r="C716" s="1">
        <v>41404</v>
      </c>
      <c r="D716" t="s">
        <v>1273</v>
      </c>
      <c r="E716" t="s">
        <v>22</v>
      </c>
      <c r="F716" t="s">
        <v>54</v>
      </c>
      <c r="G716" t="s">
        <v>1420</v>
      </c>
      <c r="H716">
        <v>246.16800000000001</v>
      </c>
      <c r="I716">
        <v>3</v>
      </c>
      <c r="J716">
        <v>21.5397</v>
      </c>
      <c r="K716">
        <v>2013</v>
      </c>
      <c r="L716">
        <v>5</v>
      </c>
      <c r="M716" t="s">
        <v>47</v>
      </c>
      <c r="N716">
        <v>6</v>
      </c>
      <c r="O716">
        <v>4</v>
      </c>
      <c r="P716">
        <v>8.75</v>
      </c>
      <c r="Q716">
        <v>82.055999999999997</v>
      </c>
      <c r="R716" t="s">
        <v>26</v>
      </c>
      <c r="S716" t="b">
        <v>0</v>
      </c>
      <c r="T716" t="b">
        <v>1</v>
      </c>
    </row>
    <row r="717" spans="1:20" x14ac:dyDescent="0.3">
      <c r="A717" t="s">
        <v>1421</v>
      </c>
      <c r="B717" s="1">
        <v>41338</v>
      </c>
      <c r="C717" s="1">
        <v>41344</v>
      </c>
      <c r="D717" t="s">
        <v>1422</v>
      </c>
      <c r="E717" t="s">
        <v>194</v>
      </c>
      <c r="F717" t="s">
        <v>31</v>
      </c>
      <c r="G717" t="s">
        <v>1423</v>
      </c>
      <c r="H717">
        <v>16.989999999999998</v>
      </c>
      <c r="I717">
        <v>1</v>
      </c>
      <c r="J717">
        <v>4.9271000000000003</v>
      </c>
      <c r="K717">
        <v>2013</v>
      </c>
      <c r="L717">
        <v>3</v>
      </c>
      <c r="M717" t="s">
        <v>135</v>
      </c>
      <c r="N717">
        <v>5</v>
      </c>
      <c r="O717">
        <v>6</v>
      </c>
      <c r="P717">
        <v>29</v>
      </c>
      <c r="Q717">
        <v>16.989999999999998</v>
      </c>
      <c r="R717" t="s">
        <v>26</v>
      </c>
      <c r="S717" t="b">
        <v>0</v>
      </c>
      <c r="T717" t="b">
        <v>0</v>
      </c>
    </row>
    <row r="718" spans="1:20" x14ac:dyDescent="0.3">
      <c r="A718" t="s">
        <v>1424</v>
      </c>
      <c r="B718" s="1">
        <v>41393</v>
      </c>
      <c r="C718" s="1">
        <v>41400</v>
      </c>
      <c r="D718" t="s">
        <v>1425</v>
      </c>
      <c r="E718" t="s">
        <v>22</v>
      </c>
      <c r="F718" t="s">
        <v>110</v>
      </c>
      <c r="G718" t="s">
        <v>1426</v>
      </c>
      <c r="H718">
        <v>41.567999999999998</v>
      </c>
      <c r="I718">
        <v>2</v>
      </c>
      <c r="J718">
        <v>2.5979999999999999</v>
      </c>
      <c r="K718">
        <v>2013</v>
      </c>
      <c r="L718">
        <v>4</v>
      </c>
      <c r="M718" t="s">
        <v>236</v>
      </c>
      <c r="N718">
        <v>29</v>
      </c>
      <c r="O718">
        <v>7</v>
      </c>
      <c r="P718">
        <v>6.25</v>
      </c>
      <c r="Q718">
        <v>20.783999999999999</v>
      </c>
      <c r="R718" t="s">
        <v>26</v>
      </c>
      <c r="S718" t="b">
        <v>0</v>
      </c>
      <c r="T718" t="b">
        <v>0</v>
      </c>
    </row>
    <row r="719" spans="1:20" x14ac:dyDescent="0.3">
      <c r="A719" t="s">
        <v>1427</v>
      </c>
      <c r="B719" s="1">
        <v>40659</v>
      </c>
      <c r="C719" s="1">
        <v>40666</v>
      </c>
      <c r="D719" t="s">
        <v>1428</v>
      </c>
      <c r="E719" t="s">
        <v>22</v>
      </c>
      <c r="F719" t="s">
        <v>110</v>
      </c>
      <c r="G719" t="s">
        <v>290</v>
      </c>
      <c r="H719">
        <v>230.28</v>
      </c>
      <c r="I719">
        <v>3</v>
      </c>
      <c r="J719">
        <v>23.027999999999999</v>
      </c>
      <c r="K719">
        <v>2011</v>
      </c>
      <c r="L719">
        <v>4</v>
      </c>
      <c r="M719" t="s">
        <v>236</v>
      </c>
      <c r="N719">
        <v>26</v>
      </c>
      <c r="O719">
        <v>7</v>
      </c>
      <c r="P719">
        <v>10</v>
      </c>
      <c r="Q719">
        <v>76.760000000000005</v>
      </c>
      <c r="R719" t="s">
        <v>26</v>
      </c>
      <c r="S719" t="b">
        <v>0</v>
      </c>
      <c r="T719" t="b">
        <v>1</v>
      </c>
    </row>
    <row r="720" spans="1:20" x14ac:dyDescent="0.3">
      <c r="A720" t="s">
        <v>1427</v>
      </c>
      <c r="B720" s="1">
        <v>40659</v>
      </c>
      <c r="C720" s="1">
        <v>40666</v>
      </c>
      <c r="D720" t="s">
        <v>1428</v>
      </c>
      <c r="E720" t="s">
        <v>22</v>
      </c>
      <c r="F720" t="s">
        <v>33</v>
      </c>
      <c r="G720" t="s">
        <v>1429</v>
      </c>
      <c r="H720">
        <v>18.288</v>
      </c>
      <c r="I720">
        <v>6</v>
      </c>
      <c r="J720">
        <v>5.7149999999999999</v>
      </c>
      <c r="K720">
        <v>2011</v>
      </c>
      <c r="L720">
        <v>4</v>
      </c>
      <c r="M720" t="s">
        <v>236</v>
      </c>
      <c r="N720">
        <v>26</v>
      </c>
      <c r="O720">
        <v>7</v>
      </c>
      <c r="P720">
        <v>31.25</v>
      </c>
      <c r="Q720">
        <v>3.048</v>
      </c>
      <c r="R720" t="s">
        <v>26</v>
      </c>
      <c r="S720" t="b">
        <v>0</v>
      </c>
      <c r="T720" t="b">
        <v>0</v>
      </c>
    </row>
    <row r="721" spans="1:20" x14ac:dyDescent="0.3">
      <c r="A721" t="s">
        <v>1430</v>
      </c>
      <c r="B721" s="1">
        <v>41731</v>
      </c>
      <c r="C721" s="1">
        <v>41735</v>
      </c>
      <c r="D721" t="s">
        <v>1180</v>
      </c>
      <c r="E721" t="s">
        <v>51</v>
      </c>
      <c r="F721" t="s">
        <v>23</v>
      </c>
      <c r="G721" t="s">
        <v>1431</v>
      </c>
      <c r="H721">
        <v>5.78</v>
      </c>
      <c r="I721">
        <v>2</v>
      </c>
      <c r="J721">
        <v>2.7166000000000001</v>
      </c>
      <c r="K721">
        <v>2014</v>
      </c>
      <c r="L721">
        <v>4</v>
      </c>
      <c r="M721" t="s">
        <v>236</v>
      </c>
      <c r="N721">
        <v>2</v>
      </c>
      <c r="O721">
        <v>4</v>
      </c>
      <c r="P721">
        <v>47</v>
      </c>
      <c r="Q721">
        <v>2.89</v>
      </c>
      <c r="R721" t="s">
        <v>26</v>
      </c>
      <c r="S721" t="b">
        <v>0</v>
      </c>
      <c r="T721" t="b">
        <v>0</v>
      </c>
    </row>
    <row r="722" spans="1:20" x14ac:dyDescent="0.3">
      <c r="A722" t="s">
        <v>1430</v>
      </c>
      <c r="B722" s="1">
        <v>41731</v>
      </c>
      <c r="C722" s="1">
        <v>41735</v>
      </c>
      <c r="D722" t="s">
        <v>1180</v>
      </c>
      <c r="E722" t="s">
        <v>51</v>
      </c>
      <c r="F722" t="s">
        <v>33</v>
      </c>
      <c r="G722" t="s">
        <v>534</v>
      </c>
      <c r="H722">
        <v>121.68</v>
      </c>
      <c r="I722">
        <v>13</v>
      </c>
      <c r="J722">
        <v>38.024999999999999</v>
      </c>
      <c r="K722">
        <v>2014</v>
      </c>
      <c r="L722">
        <v>4</v>
      </c>
      <c r="M722" t="s">
        <v>236</v>
      </c>
      <c r="N722">
        <v>2</v>
      </c>
      <c r="O722">
        <v>4</v>
      </c>
      <c r="P722">
        <v>31.25</v>
      </c>
      <c r="Q722">
        <v>9.3600000000000012</v>
      </c>
      <c r="R722" t="s">
        <v>26</v>
      </c>
      <c r="S722" t="b">
        <v>0</v>
      </c>
      <c r="T722" t="b">
        <v>0</v>
      </c>
    </row>
    <row r="723" spans="1:20" x14ac:dyDescent="0.3">
      <c r="A723" t="s">
        <v>1432</v>
      </c>
      <c r="B723" s="1">
        <v>41996</v>
      </c>
      <c r="C723" s="1">
        <v>42000</v>
      </c>
      <c r="D723" t="s">
        <v>1433</v>
      </c>
      <c r="E723" t="s">
        <v>154</v>
      </c>
      <c r="F723" t="s">
        <v>31</v>
      </c>
      <c r="G723" t="s">
        <v>1434</v>
      </c>
      <c r="H723">
        <v>4.17</v>
      </c>
      <c r="I723">
        <v>3</v>
      </c>
      <c r="J723">
        <v>1.0842000000000001</v>
      </c>
      <c r="K723">
        <v>2014</v>
      </c>
      <c r="L723">
        <v>12</v>
      </c>
      <c r="M723" t="s">
        <v>41</v>
      </c>
      <c r="N723">
        <v>23</v>
      </c>
      <c r="O723">
        <v>4</v>
      </c>
      <c r="P723">
        <v>26</v>
      </c>
      <c r="Q723">
        <v>1.39</v>
      </c>
      <c r="R723" t="s">
        <v>26</v>
      </c>
      <c r="S723" t="b">
        <v>0</v>
      </c>
      <c r="T723" t="b">
        <v>0</v>
      </c>
    </row>
    <row r="724" spans="1:20" x14ac:dyDescent="0.3">
      <c r="A724" t="s">
        <v>1432</v>
      </c>
      <c r="B724" s="1">
        <v>41996</v>
      </c>
      <c r="C724" s="1">
        <v>42000</v>
      </c>
      <c r="D724" t="s">
        <v>1433</v>
      </c>
      <c r="E724" t="s">
        <v>154</v>
      </c>
      <c r="F724" t="s">
        <v>54</v>
      </c>
      <c r="G724" t="s">
        <v>874</v>
      </c>
      <c r="H724">
        <v>67.040000000000006</v>
      </c>
      <c r="I724">
        <v>4</v>
      </c>
      <c r="J724">
        <v>6.7039999999999997</v>
      </c>
      <c r="K724">
        <v>2014</v>
      </c>
      <c r="L724">
        <v>12</v>
      </c>
      <c r="M724" t="s">
        <v>41</v>
      </c>
      <c r="N724">
        <v>23</v>
      </c>
      <c r="O724">
        <v>4</v>
      </c>
      <c r="P724">
        <v>10</v>
      </c>
      <c r="Q724">
        <v>16.760000000000002</v>
      </c>
      <c r="R724" t="s">
        <v>26</v>
      </c>
      <c r="S724" t="b">
        <v>0</v>
      </c>
      <c r="T724" t="b">
        <v>0</v>
      </c>
    </row>
    <row r="725" spans="1:20" x14ac:dyDescent="0.3">
      <c r="A725" t="s">
        <v>1432</v>
      </c>
      <c r="B725" s="1">
        <v>41996</v>
      </c>
      <c r="C725" s="1">
        <v>42000</v>
      </c>
      <c r="D725" t="s">
        <v>1433</v>
      </c>
      <c r="E725" t="s">
        <v>154</v>
      </c>
      <c r="F725" t="s">
        <v>45</v>
      </c>
      <c r="G725" t="s">
        <v>1435</v>
      </c>
      <c r="H725">
        <v>37.32</v>
      </c>
      <c r="I725">
        <v>3</v>
      </c>
      <c r="J725">
        <v>10.4496</v>
      </c>
      <c r="K725">
        <v>2014</v>
      </c>
      <c r="L725">
        <v>12</v>
      </c>
      <c r="M725" t="s">
        <v>41</v>
      </c>
      <c r="N725">
        <v>23</v>
      </c>
      <c r="O725">
        <v>4</v>
      </c>
      <c r="P725">
        <v>28</v>
      </c>
      <c r="Q725">
        <v>12.44</v>
      </c>
      <c r="R725" t="s">
        <v>26</v>
      </c>
      <c r="S725" t="b">
        <v>0</v>
      </c>
      <c r="T725" t="b">
        <v>0</v>
      </c>
    </row>
    <row r="726" spans="1:20" x14ac:dyDescent="0.3">
      <c r="A726" t="s">
        <v>1432</v>
      </c>
      <c r="B726" s="1">
        <v>41996</v>
      </c>
      <c r="C726" s="1">
        <v>42000</v>
      </c>
      <c r="D726" t="s">
        <v>1433</v>
      </c>
      <c r="E726" t="s">
        <v>154</v>
      </c>
      <c r="F726" t="s">
        <v>23</v>
      </c>
      <c r="G726" t="s">
        <v>1436</v>
      </c>
      <c r="H726">
        <v>18.45</v>
      </c>
      <c r="I726">
        <v>5</v>
      </c>
      <c r="J726">
        <v>8.6715</v>
      </c>
      <c r="K726">
        <v>2014</v>
      </c>
      <c r="L726">
        <v>12</v>
      </c>
      <c r="M726" t="s">
        <v>41</v>
      </c>
      <c r="N726">
        <v>23</v>
      </c>
      <c r="O726">
        <v>4</v>
      </c>
      <c r="P726">
        <v>47</v>
      </c>
      <c r="Q726">
        <v>3.69</v>
      </c>
      <c r="R726" t="s">
        <v>26</v>
      </c>
      <c r="S726" t="b">
        <v>0</v>
      </c>
      <c r="T726" t="b">
        <v>0</v>
      </c>
    </row>
    <row r="727" spans="1:20" x14ac:dyDescent="0.3">
      <c r="A727" t="s">
        <v>1437</v>
      </c>
      <c r="B727" s="1">
        <v>41775</v>
      </c>
      <c r="C727" s="1">
        <v>41780</v>
      </c>
      <c r="D727" t="s">
        <v>1438</v>
      </c>
      <c r="E727" t="s">
        <v>39</v>
      </c>
      <c r="F727" t="s">
        <v>29</v>
      </c>
      <c r="G727" t="s">
        <v>1439</v>
      </c>
      <c r="H727">
        <v>39.96</v>
      </c>
      <c r="I727">
        <v>2</v>
      </c>
      <c r="J727">
        <v>17.1828</v>
      </c>
      <c r="K727">
        <v>2014</v>
      </c>
      <c r="L727">
        <v>5</v>
      </c>
      <c r="M727" t="s">
        <v>47</v>
      </c>
      <c r="N727">
        <v>16</v>
      </c>
      <c r="O727">
        <v>5</v>
      </c>
      <c r="P727">
        <v>43</v>
      </c>
      <c r="Q727">
        <v>19.98</v>
      </c>
      <c r="R727" t="s">
        <v>26</v>
      </c>
      <c r="S727" t="b">
        <v>0</v>
      </c>
      <c r="T727" t="b">
        <v>0</v>
      </c>
    </row>
    <row r="728" spans="1:20" x14ac:dyDescent="0.3">
      <c r="A728" t="s">
        <v>1437</v>
      </c>
      <c r="B728" s="1">
        <v>41775</v>
      </c>
      <c r="C728" s="1">
        <v>41780</v>
      </c>
      <c r="D728" t="s">
        <v>1438</v>
      </c>
      <c r="E728" t="s">
        <v>39</v>
      </c>
      <c r="F728" t="s">
        <v>110</v>
      </c>
      <c r="G728" t="s">
        <v>1440</v>
      </c>
      <c r="H728">
        <v>42.624000000000002</v>
      </c>
      <c r="I728">
        <v>2</v>
      </c>
      <c r="J728">
        <v>4.2624000000000004</v>
      </c>
      <c r="K728">
        <v>2014</v>
      </c>
      <c r="L728">
        <v>5</v>
      </c>
      <c r="M728" t="s">
        <v>47</v>
      </c>
      <c r="N728">
        <v>16</v>
      </c>
      <c r="O728">
        <v>5</v>
      </c>
      <c r="P728">
        <v>10</v>
      </c>
      <c r="Q728">
        <v>21.312000000000001</v>
      </c>
      <c r="R728" t="s">
        <v>26</v>
      </c>
      <c r="S728" t="b">
        <v>0</v>
      </c>
      <c r="T728" t="b">
        <v>0</v>
      </c>
    </row>
    <row r="729" spans="1:20" x14ac:dyDescent="0.3">
      <c r="A729" t="s">
        <v>1437</v>
      </c>
      <c r="B729" s="1">
        <v>41775</v>
      </c>
      <c r="C729" s="1">
        <v>41780</v>
      </c>
      <c r="D729" t="s">
        <v>1438</v>
      </c>
      <c r="E729" t="s">
        <v>39</v>
      </c>
      <c r="F729" t="s">
        <v>110</v>
      </c>
      <c r="G729" t="s">
        <v>1441</v>
      </c>
      <c r="H729">
        <v>220.96</v>
      </c>
      <c r="I729">
        <v>1</v>
      </c>
      <c r="J729">
        <v>24.858000000000001</v>
      </c>
      <c r="K729">
        <v>2014</v>
      </c>
      <c r="L729">
        <v>5</v>
      </c>
      <c r="M729" t="s">
        <v>47</v>
      </c>
      <c r="N729">
        <v>16</v>
      </c>
      <c r="O729">
        <v>5</v>
      </c>
      <c r="P729">
        <v>11.25</v>
      </c>
      <c r="Q729">
        <v>220.96</v>
      </c>
      <c r="R729" t="s">
        <v>26</v>
      </c>
      <c r="S729" t="b">
        <v>0</v>
      </c>
      <c r="T729" t="b">
        <v>1</v>
      </c>
    </row>
    <row r="730" spans="1:20" x14ac:dyDescent="0.3">
      <c r="A730" t="s">
        <v>1442</v>
      </c>
      <c r="B730" s="1">
        <v>41136</v>
      </c>
      <c r="C730" s="1">
        <v>41140</v>
      </c>
      <c r="D730" t="s">
        <v>1443</v>
      </c>
      <c r="E730" t="s">
        <v>22</v>
      </c>
      <c r="F730" t="s">
        <v>45</v>
      </c>
      <c r="G730" t="s">
        <v>614</v>
      </c>
      <c r="H730">
        <v>323.10000000000002</v>
      </c>
      <c r="I730">
        <v>2</v>
      </c>
      <c r="J730">
        <v>61.389000000000003</v>
      </c>
      <c r="K730">
        <v>2012</v>
      </c>
      <c r="L730">
        <v>8</v>
      </c>
      <c r="M730" t="s">
        <v>53</v>
      </c>
      <c r="N730">
        <v>15</v>
      </c>
      <c r="O730">
        <v>4</v>
      </c>
      <c r="P730">
        <v>19</v>
      </c>
      <c r="Q730">
        <v>161.55000000000001</v>
      </c>
      <c r="R730" t="s">
        <v>48</v>
      </c>
      <c r="S730" t="b">
        <v>0</v>
      </c>
      <c r="T730" t="b">
        <v>1</v>
      </c>
    </row>
    <row r="731" spans="1:20" x14ac:dyDescent="0.3">
      <c r="A731" t="s">
        <v>1444</v>
      </c>
      <c r="B731" s="1">
        <v>41544</v>
      </c>
      <c r="C731" s="1">
        <v>41549</v>
      </c>
      <c r="D731" t="s">
        <v>126</v>
      </c>
      <c r="E731" t="s">
        <v>235</v>
      </c>
      <c r="F731" t="s">
        <v>317</v>
      </c>
      <c r="G731" t="s">
        <v>738</v>
      </c>
      <c r="H731">
        <v>424.95749999999998</v>
      </c>
      <c r="I731">
        <v>5</v>
      </c>
      <c r="J731">
        <v>19.998000000000001</v>
      </c>
      <c r="K731">
        <v>2013</v>
      </c>
      <c r="L731">
        <v>9</v>
      </c>
      <c r="M731" t="s">
        <v>87</v>
      </c>
      <c r="N731">
        <v>27</v>
      </c>
      <c r="O731">
        <v>5</v>
      </c>
      <c r="P731">
        <v>4.71</v>
      </c>
      <c r="Q731">
        <v>84.991500000000002</v>
      </c>
      <c r="R731" t="s">
        <v>26</v>
      </c>
      <c r="S731" t="b">
        <v>0</v>
      </c>
      <c r="T731" t="b">
        <v>1</v>
      </c>
    </row>
    <row r="732" spans="1:20" x14ac:dyDescent="0.3">
      <c r="A732" t="s">
        <v>1445</v>
      </c>
      <c r="B732" s="1">
        <v>41900</v>
      </c>
      <c r="C732" s="1">
        <v>41904</v>
      </c>
      <c r="D732" t="s">
        <v>1446</v>
      </c>
      <c r="E732" t="s">
        <v>1267</v>
      </c>
      <c r="F732" t="s">
        <v>33</v>
      </c>
      <c r="G732" t="s">
        <v>241</v>
      </c>
      <c r="H732">
        <v>10.776</v>
      </c>
      <c r="I732">
        <v>3</v>
      </c>
      <c r="J732">
        <v>3.5022000000000002</v>
      </c>
      <c r="K732">
        <v>2014</v>
      </c>
      <c r="L732">
        <v>9</v>
      </c>
      <c r="M732" t="s">
        <v>87</v>
      </c>
      <c r="N732">
        <v>18</v>
      </c>
      <c r="O732">
        <v>4</v>
      </c>
      <c r="P732">
        <v>32.5</v>
      </c>
      <c r="Q732">
        <v>3.5920000000000001</v>
      </c>
      <c r="R732" t="s">
        <v>26</v>
      </c>
      <c r="S732" t="b">
        <v>0</v>
      </c>
      <c r="T732" t="b">
        <v>0</v>
      </c>
    </row>
    <row r="733" spans="1:20" x14ac:dyDescent="0.3">
      <c r="A733" t="s">
        <v>1445</v>
      </c>
      <c r="B733" s="1">
        <v>41900</v>
      </c>
      <c r="C733" s="1">
        <v>41904</v>
      </c>
      <c r="D733" t="s">
        <v>1446</v>
      </c>
      <c r="E733" t="s">
        <v>1267</v>
      </c>
      <c r="F733" t="s">
        <v>33</v>
      </c>
      <c r="G733" t="s">
        <v>919</v>
      </c>
      <c r="H733">
        <v>11.784000000000001</v>
      </c>
      <c r="I733">
        <v>3</v>
      </c>
      <c r="J733">
        <v>4.2717000000000001</v>
      </c>
      <c r="K733">
        <v>2014</v>
      </c>
      <c r="L733">
        <v>9</v>
      </c>
      <c r="M733" t="s">
        <v>87</v>
      </c>
      <c r="N733">
        <v>18</v>
      </c>
      <c r="O733">
        <v>4</v>
      </c>
      <c r="P733">
        <v>36.25</v>
      </c>
      <c r="Q733">
        <v>3.9279999999999999</v>
      </c>
      <c r="R733" t="s">
        <v>26</v>
      </c>
      <c r="S733" t="b">
        <v>0</v>
      </c>
      <c r="T733" t="b">
        <v>0</v>
      </c>
    </row>
    <row r="734" spans="1:20" x14ac:dyDescent="0.3">
      <c r="A734" t="s">
        <v>1445</v>
      </c>
      <c r="B734" s="1">
        <v>41900</v>
      </c>
      <c r="C734" s="1">
        <v>41904</v>
      </c>
      <c r="D734" t="s">
        <v>1446</v>
      </c>
      <c r="E734" t="s">
        <v>1267</v>
      </c>
      <c r="F734" t="s">
        <v>72</v>
      </c>
      <c r="G734" t="s">
        <v>1447</v>
      </c>
      <c r="H734">
        <v>164.88</v>
      </c>
      <c r="I734">
        <v>3</v>
      </c>
      <c r="J734">
        <v>80.791200000000003</v>
      </c>
      <c r="K734">
        <v>2014</v>
      </c>
      <c r="L734">
        <v>9</v>
      </c>
      <c r="M734" t="s">
        <v>87</v>
      </c>
      <c r="N734">
        <v>18</v>
      </c>
      <c r="O734">
        <v>4</v>
      </c>
      <c r="P734">
        <v>49</v>
      </c>
      <c r="Q734">
        <v>54.96</v>
      </c>
      <c r="R734" t="s">
        <v>26</v>
      </c>
      <c r="S734" t="b">
        <v>0</v>
      </c>
      <c r="T734" t="b">
        <v>0</v>
      </c>
    </row>
    <row r="735" spans="1:20" x14ac:dyDescent="0.3">
      <c r="A735" t="s">
        <v>1445</v>
      </c>
      <c r="B735" s="1">
        <v>41900</v>
      </c>
      <c r="C735" s="1">
        <v>41904</v>
      </c>
      <c r="D735" t="s">
        <v>1446</v>
      </c>
      <c r="E735" t="s">
        <v>1267</v>
      </c>
      <c r="F735" t="s">
        <v>33</v>
      </c>
      <c r="G735" t="s">
        <v>1448</v>
      </c>
      <c r="H735">
        <v>25.584</v>
      </c>
      <c r="I735">
        <v>2</v>
      </c>
      <c r="J735">
        <v>8.9543999999999997</v>
      </c>
      <c r="K735">
        <v>2014</v>
      </c>
      <c r="L735">
        <v>9</v>
      </c>
      <c r="M735" t="s">
        <v>87</v>
      </c>
      <c r="N735">
        <v>18</v>
      </c>
      <c r="O735">
        <v>4</v>
      </c>
      <c r="P735">
        <v>35</v>
      </c>
      <c r="Q735">
        <v>12.792</v>
      </c>
      <c r="R735" t="s">
        <v>26</v>
      </c>
      <c r="S735" t="b">
        <v>0</v>
      </c>
      <c r="T735" t="b">
        <v>0</v>
      </c>
    </row>
    <row r="736" spans="1:20" x14ac:dyDescent="0.3">
      <c r="A736" t="s">
        <v>1445</v>
      </c>
      <c r="B736" s="1">
        <v>41900</v>
      </c>
      <c r="C736" s="1">
        <v>41904</v>
      </c>
      <c r="D736" t="s">
        <v>1446</v>
      </c>
      <c r="E736" t="s">
        <v>1267</v>
      </c>
      <c r="F736" t="s">
        <v>45</v>
      </c>
      <c r="G736" t="s">
        <v>1449</v>
      </c>
      <c r="H736">
        <v>261.74</v>
      </c>
      <c r="I736">
        <v>2</v>
      </c>
      <c r="J736">
        <v>65.435000000000002</v>
      </c>
      <c r="K736">
        <v>2014</v>
      </c>
      <c r="L736">
        <v>9</v>
      </c>
      <c r="M736" t="s">
        <v>87</v>
      </c>
      <c r="N736">
        <v>18</v>
      </c>
      <c r="O736">
        <v>4</v>
      </c>
      <c r="P736">
        <v>25</v>
      </c>
      <c r="Q736">
        <v>130.87</v>
      </c>
      <c r="R736" t="s">
        <v>26</v>
      </c>
      <c r="S736" t="b">
        <v>0</v>
      </c>
      <c r="T736" t="b">
        <v>1</v>
      </c>
    </row>
    <row r="737" spans="1:20" x14ac:dyDescent="0.3">
      <c r="A737" t="s">
        <v>1445</v>
      </c>
      <c r="B737" s="1">
        <v>41900</v>
      </c>
      <c r="C737" s="1">
        <v>41904</v>
      </c>
      <c r="D737" t="s">
        <v>1446</v>
      </c>
      <c r="E737" t="s">
        <v>1267</v>
      </c>
      <c r="F737" t="s">
        <v>23</v>
      </c>
      <c r="G737" t="s">
        <v>1450</v>
      </c>
      <c r="H737">
        <v>14.4</v>
      </c>
      <c r="I737">
        <v>5</v>
      </c>
      <c r="J737">
        <v>7.056</v>
      </c>
      <c r="K737">
        <v>2014</v>
      </c>
      <c r="L737">
        <v>9</v>
      </c>
      <c r="M737" t="s">
        <v>87</v>
      </c>
      <c r="N737">
        <v>18</v>
      </c>
      <c r="O737">
        <v>4</v>
      </c>
      <c r="P737">
        <v>49</v>
      </c>
      <c r="Q737">
        <v>2.88</v>
      </c>
      <c r="R737" t="s">
        <v>26</v>
      </c>
      <c r="S737" t="b">
        <v>0</v>
      </c>
      <c r="T737" t="b">
        <v>0</v>
      </c>
    </row>
    <row r="738" spans="1:20" x14ac:dyDescent="0.3">
      <c r="A738" t="s">
        <v>1451</v>
      </c>
      <c r="B738" s="1">
        <v>41503</v>
      </c>
      <c r="C738" s="1">
        <v>41507</v>
      </c>
      <c r="D738" t="s">
        <v>1452</v>
      </c>
      <c r="E738" t="s">
        <v>51</v>
      </c>
      <c r="F738" t="s">
        <v>128</v>
      </c>
      <c r="G738" t="s">
        <v>129</v>
      </c>
      <c r="H738">
        <v>10.86</v>
      </c>
      <c r="I738">
        <v>3</v>
      </c>
      <c r="J738">
        <v>5.1041999999999996</v>
      </c>
      <c r="K738">
        <v>2013</v>
      </c>
      <c r="L738">
        <v>8</v>
      </c>
      <c r="M738" t="s">
        <v>53</v>
      </c>
      <c r="N738">
        <v>17</v>
      </c>
      <c r="O738">
        <v>4</v>
      </c>
      <c r="P738">
        <v>47</v>
      </c>
      <c r="Q738">
        <v>3.62</v>
      </c>
      <c r="R738" t="s">
        <v>26</v>
      </c>
      <c r="S738" t="b">
        <v>0</v>
      </c>
      <c r="T738" t="b">
        <v>0</v>
      </c>
    </row>
    <row r="739" spans="1:20" x14ac:dyDescent="0.3">
      <c r="A739" t="s">
        <v>1453</v>
      </c>
      <c r="B739" s="1">
        <v>41146</v>
      </c>
      <c r="C739" s="1">
        <v>41151</v>
      </c>
      <c r="D739" t="s">
        <v>1454</v>
      </c>
      <c r="E739" t="s">
        <v>22</v>
      </c>
      <c r="F739" t="s">
        <v>110</v>
      </c>
      <c r="G739" t="s">
        <v>1302</v>
      </c>
      <c r="H739">
        <v>40.783999999999999</v>
      </c>
      <c r="I739">
        <v>1</v>
      </c>
      <c r="J739">
        <v>4.5881999999999996</v>
      </c>
      <c r="K739">
        <v>2012</v>
      </c>
      <c r="L739">
        <v>8</v>
      </c>
      <c r="M739" t="s">
        <v>53</v>
      </c>
      <c r="N739">
        <v>25</v>
      </c>
      <c r="O739">
        <v>5</v>
      </c>
      <c r="P739">
        <v>11.25</v>
      </c>
      <c r="Q739">
        <v>40.783999999999999</v>
      </c>
      <c r="R739" t="s">
        <v>26</v>
      </c>
      <c r="S739" t="b">
        <v>0</v>
      </c>
      <c r="T739" t="b">
        <v>0</v>
      </c>
    </row>
    <row r="740" spans="1:20" x14ac:dyDescent="0.3">
      <c r="A740" t="s">
        <v>1453</v>
      </c>
      <c r="B740" s="1">
        <v>41146</v>
      </c>
      <c r="C740" s="1">
        <v>41151</v>
      </c>
      <c r="D740" t="s">
        <v>1454</v>
      </c>
      <c r="E740" t="s">
        <v>22</v>
      </c>
      <c r="F740" t="s">
        <v>35</v>
      </c>
      <c r="G740" t="s">
        <v>1261</v>
      </c>
      <c r="H740">
        <v>105.96</v>
      </c>
      <c r="I740">
        <v>4</v>
      </c>
      <c r="J740">
        <v>29.668800000000001</v>
      </c>
      <c r="K740">
        <v>2012</v>
      </c>
      <c r="L740">
        <v>8</v>
      </c>
      <c r="M740" t="s">
        <v>53</v>
      </c>
      <c r="N740">
        <v>25</v>
      </c>
      <c r="O740">
        <v>5</v>
      </c>
      <c r="P740">
        <v>28</v>
      </c>
      <c r="Q740">
        <v>26.49</v>
      </c>
      <c r="R740" t="s">
        <v>26</v>
      </c>
      <c r="S740" t="b">
        <v>0</v>
      </c>
      <c r="T740" t="b">
        <v>0</v>
      </c>
    </row>
    <row r="741" spans="1:20" x14ac:dyDescent="0.3">
      <c r="A741" t="s">
        <v>1455</v>
      </c>
      <c r="B741" s="1">
        <v>41977</v>
      </c>
      <c r="C741" s="1">
        <v>41977</v>
      </c>
      <c r="D741" t="s">
        <v>1456</v>
      </c>
      <c r="E741" t="s">
        <v>194</v>
      </c>
      <c r="F741" t="s">
        <v>72</v>
      </c>
      <c r="G741" t="s">
        <v>1457</v>
      </c>
      <c r="H741">
        <v>166.44</v>
      </c>
      <c r="I741">
        <v>3</v>
      </c>
      <c r="J741">
        <v>79.891199999999998</v>
      </c>
      <c r="K741">
        <v>2014</v>
      </c>
      <c r="L741">
        <v>12</v>
      </c>
      <c r="M741" t="s">
        <v>41</v>
      </c>
      <c r="N741">
        <v>4</v>
      </c>
      <c r="O741">
        <v>0</v>
      </c>
      <c r="P741">
        <v>48</v>
      </c>
      <c r="Q741">
        <v>55.48</v>
      </c>
      <c r="R741" t="s">
        <v>26</v>
      </c>
      <c r="S741" t="b">
        <v>0</v>
      </c>
      <c r="T741" t="b">
        <v>0</v>
      </c>
    </row>
    <row r="742" spans="1:20" x14ac:dyDescent="0.3">
      <c r="A742" t="s">
        <v>1458</v>
      </c>
      <c r="B742" s="1">
        <v>40715</v>
      </c>
      <c r="C742" s="1">
        <v>40715</v>
      </c>
      <c r="D742" t="s">
        <v>1459</v>
      </c>
      <c r="E742" t="s">
        <v>1460</v>
      </c>
      <c r="F742" t="s">
        <v>33</v>
      </c>
      <c r="G742" t="s">
        <v>970</v>
      </c>
      <c r="H742">
        <v>11.087999999999999</v>
      </c>
      <c r="I742">
        <v>7</v>
      </c>
      <c r="J742">
        <v>-8.1311999999999998</v>
      </c>
      <c r="K742">
        <v>2011</v>
      </c>
      <c r="L742">
        <v>6</v>
      </c>
      <c r="M742" t="s">
        <v>25</v>
      </c>
      <c r="N742">
        <v>21</v>
      </c>
      <c r="O742">
        <v>0</v>
      </c>
      <c r="P742">
        <v>-73.33</v>
      </c>
      <c r="Q742">
        <v>1.5840000000000001</v>
      </c>
      <c r="R742" t="s">
        <v>26</v>
      </c>
      <c r="S742" t="b">
        <v>1</v>
      </c>
      <c r="T742" t="b">
        <v>0</v>
      </c>
    </row>
    <row r="743" spans="1:20" x14ac:dyDescent="0.3">
      <c r="A743" t="s">
        <v>1458</v>
      </c>
      <c r="B743" s="1">
        <v>40715</v>
      </c>
      <c r="C743" s="1">
        <v>40715</v>
      </c>
      <c r="D743" t="s">
        <v>1459</v>
      </c>
      <c r="E743" t="s">
        <v>1460</v>
      </c>
      <c r="F743" t="s">
        <v>33</v>
      </c>
      <c r="G743" t="s">
        <v>581</v>
      </c>
      <c r="H743">
        <v>25.164000000000001</v>
      </c>
      <c r="I743">
        <v>2</v>
      </c>
      <c r="J743">
        <v>-16.776</v>
      </c>
      <c r="K743">
        <v>2011</v>
      </c>
      <c r="L743">
        <v>6</v>
      </c>
      <c r="M743" t="s">
        <v>25</v>
      </c>
      <c r="N743">
        <v>21</v>
      </c>
      <c r="O743">
        <v>0</v>
      </c>
      <c r="P743">
        <v>-66.67</v>
      </c>
      <c r="Q743">
        <v>12.582000000000001</v>
      </c>
      <c r="R743" t="s">
        <v>26</v>
      </c>
      <c r="S743" t="b">
        <v>1</v>
      </c>
      <c r="T743" t="b">
        <v>0</v>
      </c>
    </row>
    <row r="744" spans="1:20" x14ac:dyDescent="0.3">
      <c r="A744" t="s">
        <v>1461</v>
      </c>
      <c r="B744" s="1">
        <v>41820</v>
      </c>
      <c r="C744" s="1">
        <v>41827</v>
      </c>
      <c r="D744" t="s">
        <v>1462</v>
      </c>
      <c r="E744" t="s">
        <v>22</v>
      </c>
      <c r="F744" t="s">
        <v>33</v>
      </c>
      <c r="G744" t="s">
        <v>1324</v>
      </c>
      <c r="H744">
        <v>312.55200000000002</v>
      </c>
      <c r="I744">
        <v>9</v>
      </c>
      <c r="J744">
        <v>101.57940000000001</v>
      </c>
      <c r="K744">
        <v>2014</v>
      </c>
      <c r="L744">
        <v>6</v>
      </c>
      <c r="M744" t="s">
        <v>25</v>
      </c>
      <c r="N744">
        <v>30</v>
      </c>
      <c r="O744">
        <v>7</v>
      </c>
      <c r="P744">
        <v>32.5</v>
      </c>
      <c r="Q744">
        <v>34.728000000000002</v>
      </c>
      <c r="R744" t="s">
        <v>26</v>
      </c>
      <c r="S744" t="b">
        <v>0</v>
      </c>
      <c r="T744" t="b">
        <v>1</v>
      </c>
    </row>
    <row r="745" spans="1:20" x14ac:dyDescent="0.3">
      <c r="A745" t="s">
        <v>1463</v>
      </c>
      <c r="B745" s="1">
        <v>41225</v>
      </c>
      <c r="C745" s="1">
        <v>41227</v>
      </c>
      <c r="D745" t="s">
        <v>1464</v>
      </c>
      <c r="E745" t="s">
        <v>22</v>
      </c>
      <c r="F745" t="s">
        <v>72</v>
      </c>
      <c r="G745" t="s">
        <v>1465</v>
      </c>
      <c r="H745">
        <v>15.7</v>
      </c>
      <c r="I745">
        <v>5</v>
      </c>
      <c r="J745">
        <v>7.0650000000000004</v>
      </c>
      <c r="K745">
        <v>2012</v>
      </c>
      <c r="L745">
        <v>11</v>
      </c>
      <c r="M745" t="s">
        <v>70</v>
      </c>
      <c r="N745">
        <v>12</v>
      </c>
      <c r="O745">
        <v>2</v>
      </c>
      <c r="P745">
        <v>45</v>
      </c>
      <c r="Q745">
        <v>3.14</v>
      </c>
      <c r="R745" t="s">
        <v>26</v>
      </c>
      <c r="S745" t="b">
        <v>0</v>
      </c>
      <c r="T745" t="b">
        <v>0</v>
      </c>
    </row>
    <row r="746" spans="1:20" x14ac:dyDescent="0.3">
      <c r="A746" t="s">
        <v>1466</v>
      </c>
      <c r="B746" s="1">
        <v>41515</v>
      </c>
      <c r="C746" s="1">
        <v>41520</v>
      </c>
      <c r="D746" t="s">
        <v>160</v>
      </c>
      <c r="E746" t="s">
        <v>1467</v>
      </c>
      <c r="F746" t="s">
        <v>72</v>
      </c>
      <c r="G746" t="s">
        <v>1468</v>
      </c>
      <c r="H746">
        <v>15.48</v>
      </c>
      <c r="I746">
        <v>3</v>
      </c>
      <c r="J746">
        <v>5.6115000000000004</v>
      </c>
      <c r="K746">
        <v>2013</v>
      </c>
      <c r="L746">
        <v>8</v>
      </c>
      <c r="M746" t="s">
        <v>53</v>
      </c>
      <c r="N746">
        <v>29</v>
      </c>
      <c r="O746">
        <v>5</v>
      </c>
      <c r="P746">
        <v>36.25</v>
      </c>
      <c r="Q746">
        <v>5.16</v>
      </c>
      <c r="R746" t="s">
        <v>26</v>
      </c>
      <c r="S746" t="b">
        <v>0</v>
      </c>
      <c r="T746" t="b">
        <v>0</v>
      </c>
    </row>
    <row r="747" spans="1:20" x14ac:dyDescent="0.3">
      <c r="A747" t="s">
        <v>1466</v>
      </c>
      <c r="B747" s="1">
        <v>41515</v>
      </c>
      <c r="C747" s="1">
        <v>41520</v>
      </c>
      <c r="D747" t="s">
        <v>160</v>
      </c>
      <c r="E747" t="s">
        <v>1467</v>
      </c>
      <c r="F747" t="s">
        <v>54</v>
      </c>
      <c r="G747" t="s">
        <v>1469</v>
      </c>
      <c r="H747">
        <v>108.57599999999999</v>
      </c>
      <c r="I747">
        <v>3</v>
      </c>
      <c r="J747">
        <v>8.1432000000000002</v>
      </c>
      <c r="K747">
        <v>2013</v>
      </c>
      <c r="L747">
        <v>8</v>
      </c>
      <c r="M747" t="s">
        <v>53</v>
      </c>
      <c r="N747">
        <v>29</v>
      </c>
      <c r="O747">
        <v>5</v>
      </c>
      <c r="P747">
        <v>7.5</v>
      </c>
      <c r="Q747">
        <v>36.192</v>
      </c>
      <c r="R747" t="s">
        <v>26</v>
      </c>
      <c r="S747" t="b">
        <v>0</v>
      </c>
      <c r="T747" t="b">
        <v>0</v>
      </c>
    </row>
    <row r="748" spans="1:20" x14ac:dyDescent="0.3">
      <c r="A748" t="s">
        <v>1470</v>
      </c>
      <c r="B748" s="1">
        <v>41296</v>
      </c>
      <c r="C748" s="1">
        <v>41302</v>
      </c>
      <c r="D748" t="s">
        <v>1471</v>
      </c>
      <c r="E748" t="s">
        <v>39</v>
      </c>
      <c r="F748" t="s">
        <v>29</v>
      </c>
      <c r="G748" t="s">
        <v>1472</v>
      </c>
      <c r="H748">
        <v>109.9</v>
      </c>
      <c r="I748">
        <v>5</v>
      </c>
      <c r="J748">
        <v>37.366</v>
      </c>
      <c r="K748">
        <v>2013</v>
      </c>
      <c r="L748">
        <v>1</v>
      </c>
      <c r="M748" t="s">
        <v>60</v>
      </c>
      <c r="N748">
        <v>22</v>
      </c>
      <c r="O748">
        <v>6</v>
      </c>
      <c r="P748">
        <v>34</v>
      </c>
      <c r="Q748">
        <v>21.98</v>
      </c>
      <c r="R748" t="s">
        <v>26</v>
      </c>
      <c r="S748" t="b">
        <v>0</v>
      </c>
      <c r="T748" t="b">
        <v>0</v>
      </c>
    </row>
    <row r="749" spans="1:20" x14ac:dyDescent="0.3">
      <c r="A749" t="s">
        <v>1473</v>
      </c>
      <c r="B749" s="1">
        <v>41807</v>
      </c>
      <c r="C749" s="1">
        <v>41812</v>
      </c>
      <c r="D749" t="s">
        <v>1474</v>
      </c>
      <c r="E749" t="s">
        <v>154</v>
      </c>
      <c r="F749" t="s">
        <v>122</v>
      </c>
      <c r="G749" t="s">
        <v>1139</v>
      </c>
      <c r="H749">
        <v>16.68</v>
      </c>
      <c r="I749">
        <v>2</v>
      </c>
      <c r="J749">
        <v>4.3368000000000002</v>
      </c>
      <c r="K749">
        <v>2014</v>
      </c>
      <c r="L749">
        <v>6</v>
      </c>
      <c r="M749" t="s">
        <v>25</v>
      </c>
      <c r="N749">
        <v>17</v>
      </c>
      <c r="O749">
        <v>5</v>
      </c>
      <c r="P749">
        <v>26</v>
      </c>
      <c r="Q749">
        <v>8.34</v>
      </c>
      <c r="R749" t="s">
        <v>26</v>
      </c>
      <c r="S749" t="b">
        <v>0</v>
      </c>
      <c r="T749" t="b">
        <v>0</v>
      </c>
    </row>
    <row r="750" spans="1:20" x14ac:dyDescent="0.3">
      <c r="A750" t="s">
        <v>1473</v>
      </c>
      <c r="B750" s="1">
        <v>41807</v>
      </c>
      <c r="C750" s="1">
        <v>41812</v>
      </c>
      <c r="D750" t="s">
        <v>1474</v>
      </c>
      <c r="E750" t="s">
        <v>154</v>
      </c>
      <c r="F750" t="s">
        <v>72</v>
      </c>
      <c r="G750" t="s">
        <v>1475</v>
      </c>
      <c r="H750">
        <v>19.440000000000001</v>
      </c>
      <c r="I750">
        <v>3</v>
      </c>
      <c r="J750">
        <v>9.3312000000000008</v>
      </c>
      <c r="K750">
        <v>2014</v>
      </c>
      <c r="L750">
        <v>6</v>
      </c>
      <c r="M750" t="s">
        <v>25</v>
      </c>
      <c r="N750">
        <v>17</v>
      </c>
      <c r="O750">
        <v>5</v>
      </c>
      <c r="P750">
        <v>48</v>
      </c>
      <c r="Q750">
        <v>6.48</v>
      </c>
      <c r="R750" t="s">
        <v>26</v>
      </c>
      <c r="S750" t="b">
        <v>0</v>
      </c>
      <c r="T750" t="b">
        <v>0</v>
      </c>
    </row>
    <row r="751" spans="1:20" x14ac:dyDescent="0.3">
      <c r="A751" t="s">
        <v>1473</v>
      </c>
      <c r="B751" s="1">
        <v>41807</v>
      </c>
      <c r="C751" s="1">
        <v>41812</v>
      </c>
      <c r="D751" t="s">
        <v>1474</v>
      </c>
      <c r="E751" t="s">
        <v>154</v>
      </c>
      <c r="F751" t="s">
        <v>72</v>
      </c>
      <c r="G751" t="s">
        <v>1476</v>
      </c>
      <c r="H751">
        <v>192.16</v>
      </c>
      <c r="I751">
        <v>4</v>
      </c>
      <c r="J751">
        <v>92.236800000000002</v>
      </c>
      <c r="K751">
        <v>2014</v>
      </c>
      <c r="L751">
        <v>6</v>
      </c>
      <c r="M751" t="s">
        <v>25</v>
      </c>
      <c r="N751">
        <v>17</v>
      </c>
      <c r="O751">
        <v>5</v>
      </c>
      <c r="P751">
        <v>48</v>
      </c>
      <c r="Q751">
        <v>48.04</v>
      </c>
      <c r="R751" t="s">
        <v>26</v>
      </c>
      <c r="S751" t="b">
        <v>0</v>
      </c>
      <c r="T751" t="b">
        <v>0</v>
      </c>
    </row>
    <row r="752" spans="1:20" x14ac:dyDescent="0.3">
      <c r="A752" t="s">
        <v>1477</v>
      </c>
      <c r="B752" s="1">
        <v>40938</v>
      </c>
      <c r="C752" s="1">
        <v>40945</v>
      </c>
      <c r="D752" t="s">
        <v>402</v>
      </c>
      <c r="E752" t="s">
        <v>22</v>
      </c>
      <c r="F752" t="s">
        <v>29</v>
      </c>
      <c r="G752" t="s">
        <v>1478</v>
      </c>
      <c r="H752">
        <v>227.36</v>
      </c>
      <c r="I752">
        <v>7</v>
      </c>
      <c r="J752">
        <v>81.849599999999995</v>
      </c>
      <c r="K752">
        <v>2012</v>
      </c>
      <c r="L752">
        <v>1</v>
      </c>
      <c r="M752" t="s">
        <v>60</v>
      </c>
      <c r="N752">
        <v>30</v>
      </c>
      <c r="O752">
        <v>7</v>
      </c>
      <c r="P752">
        <v>36</v>
      </c>
      <c r="Q752">
        <v>32.479999999999997</v>
      </c>
      <c r="R752" t="s">
        <v>26</v>
      </c>
      <c r="S752" t="b">
        <v>0</v>
      </c>
      <c r="T752" t="b">
        <v>1</v>
      </c>
    </row>
    <row r="753" spans="1:20" x14ac:dyDescent="0.3">
      <c r="A753" t="s">
        <v>1479</v>
      </c>
      <c r="B753" s="1">
        <v>41244</v>
      </c>
      <c r="C753" s="1">
        <v>41249</v>
      </c>
      <c r="D753" t="s">
        <v>817</v>
      </c>
      <c r="E753" t="s">
        <v>39</v>
      </c>
      <c r="F753" t="s">
        <v>31</v>
      </c>
      <c r="G753" t="s">
        <v>1480</v>
      </c>
      <c r="H753">
        <v>13.9</v>
      </c>
      <c r="I753">
        <v>5</v>
      </c>
      <c r="J753">
        <v>5.56</v>
      </c>
      <c r="K753">
        <v>2012</v>
      </c>
      <c r="L753">
        <v>12</v>
      </c>
      <c r="M753" t="s">
        <v>41</v>
      </c>
      <c r="N753">
        <v>1</v>
      </c>
      <c r="O753">
        <v>5</v>
      </c>
      <c r="P753">
        <v>40</v>
      </c>
      <c r="Q753">
        <v>2.78</v>
      </c>
      <c r="R753" t="s">
        <v>26</v>
      </c>
      <c r="S753" t="b">
        <v>0</v>
      </c>
      <c r="T753" t="b">
        <v>0</v>
      </c>
    </row>
    <row r="754" spans="1:20" x14ac:dyDescent="0.3">
      <c r="A754" t="s">
        <v>1481</v>
      </c>
      <c r="B754" s="1">
        <v>41995</v>
      </c>
      <c r="C754" s="1">
        <v>42001</v>
      </c>
      <c r="D754" t="s">
        <v>1482</v>
      </c>
      <c r="E754" t="s">
        <v>336</v>
      </c>
      <c r="F754" t="s">
        <v>45</v>
      </c>
      <c r="G754" t="s">
        <v>694</v>
      </c>
      <c r="H754">
        <v>124.36</v>
      </c>
      <c r="I754">
        <v>2</v>
      </c>
      <c r="J754">
        <v>33.577199999999998</v>
      </c>
      <c r="K754">
        <v>2014</v>
      </c>
      <c r="L754">
        <v>12</v>
      </c>
      <c r="M754" t="s">
        <v>41</v>
      </c>
      <c r="N754">
        <v>22</v>
      </c>
      <c r="O754">
        <v>6</v>
      </c>
      <c r="P754">
        <v>27</v>
      </c>
      <c r="Q754">
        <v>62.18</v>
      </c>
      <c r="R754" t="s">
        <v>26</v>
      </c>
      <c r="S754" t="b">
        <v>0</v>
      </c>
      <c r="T754" t="b">
        <v>0</v>
      </c>
    </row>
    <row r="755" spans="1:20" x14ac:dyDescent="0.3">
      <c r="A755" t="s">
        <v>1483</v>
      </c>
      <c r="B755" s="1">
        <v>40820</v>
      </c>
      <c r="C755" s="1">
        <v>40824</v>
      </c>
      <c r="D755" t="s">
        <v>1484</v>
      </c>
      <c r="E755" t="s">
        <v>438</v>
      </c>
      <c r="F755" t="s">
        <v>23</v>
      </c>
      <c r="G755" t="s">
        <v>1485</v>
      </c>
      <c r="H755">
        <v>14.45</v>
      </c>
      <c r="I755">
        <v>5</v>
      </c>
      <c r="J755">
        <v>6.7915000000000001</v>
      </c>
      <c r="K755">
        <v>2011</v>
      </c>
      <c r="L755">
        <v>10</v>
      </c>
      <c r="M755" t="s">
        <v>82</v>
      </c>
      <c r="N755">
        <v>4</v>
      </c>
      <c r="O755">
        <v>4</v>
      </c>
      <c r="P755">
        <v>47</v>
      </c>
      <c r="Q755">
        <v>2.89</v>
      </c>
      <c r="R755" t="s">
        <v>26</v>
      </c>
      <c r="S755" t="b">
        <v>0</v>
      </c>
      <c r="T755" t="b">
        <v>0</v>
      </c>
    </row>
    <row r="756" spans="1:20" x14ac:dyDescent="0.3">
      <c r="A756" t="s">
        <v>1483</v>
      </c>
      <c r="B756" s="1">
        <v>40820</v>
      </c>
      <c r="C756" s="1">
        <v>40824</v>
      </c>
      <c r="D756" t="s">
        <v>1484</v>
      </c>
      <c r="E756" t="s">
        <v>438</v>
      </c>
      <c r="F756" t="s">
        <v>33</v>
      </c>
      <c r="G756" t="s">
        <v>1143</v>
      </c>
      <c r="H756">
        <v>95.647999999999996</v>
      </c>
      <c r="I756">
        <v>2</v>
      </c>
      <c r="J756">
        <v>31.085599999999999</v>
      </c>
      <c r="K756">
        <v>2011</v>
      </c>
      <c r="L756">
        <v>10</v>
      </c>
      <c r="M756" t="s">
        <v>82</v>
      </c>
      <c r="N756">
        <v>4</v>
      </c>
      <c r="O756">
        <v>4</v>
      </c>
      <c r="P756">
        <v>32.5</v>
      </c>
      <c r="Q756">
        <v>47.823999999999998</v>
      </c>
      <c r="R756" t="s">
        <v>26</v>
      </c>
      <c r="S756" t="b">
        <v>0</v>
      </c>
      <c r="T756" t="b">
        <v>0</v>
      </c>
    </row>
    <row r="757" spans="1:20" x14ac:dyDescent="0.3">
      <c r="A757" t="s">
        <v>1486</v>
      </c>
      <c r="B757" s="1">
        <v>41684</v>
      </c>
      <c r="C757" s="1">
        <v>41690</v>
      </c>
      <c r="D757" t="s">
        <v>1487</v>
      </c>
      <c r="E757" t="s">
        <v>39</v>
      </c>
      <c r="F757" t="s">
        <v>31</v>
      </c>
      <c r="G757" t="s">
        <v>145</v>
      </c>
      <c r="H757">
        <v>6.63</v>
      </c>
      <c r="I757">
        <v>3</v>
      </c>
      <c r="J757">
        <v>1.7901</v>
      </c>
      <c r="K757">
        <v>2014</v>
      </c>
      <c r="L757">
        <v>2</v>
      </c>
      <c r="M757" t="s">
        <v>303</v>
      </c>
      <c r="N757">
        <v>14</v>
      </c>
      <c r="O757">
        <v>6</v>
      </c>
      <c r="P757">
        <v>27</v>
      </c>
      <c r="Q757">
        <v>2.21</v>
      </c>
      <c r="R757" t="s">
        <v>26</v>
      </c>
      <c r="S757" t="b">
        <v>0</v>
      </c>
      <c r="T757" t="b">
        <v>0</v>
      </c>
    </row>
    <row r="758" spans="1:20" x14ac:dyDescent="0.3">
      <c r="A758" t="s">
        <v>1486</v>
      </c>
      <c r="B758" s="1">
        <v>41684</v>
      </c>
      <c r="C758" s="1">
        <v>41690</v>
      </c>
      <c r="D758" t="s">
        <v>1487</v>
      </c>
      <c r="E758" t="s">
        <v>39</v>
      </c>
      <c r="F758" t="s">
        <v>29</v>
      </c>
      <c r="G758" t="s">
        <v>1488</v>
      </c>
      <c r="H758">
        <v>107.53</v>
      </c>
      <c r="I758">
        <v>1</v>
      </c>
      <c r="J758">
        <v>21.506</v>
      </c>
      <c r="K758">
        <v>2014</v>
      </c>
      <c r="L758">
        <v>2</v>
      </c>
      <c r="M758" t="s">
        <v>303</v>
      </c>
      <c r="N758">
        <v>14</v>
      </c>
      <c r="O758">
        <v>6</v>
      </c>
      <c r="P758">
        <v>20</v>
      </c>
      <c r="Q758">
        <v>107.53</v>
      </c>
      <c r="R758" t="s">
        <v>26</v>
      </c>
      <c r="S758" t="b">
        <v>0</v>
      </c>
      <c r="T758" t="b">
        <v>0</v>
      </c>
    </row>
    <row r="759" spans="1:20" x14ac:dyDescent="0.3">
      <c r="A759" t="s">
        <v>1489</v>
      </c>
      <c r="B759" s="1">
        <v>40960</v>
      </c>
      <c r="C759" s="1">
        <v>40962</v>
      </c>
      <c r="D759" t="s">
        <v>1117</v>
      </c>
      <c r="E759" t="s">
        <v>1490</v>
      </c>
      <c r="F759" t="s">
        <v>72</v>
      </c>
      <c r="G759" t="s">
        <v>155</v>
      </c>
      <c r="H759">
        <v>49.12</v>
      </c>
      <c r="I759">
        <v>4</v>
      </c>
      <c r="J759">
        <v>23.086400000000001</v>
      </c>
      <c r="K759">
        <v>2012</v>
      </c>
      <c r="L759">
        <v>2</v>
      </c>
      <c r="M759" t="s">
        <v>303</v>
      </c>
      <c r="N759">
        <v>21</v>
      </c>
      <c r="O759">
        <v>2</v>
      </c>
      <c r="P759">
        <v>47</v>
      </c>
      <c r="Q759">
        <v>12.28</v>
      </c>
      <c r="R759" t="s">
        <v>26</v>
      </c>
      <c r="S759" t="b">
        <v>0</v>
      </c>
      <c r="T759" t="b">
        <v>0</v>
      </c>
    </row>
    <row r="760" spans="1:20" x14ac:dyDescent="0.3">
      <c r="A760" t="s">
        <v>1491</v>
      </c>
      <c r="B760" s="1">
        <v>40851</v>
      </c>
      <c r="C760" s="1">
        <v>40855</v>
      </c>
      <c r="D760" t="s">
        <v>1492</v>
      </c>
      <c r="E760" t="s">
        <v>194</v>
      </c>
      <c r="F760" t="s">
        <v>29</v>
      </c>
      <c r="G760" t="s">
        <v>1493</v>
      </c>
      <c r="H760">
        <v>35.340000000000003</v>
      </c>
      <c r="I760">
        <v>2</v>
      </c>
      <c r="J760">
        <v>13.4292</v>
      </c>
      <c r="K760">
        <v>2011</v>
      </c>
      <c r="L760">
        <v>11</v>
      </c>
      <c r="M760" t="s">
        <v>70</v>
      </c>
      <c r="N760">
        <v>4</v>
      </c>
      <c r="O760">
        <v>4</v>
      </c>
      <c r="P760">
        <v>38</v>
      </c>
      <c r="Q760">
        <v>17.670000000000002</v>
      </c>
      <c r="R760" t="s">
        <v>26</v>
      </c>
      <c r="S760" t="b">
        <v>0</v>
      </c>
      <c r="T760" t="b">
        <v>0</v>
      </c>
    </row>
    <row r="761" spans="1:20" x14ac:dyDescent="0.3">
      <c r="A761" t="s">
        <v>1494</v>
      </c>
      <c r="B761" s="1">
        <v>41080</v>
      </c>
      <c r="C761" s="1">
        <v>41085</v>
      </c>
      <c r="D761" t="s">
        <v>1095</v>
      </c>
      <c r="E761" t="s">
        <v>51</v>
      </c>
      <c r="F761" t="s">
        <v>29</v>
      </c>
      <c r="G761" t="s">
        <v>894</v>
      </c>
      <c r="H761">
        <v>257.64</v>
      </c>
      <c r="I761">
        <v>6</v>
      </c>
      <c r="J761">
        <v>100.4796</v>
      </c>
      <c r="K761">
        <v>2012</v>
      </c>
      <c r="L761">
        <v>6</v>
      </c>
      <c r="M761" t="s">
        <v>25</v>
      </c>
      <c r="N761">
        <v>20</v>
      </c>
      <c r="O761">
        <v>5</v>
      </c>
      <c r="P761">
        <v>39</v>
      </c>
      <c r="Q761">
        <v>42.94</v>
      </c>
      <c r="R761" t="s">
        <v>26</v>
      </c>
      <c r="S761" t="b">
        <v>0</v>
      </c>
      <c r="T761" t="b">
        <v>1</v>
      </c>
    </row>
    <row r="762" spans="1:20" x14ac:dyDescent="0.3">
      <c r="A762" t="s">
        <v>1494</v>
      </c>
      <c r="B762" s="1">
        <v>41080</v>
      </c>
      <c r="C762" s="1">
        <v>41085</v>
      </c>
      <c r="D762" t="s">
        <v>1095</v>
      </c>
      <c r="E762" t="s">
        <v>51</v>
      </c>
      <c r="F762" t="s">
        <v>54</v>
      </c>
      <c r="G762" t="s">
        <v>78</v>
      </c>
      <c r="H762">
        <v>125.976</v>
      </c>
      <c r="I762">
        <v>3</v>
      </c>
      <c r="J762">
        <v>47.241</v>
      </c>
      <c r="K762">
        <v>2012</v>
      </c>
      <c r="L762">
        <v>6</v>
      </c>
      <c r="M762" t="s">
        <v>25</v>
      </c>
      <c r="N762">
        <v>20</v>
      </c>
      <c r="O762">
        <v>5</v>
      </c>
      <c r="P762">
        <v>37.5</v>
      </c>
      <c r="Q762">
        <v>41.991999999999997</v>
      </c>
      <c r="R762" t="s">
        <v>26</v>
      </c>
      <c r="S762" t="b">
        <v>0</v>
      </c>
      <c r="T762" t="b">
        <v>0</v>
      </c>
    </row>
    <row r="763" spans="1:20" x14ac:dyDescent="0.3">
      <c r="A763" t="s">
        <v>1495</v>
      </c>
      <c r="B763" s="1">
        <v>40763</v>
      </c>
      <c r="C763" s="1">
        <v>40766</v>
      </c>
      <c r="D763" t="s">
        <v>1354</v>
      </c>
      <c r="E763" t="s">
        <v>1496</v>
      </c>
      <c r="F763" t="s">
        <v>45</v>
      </c>
      <c r="G763" t="s">
        <v>1497</v>
      </c>
      <c r="H763">
        <v>423.28</v>
      </c>
      <c r="I763">
        <v>11</v>
      </c>
      <c r="J763">
        <v>110.0528</v>
      </c>
      <c r="K763">
        <v>2011</v>
      </c>
      <c r="L763">
        <v>8</v>
      </c>
      <c r="M763" t="s">
        <v>53</v>
      </c>
      <c r="N763">
        <v>8</v>
      </c>
      <c r="O763">
        <v>3</v>
      </c>
      <c r="P763">
        <v>26</v>
      </c>
      <c r="Q763">
        <v>38.479999999999997</v>
      </c>
      <c r="R763" t="s">
        <v>26</v>
      </c>
      <c r="S763" t="b">
        <v>0</v>
      </c>
      <c r="T763" t="b">
        <v>1</v>
      </c>
    </row>
    <row r="764" spans="1:20" x14ac:dyDescent="0.3">
      <c r="A764" t="s">
        <v>1498</v>
      </c>
      <c r="B764" s="1">
        <v>40689</v>
      </c>
      <c r="C764" s="1">
        <v>40693</v>
      </c>
      <c r="D764" t="s">
        <v>1499</v>
      </c>
      <c r="E764" t="s">
        <v>22</v>
      </c>
      <c r="F764" t="s">
        <v>110</v>
      </c>
      <c r="G764" t="s">
        <v>1500</v>
      </c>
      <c r="H764">
        <v>225.29599999999999</v>
      </c>
      <c r="I764">
        <v>2</v>
      </c>
      <c r="J764">
        <v>22.529599999999999</v>
      </c>
      <c r="K764">
        <v>2011</v>
      </c>
      <c r="L764">
        <v>5</v>
      </c>
      <c r="M764" t="s">
        <v>47</v>
      </c>
      <c r="N764">
        <v>26</v>
      </c>
      <c r="O764">
        <v>4</v>
      </c>
      <c r="P764">
        <v>10</v>
      </c>
      <c r="Q764">
        <v>112.648</v>
      </c>
      <c r="R764" t="s">
        <v>26</v>
      </c>
      <c r="S764" t="b">
        <v>0</v>
      </c>
      <c r="T764" t="b">
        <v>1</v>
      </c>
    </row>
    <row r="765" spans="1:20" x14ac:dyDescent="0.3">
      <c r="A765" t="s">
        <v>1501</v>
      </c>
      <c r="B765" s="1">
        <v>41016</v>
      </c>
      <c r="C765" s="1">
        <v>41020</v>
      </c>
      <c r="D765" t="s">
        <v>1502</v>
      </c>
      <c r="E765" t="s">
        <v>51</v>
      </c>
      <c r="F765" t="s">
        <v>31</v>
      </c>
      <c r="G765" t="s">
        <v>1480</v>
      </c>
      <c r="H765">
        <v>5.56</v>
      </c>
      <c r="I765">
        <v>2</v>
      </c>
      <c r="J765">
        <v>2.2240000000000002</v>
      </c>
      <c r="K765">
        <v>2012</v>
      </c>
      <c r="L765">
        <v>4</v>
      </c>
      <c r="M765" t="s">
        <v>236</v>
      </c>
      <c r="N765">
        <v>17</v>
      </c>
      <c r="O765">
        <v>4</v>
      </c>
      <c r="P765">
        <v>40</v>
      </c>
      <c r="Q765">
        <v>2.78</v>
      </c>
      <c r="R765" t="s">
        <v>26</v>
      </c>
      <c r="S765" t="b">
        <v>0</v>
      </c>
      <c r="T765" t="b">
        <v>0</v>
      </c>
    </row>
    <row r="766" spans="1:20" x14ac:dyDescent="0.3">
      <c r="A766" t="s">
        <v>1501</v>
      </c>
      <c r="B766" s="1">
        <v>41016</v>
      </c>
      <c r="C766" s="1">
        <v>41020</v>
      </c>
      <c r="D766" t="s">
        <v>1502</v>
      </c>
      <c r="E766" t="s">
        <v>51</v>
      </c>
      <c r="F766" t="s">
        <v>61</v>
      </c>
      <c r="G766" t="s">
        <v>1503</v>
      </c>
      <c r="H766">
        <v>323.37</v>
      </c>
      <c r="I766">
        <v>3</v>
      </c>
      <c r="J766">
        <v>129.34800000000001</v>
      </c>
      <c r="K766">
        <v>2012</v>
      </c>
      <c r="L766">
        <v>4</v>
      </c>
      <c r="M766" t="s">
        <v>236</v>
      </c>
      <c r="N766">
        <v>17</v>
      </c>
      <c r="O766">
        <v>4</v>
      </c>
      <c r="P766">
        <v>40</v>
      </c>
      <c r="Q766">
        <v>107.79</v>
      </c>
      <c r="R766" t="s">
        <v>26</v>
      </c>
      <c r="S766" t="b">
        <v>0</v>
      </c>
      <c r="T766" t="b">
        <v>1</v>
      </c>
    </row>
    <row r="767" spans="1:20" x14ac:dyDescent="0.3">
      <c r="A767" t="s">
        <v>1501</v>
      </c>
      <c r="B767" s="1">
        <v>41016</v>
      </c>
      <c r="C767" s="1">
        <v>41020</v>
      </c>
      <c r="D767" t="s">
        <v>1502</v>
      </c>
      <c r="E767" t="s">
        <v>51</v>
      </c>
      <c r="F767" t="s">
        <v>72</v>
      </c>
      <c r="G767" t="s">
        <v>1504</v>
      </c>
      <c r="H767">
        <v>11.96</v>
      </c>
      <c r="I767">
        <v>2</v>
      </c>
      <c r="J767">
        <v>5.8604000000000003</v>
      </c>
      <c r="K767">
        <v>2012</v>
      </c>
      <c r="L767">
        <v>4</v>
      </c>
      <c r="M767" t="s">
        <v>236</v>
      </c>
      <c r="N767">
        <v>17</v>
      </c>
      <c r="O767">
        <v>4</v>
      </c>
      <c r="P767">
        <v>49</v>
      </c>
      <c r="Q767">
        <v>5.98</v>
      </c>
      <c r="R767" t="s">
        <v>26</v>
      </c>
      <c r="S767" t="b">
        <v>0</v>
      </c>
      <c r="T767" t="b">
        <v>0</v>
      </c>
    </row>
    <row r="768" spans="1:20" x14ac:dyDescent="0.3">
      <c r="A768" t="s">
        <v>1505</v>
      </c>
      <c r="B768" s="1">
        <v>40689</v>
      </c>
      <c r="C768" s="1">
        <v>40692</v>
      </c>
      <c r="D768" t="s">
        <v>1506</v>
      </c>
      <c r="E768" t="s">
        <v>1507</v>
      </c>
      <c r="F768" t="s">
        <v>72</v>
      </c>
      <c r="G768" t="s">
        <v>277</v>
      </c>
      <c r="H768">
        <v>48.4</v>
      </c>
      <c r="I768">
        <v>5</v>
      </c>
      <c r="J768">
        <v>23.231999999999999</v>
      </c>
      <c r="K768">
        <v>2011</v>
      </c>
      <c r="L768">
        <v>5</v>
      </c>
      <c r="M768" t="s">
        <v>47</v>
      </c>
      <c r="N768">
        <v>26</v>
      </c>
      <c r="O768">
        <v>3</v>
      </c>
      <c r="P768">
        <v>48</v>
      </c>
      <c r="Q768">
        <v>9.68</v>
      </c>
      <c r="R768" t="s">
        <v>26</v>
      </c>
      <c r="S768" t="b">
        <v>0</v>
      </c>
      <c r="T768" t="b">
        <v>0</v>
      </c>
    </row>
    <row r="769" spans="1:20" x14ac:dyDescent="0.3">
      <c r="A769" t="s">
        <v>1508</v>
      </c>
      <c r="B769" s="1">
        <v>41925</v>
      </c>
      <c r="C769" s="1">
        <v>41927</v>
      </c>
      <c r="D769" t="s">
        <v>144</v>
      </c>
      <c r="E769" t="s">
        <v>51</v>
      </c>
      <c r="F769" t="s">
        <v>61</v>
      </c>
      <c r="G769" t="s">
        <v>1509</v>
      </c>
      <c r="H769">
        <v>0.99</v>
      </c>
      <c r="I769">
        <v>1</v>
      </c>
      <c r="J769">
        <v>0.43559999999999999</v>
      </c>
      <c r="K769">
        <v>2014</v>
      </c>
      <c r="L769">
        <v>10</v>
      </c>
      <c r="M769" t="s">
        <v>82</v>
      </c>
      <c r="N769">
        <v>13</v>
      </c>
      <c r="O769">
        <v>2</v>
      </c>
      <c r="P769">
        <v>44</v>
      </c>
      <c r="Q769">
        <v>0.99</v>
      </c>
      <c r="R769" t="s">
        <v>26</v>
      </c>
      <c r="S769" t="b">
        <v>0</v>
      </c>
      <c r="T769" t="b">
        <v>0</v>
      </c>
    </row>
    <row r="770" spans="1:20" x14ac:dyDescent="0.3">
      <c r="A770" t="s">
        <v>1508</v>
      </c>
      <c r="B770" s="1">
        <v>41925</v>
      </c>
      <c r="C770" s="1">
        <v>41927</v>
      </c>
      <c r="D770" t="s">
        <v>144</v>
      </c>
      <c r="E770" t="s">
        <v>51</v>
      </c>
      <c r="F770" t="s">
        <v>33</v>
      </c>
      <c r="G770" t="s">
        <v>1510</v>
      </c>
      <c r="H770">
        <v>101.84</v>
      </c>
      <c r="I770">
        <v>5</v>
      </c>
      <c r="J770">
        <v>36.917000000000002</v>
      </c>
      <c r="K770">
        <v>2014</v>
      </c>
      <c r="L770">
        <v>10</v>
      </c>
      <c r="M770" t="s">
        <v>82</v>
      </c>
      <c r="N770">
        <v>13</v>
      </c>
      <c r="O770">
        <v>2</v>
      </c>
      <c r="P770">
        <v>36.25</v>
      </c>
      <c r="Q770">
        <v>20.367999999999999</v>
      </c>
      <c r="R770" t="s">
        <v>26</v>
      </c>
      <c r="S770" t="b">
        <v>0</v>
      </c>
      <c r="T770" t="b">
        <v>0</v>
      </c>
    </row>
    <row r="771" spans="1:20" x14ac:dyDescent="0.3">
      <c r="A771" t="s">
        <v>1511</v>
      </c>
      <c r="B771" s="1">
        <v>41569</v>
      </c>
      <c r="C771" s="1">
        <v>41573</v>
      </c>
      <c r="D771" t="s">
        <v>296</v>
      </c>
      <c r="E771" t="s">
        <v>194</v>
      </c>
      <c r="F771" t="s">
        <v>45</v>
      </c>
      <c r="G771" t="s">
        <v>897</v>
      </c>
      <c r="H771">
        <v>154.44</v>
      </c>
      <c r="I771">
        <v>3</v>
      </c>
      <c r="J771">
        <v>1.5444</v>
      </c>
      <c r="K771">
        <v>2013</v>
      </c>
      <c r="L771">
        <v>10</v>
      </c>
      <c r="M771" t="s">
        <v>82</v>
      </c>
      <c r="N771">
        <v>22</v>
      </c>
      <c r="O771">
        <v>4</v>
      </c>
      <c r="P771">
        <v>1</v>
      </c>
      <c r="Q771">
        <v>51.48</v>
      </c>
      <c r="R771" t="s">
        <v>26</v>
      </c>
      <c r="S771" t="b">
        <v>0</v>
      </c>
      <c r="T771" t="b">
        <v>0</v>
      </c>
    </row>
    <row r="772" spans="1:20" x14ac:dyDescent="0.3">
      <c r="A772" t="s">
        <v>1512</v>
      </c>
      <c r="B772" s="1">
        <v>41264</v>
      </c>
      <c r="C772" s="1">
        <v>41268</v>
      </c>
      <c r="D772" t="s">
        <v>1513</v>
      </c>
      <c r="E772" t="s">
        <v>216</v>
      </c>
      <c r="F772" t="s">
        <v>35</v>
      </c>
      <c r="G772" t="s">
        <v>765</v>
      </c>
      <c r="H772">
        <v>60.984000000000002</v>
      </c>
      <c r="I772">
        <v>7</v>
      </c>
      <c r="J772">
        <v>4.5738000000000003</v>
      </c>
      <c r="K772">
        <v>2012</v>
      </c>
      <c r="L772">
        <v>12</v>
      </c>
      <c r="M772" t="s">
        <v>41</v>
      </c>
      <c r="N772">
        <v>21</v>
      </c>
      <c r="O772">
        <v>4</v>
      </c>
      <c r="P772">
        <v>7.5</v>
      </c>
      <c r="Q772">
        <v>8.7119999999999997</v>
      </c>
      <c r="R772" t="s">
        <v>48</v>
      </c>
      <c r="S772" t="b">
        <v>0</v>
      </c>
      <c r="T772" t="b">
        <v>0</v>
      </c>
    </row>
    <row r="773" spans="1:20" x14ac:dyDescent="0.3">
      <c r="A773" t="s">
        <v>1514</v>
      </c>
      <c r="B773" s="1">
        <v>41107</v>
      </c>
      <c r="C773" s="1">
        <v>41109</v>
      </c>
      <c r="D773" t="s">
        <v>880</v>
      </c>
      <c r="E773" t="s">
        <v>1515</v>
      </c>
      <c r="F773" t="s">
        <v>317</v>
      </c>
      <c r="G773" t="s">
        <v>1020</v>
      </c>
      <c r="H773">
        <v>195.46600000000001</v>
      </c>
      <c r="I773">
        <v>2</v>
      </c>
      <c r="J773">
        <v>-13.797599999999999</v>
      </c>
      <c r="K773">
        <v>2012</v>
      </c>
      <c r="L773">
        <v>7</v>
      </c>
      <c r="M773" t="s">
        <v>66</v>
      </c>
      <c r="N773">
        <v>17</v>
      </c>
      <c r="O773">
        <v>2</v>
      </c>
      <c r="P773">
        <v>-7.06</v>
      </c>
      <c r="Q773">
        <v>97.733000000000004</v>
      </c>
      <c r="R773" t="s">
        <v>26</v>
      </c>
      <c r="S773" t="b">
        <v>1</v>
      </c>
      <c r="T773" t="b">
        <v>0</v>
      </c>
    </row>
    <row r="774" spans="1:20" x14ac:dyDescent="0.3">
      <c r="A774" t="s">
        <v>1516</v>
      </c>
      <c r="B774" s="1">
        <v>41173</v>
      </c>
      <c r="C774" s="1">
        <v>41175</v>
      </c>
      <c r="D774" t="s">
        <v>995</v>
      </c>
      <c r="E774" t="s">
        <v>22</v>
      </c>
      <c r="F774" t="s">
        <v>119</v>
      </c>
      <c r="G774" t="s">
        <v>1517</v>
      </c>
      <c r="H774">
        <v>7.9</v>
      </c>
      <c r="I774">
        <v>2</v>
      </c>
      <c r="J774">
        <v>2.528</v>
      </c>
      <c r="K774">
        <v>2012</v>
      </c>
      <c r="L774">
        <v>9</v>
      </c>
      <c r="M774" t="s">
        <v>87</v>
      </c>
      <c r="N774">
        <v>21</v>
      </c>
      <c r="O774">
        <v>2</v>
      </c>
      <c r="P774">
        <v>32</v>
      </c>
      <c r="Q774">
        <v>3.95</v>
      </c>
      <c r="R774" t="s">
        <v>26</v>
      </c>
      <c r="S774" t="b">
        <v>0</v>
      </c>
      <c r="T774" t="b">
        <v>0</v>
      </c>
    </row>
    <row r="775" spans="1:20" x14ac:dyDescent="0.3">
      <c r="A775" t="s">
        <v>1518</v>
      </c>
      <c r="B775" s="1">
        <v>40645</v>
      </c>
      <c r="C775" s="1">
        <v>40650</v>
      </c>
      <c r="D775" t="s">
        <v>1519</v>
      </c>
      <c r="E775" t="s">
        <v>1520</v>
      </c>
      <c r="F775" t="s">
        <v>54</v>
      </c>
      <c r="G775" t="s">
        <v>669</v>
      </c>
      <c r="H775">
        <v>438.36799999999999</v>
      </c>
      <c r="I775">
        <v>4</v>
      </c>
      <c r="J775">
        <v>38.357199999999999</v>
      </c>
      <c r="K775">
        <v>2011</v>
      </c>
      <c r="L775">
        <v>4</v>
      </c>
      <c r="M775" t="s">
        <v>236</v>
      </c>
      <c r="N775">
        <v>12</v>
      </c>
      <c r="O775">
        <v>5</v>
      </c>
      <c r="P775">
        <v>8.75</v>
      </c>
      <c r="Q775">
        <v>109.592</v>
      </c>
      <c r="R775" t="s">
        <v>26</v>
      </c>
      <c r="S775" t="b">
        <v>0</v>
      </c>
      <c r="T775" t="b">
        <v>1</v>
      </c>
    </row>
    <row r="776" spans="1:20" x14ac:dyDescent="0.3">
      <c r="A776" t="s">
        <v>1518</v>
      </c>
      <c r="B776" s="1">
        <v>40645</v>
      </c>
      <c r="C776" s="1">
        <v>40650</v>
      </c>
      <c r="D776" t="s">
        <v>1519</v>
      </c>
      <c r="E776" t="s">
        <v>1520</v>
      </c>
      <c r="F776" t="s">
        <v>33</v>
      </c>
      <c r="G776" t="s">
        <v>409</v>
      </c>
      <c r="H776">
        <v>18.088000000000001</v>
      </c>
      <c r="I776">
        <v>7</v>
      </c>
      <c r="J776">
        <v>6.5568999999999997</v>
      </c>
      <c r="K776">
        <v>2011</v>
      </c>
      <c r="L776">
        <v>4</v>
      </c>
      <c r="M776" t="s">
        <v>236</v>
      </c>
      <c r="N776">
        <v>12</v>
      </c>
      <c r="O776">
        <v>5</v>
      </c>
      <c r="P776">
        <v>36.25</v>
      </c>
      <c r="Q776">
        <v>2.5840000000000001</v>
      </c>
      <c r="R776" t="s">
        <v>26</v>
      </c>
      <c r="S776" t="b">
        <v>0</v>
      </c>
      <c r="T776" t="b">
        <v>0</v>
      </c>
    </row>
    <row r="777" spans="1:20" x14ac:dyDescent="0.3">
      <c r="A777" t="s">
        <v>1518</v>
      </c>
      <c r="B777" s="1">
        <v>40645</v>
      </c>
      <c r="C777" s="1">
        <v>40650</v>
      </c>
      <c r="D777" t="s">
        <v>1519</v>
      </c>
      <c r="E777" t="s">
        <v>1520</v>
      </c>
      <c r="F777" t="s">
        <v>317</v>
      </c>
      <c r="G777" t="s">
        <v>1411</v>
      </c>
      <c r="H777">
        <v>308.49900000000002</v>
      </c>
      <c r="I777">
        <v>3</v>
      </c>
      <c r="J777">
        <v>-18.146999999999998</v>
      </c>
      <c r="K777">
        <v>2011</v>
      </c>
      <c r="L777">
        <v>4</v>
      </c>
      <c r="M777" t="s">
        <v>236</v>
      </c>
      <c r="N777">
        <v>12</v>
      </c>
      <c r="O777">
        <v>5</v>
      </c>
      <c r="P777">
        <v>-5.88</v>
      </c>
      <c r="Q777">
        <v>102.833</v>
      </c>
      <c r="R777" t="s">
        <v>26</v>
      </c>
      <c r="S777" t="b">
        <v>1</v>
      </c>
      <c r="T777" t="b">
        <v>1</v>
      </c>
    </row>
    <row r="778" spans="1:20" x14ac:dyDescent="0.3">
      <c r="A778" t="s">
        <v>1521</v>
      </c>
      <c r="B778" s="1">
        <v>41214</v>
      </c>
      <c r="C778" s="1">
        <v>41217</v>
      </c>
      <c r="D778" t="s">
        <v>1522</v>
      </c>
      <c r="E778" t="s">
        <v>412</v>
      </c>
      <c r="F778" t="s">
        <v>31</v>
      </c>
      <c r="G778" t="s">
        <v>1523</v>
      </c>
      <c r="H778">
        <v>7.88</v>
      </c>
      <c r="I778">
        <v>1</v>
      </c>
      <c r="J778">
        <v>1.7729999999999999</v>
      </c>
      <c r="K778">
        <v>2012</v>
      </c>
      <c r="L778">
        <v>11</v>
      </c>
      <c r="M778" t="s">
        <v>70</v>
      </c>
      <c r="N778">
        <v>1</v>
      </c>
      <c r="O778">
        <v>3</v>
      </c>
      <c r="P778">
        <v>22.5</v>
      </c>
      <c r="Q778">
        <v>7.88</v>
      </c>
      <c r="R778" t="s">
        <v>26</v>
      </c>
      <c r="S778" t="b">
        <v>0</v>
      </c>
      <c r="T778" t="b">
        <v>0</v>
      </c>
    </row>
    <row r="779" spans="1:20" x14ac:dyDescent="0.3">
      <c r="A779" t="s">
        <v>1524</v>
      </c>
      <c r="B779" s="1">
        <v>41947</v>
      </c>
      <c r="C779" s="1">
        <v>41952</v>
      </c>
      <c r="D779" t="s">
        <v>1525</v>
      </c>
      <c r="E779" t="s">
        <v>1490</v>
      </c>
      <c r="F779" t="s">
        <v>29</v>
      </c>
      <c r="G779" t="s">
        <v>1526</v>
      </c>
      <c r="H779">
        <v>41.37</v>
      </c>
      <c r="I779">
        <v>3</v>
      </c>
      <c r="J779">
        <v>17.375399999999999</v>
      </c>
      <c r="K779">
        <v>2014</v>
      </c>
      <c r="L779">
        <v>11</v>
      </c>
      <c r="M779" t="s">
        <v>70</v>
      </c>
      <c r="N779">
        <v>4</v>
      </c>
      <c r="O779">
        <v>5</v>
      </c>
      <c r="P779">
        <v>42</v>
      </c>
      <c r="Q779">
        <v>13.79</v>
      </c>
      <c r="R779" t="s">
        <v>48</v>
      </c>
      <c r="S779" t="b">
        <v>0</v>
      </c>
      <c r="T779" t="b">
        <v>0</v>
      </c>
    </row>
    <row r="780" spans="1:20" x14ac:dyDescent="0.3">
      <c r="A780" t="s">
        <v>1527</v>
      </c>
      <c r="B780" s="1">
        <v>41041</v>
      </c>
      <c r="C780" s="1">
        <v>41045</v>
      </c>
      <c r="D780" t="s">
        <v>1528</v>
      </c>
      <c r="E780" t="s">
        <v>51</v>
      </c>
      <c r="F780" t="s">
        <v>72</v>
      </c>
      <c r="G780" t="s">
        <v>1016</v>
      </c>
      <c r="H780">
        <v>12.84</v>
      </c>
      <c r="I780">
        <v>3</v>
      </c>
      <c r="J780">
        <v>5.7779999999999996</v>
      </c>
      <c r="K780">
        <v>2012</v>
      </c>
      <c r="L780">
        <v>5</v>
      </c>
      <c r="M780" t="s">
        <v>47</v>
      </c>
      <c r="N780">
        <v>12</v>
      </c>
      <c r="O780">
        <v>4</v>
      </c>
      <c r="P780">
        <v>45</v>
      </c>
      <c r="Q780">
        <v>4.28</v>
      </c>
      <c r="R780" t="s">
        <v>26</v>
      </c>
      <c r="S780" t="b">
        <v>0</v>
      </c>
      <c r="T780" t="b">
        <v>0</v>
      </c>
    </row>
    <row r="781" spans="1:20" x14ac:dyDescent="0.3">
      <c r="A781" t="s">
        <v>1527</v>
      </c>
      <c r="B781" s="1">
        <v>41041</v>
      </c>
      <c r="C781" s="1">
        <v>41045</v>
      </c>
      <c r="D781" t="s">
        <v>1528</v>
      </c>
      <c r="E781" t="s">
        <v>51</v>
      </c>
      <c r="F781" t="s">
        <v>72</v>
      </c>
      <c r="G781" t="s">
        <v>1529</v>
      </c>
      <c r="H781">
        <v>25.68</v>
      </c>
      <c r="I781">
        <v>6</v>
      </c>
      <c r="J781">
        <v>11.555999999999999</v>
      </c>
      <c r="K781">
        <v>2012</v>
      </c>
      <c r="L781">
        <v>5</v>
      </c>
      <c r="M781" t="s">
        <v>47</v>
      </c>
      <c r="N781">
        <v>12</v>
      </c>
      <c r="O781">
        <v>4</v>
      </c>
      <c r="P781">
        <v>45</v>
      </c>
      <c r="Q781">
        <v>4.28</v>
      </c>
      <c r="R781" t="s">
        <v>26</v>
      </c>
      <c r="S781" t="b">
        <v>0</v>
      </c>
      <c r="T781" t="b">
        <v>0</v>
      </c>
    </row>
    <row r="782" spans="1:20" x14ac:dyDescent="0.3">
      <c r="A782" t="s">
        <v>1530</v>
      </c>
      <c r="B782" s="1">
        <v>41115</v>
      </c>
      <c r="C782" s="1">
        <v>41117</v>
      </c>
      <c r="D782" t="s">
        <v>1531</v>
      </c>
      <c r="E782" t="s">
        <v>39</v>
      </c>
      <c r="F782" t="s">
        <v>119</v>
      </c>
      <c r="G782" t="s">
        <v>1131</v>
      </c>
      <c r="H782">
        <v>9.42</v>
      </c>
      <c r="I782">
        <v>2</v>
      </c>
      <c r="J782">
        <v>0.47099999999999997</v>
      </c>
      <c r="K782">
        <v>2012</v>
      </c>
      <c r="L782">
        <v>7</v>
      </c>
      <c r="M782" t="s">
        <v>66</v>
      </c>
      <c r="N782">
        <v>25</v>
      </c>
      <c r="O782">
        <v>2</v>
      </c>
      <c r="P782">
        <v>5</v>
      </c>
      <c r="Q782">
        <v>4.71</v>
      </c>
      <c r="R782" t="s">
        <v>26</v>
      </c>
      <c r="S782" t="b">
        <v>0</v>
      </c>
      <c r="T782" t="b">
        <v>0</v>
      </c>
    </row>
    <row r="783" spans="1:20" x14ac:dyDescent="0.3">
      <c r="A783" t="s">
        <v>1530</v>
      </c>
      <c r="B783" s="1">
        <v>41115</v>
      </c>
      <c r="C783" s="1">
        <v>41117</v>
      </c>
      <c r="D783" t="s">
        <v>1531</v>
      </c>
      <c r="E783" t="s">
        <v>39</v>
      </c>
      <c r="F783" t="s">
        <v>72</v>
      </c>
      <c r="G783" t="s">
        <v>1532</v>
      </c>
      <c r="H783">
        <v>12.96</v>
      </c>
      <c r="I783">
        <v>2</v>
      </c>
      <c r="J783">
        <v>6.2207999999999997</v>
      </c>
      <c r="K783">
        <v>2012</v>
      </c>
      <c r="L783">
        <v>7</v>
      </c>
      <c r="M783" t="s">
        <v>66</v>
      </c>
      <c r="N783">
        <v>25</v>
      </c>
      <c r="O783">
        <v>2</v>
      </c>
      <c r="P783">
        <v>48</v>
      </c>
      <c r="Q783">
        <v>6.48</v>
      </c>
      <c r="R783" t="s">
        <v>26</v>
      </c>
      <c r="S783" t="b">
        <v>0</v>
      </c>
      <c r="T783" t="b">
        <v>0</v>
      </c>
    </row>
    <row r="784" spans="1:20" x14ac:dyDescent="0.3">
      <c r="A784" t="s">
        <v>1533</v>
      </c>
      <c r="B784" s="1">
        <v>41400</v>
      </c>
      <c r="C784" s="1">
        <v>41403</v>
      </c>
      <c r="D784" t="s">
        <v>1534</v>
      </c>
      <c r="E784" t="s">
        <v>683</v>
      </c>
      <c r="F784" t="s">
        <v>33</v>
      </c>
      <c r="G784" t="s">
        <v>1535</v>
      </c>
      <c r="H784">
        <v>6.72</v>
      </c>
      <c r="I784">
        <v>5</v>
      </c>
      <c r="J784">
        <v>2.3519999999999999</v>
      </c>
      <c r="K784">
        <v>2013</v>
      </c>
      <c r="L784">
        <v>5</v>
      </c>
      <c r="M784" t="s">
        <v>47</v>
      </c>
      <c r="N784">
        <v>6</v>
      </c>
      <c r="O784">
        <v>3</v>
      </c>
      <c r="P784">
        <v>35</v>
      </c>
      <c r="Q784">
        <v>1.3440000000000001</v>
      </c>
      <c r="R784" t="s">
        <v>26</v>
      </c>
      <c r="S784" t="b">
        <v>0</v>
      </c>
      <c r="T784" t="b">
        <v>0</v>
      </c>
    </row>
    <row r="785" spans="1:20" x14ac:dyDescent="0.3">
      <c r="A785" t="s">
        <v>1533</v>
      </c>
      <c r="B785" s="1">
        <v>41400</v>
      </c>
      <c r="C785" s="1">
        <v>41403</v>
      </c>
      <c r="D785" t="s">
        <v>1534</v>
      </c>
      <c r="E785" t="s">
        <v>683</v>
      </c>
      <c r="F785" t="s">
        <v>174</v>
      </c>
      <c r="G785" t="s">
        <v>1536</v>
      </c>
      <c r="H785">
        <v>298.77600000000001</v>
      </c>
      <c r="I785">
        <v>3</v>
      </c>
      <c r="J785">
        <v>7.4694000000000003</v>
      </c>
      <c r="K785">
        <v>2013</v>
      </c>
      <c r="L785">
        <v>5</v>
      </c>
      <c r="M785" t="s">
        <v>47</v>
      </c>
      <c r="N785">
        <v>6</v>
      </c>
      <c r="O785">
        <v>3</v>
      </c>
      <c r="P785">
        <v>2.5</v>
      </c>
      <c r="Q785">
        <v>99.591999999999999</v>
      </c>
      <c r="R785" t="s">
        <v>26</v>
      </c>
      <c r="S785" t="b">
        <v>0</v>
      </c>
      <c r="T785" t="b">
        <v>1</v>
      </c>
    </row>
    <row r="786" spans="1:20" x14ac:dyDescent="0.3">
      <c r="A786" t="s">
        <v>1537</v>
      </c>
      <c r="B786" s="1">
        <v>41640</v>
      </c>
      <c r="C786" s="1">
        <v>41645</v>
      </c>
      <c r="D786" t="s">
        <v>644</v>
      </c>
      <c r="E786" t="s">
        <v>1538</v>
      </c>
      <c r="F786" t="s">
        <v>54</v>
      </c>
      <c r="G786" t="s">
        <v>184</v>
      </c>
      <c r="H786">
        <v>302.37599999999998</v>
      </c>
      <c r="I786">
        <v>3</v>
      </c>
      <c r="J786">
        <v>22.6782</v>
      </c>
      <c r="K786">
        <v>2014</v>
      </c>
      <c r="L786">
        <v>1</v>
      </c>
      <c r="M786" t="s">
        <v>60</v>
      </c>
      <c r="N786">
        <v>1</v>
      </c>
      <c r="O786">
        <v>5</v>
      </c>
      <c r="P786">
        <v>7.5</v>
      </c>
      <c r="Q786">
        <v>100.792</v>
      </c>
      <c r="R786" t="s">
        <v>26</v>
      </c>
      <c r="S786" t="b">
        <v>0</v>
      </c>
      <c r="T786" t="b">
        <v>1</v>
      </c>
    </row>
    <row r="787" spans="1:20" x14ac:dyDescent="0.3">
      <c r="A787" t="s">
        <v>1539</v>
      </c>
      <c r="B787" s="1">
        <v>40848</v>
      </c>
      <c r="C787" s="1">
        <v>40852</v>
      </c>
      <c r="D787" t="s">
        <v>1540</v>
      </c>
      <c r="E787" t="s">
        <v>92</v>
      </c>
      <c r="F787" t="s">
        <v>45</v>
      </c>
      <c r="G787" t="s">
        <v>1541</v>
      </c>
      <c r="H787">
        <v>443.92</v>
      </c>
      <c r="I787">
        <v>5</v>
      </c>
      <c r="J787">
        <v>-94.332999999999998</v>
      </c>
      <c r="K787">
        <v>2011</v>
      </c>
      <c r="L787">
        <v>11</v>
      </c>
      <c r="M787" t="s">
        <v>70</v>
      </c>
      <c r="N787">
        <v>1</v>
      </c>
      <c r="O787">
        <v>4</v>
      </c>
      <c r="P787">
        <v>-21.25</v>
      </c>
      <c r="Q787">
        <v>88.784000000000006</v>
      </c>
      <c r="R787" t="s">
        <v>26</v>
      </c>
      <c r="S787" t="b">
        <v>1</v>
      </c>
      <c r="T787" t="b">
        <v>1</v>
      </c>
    </row>
    <row r="788" spans="1:20" x14ac:dyDescent="0.3">
      <c r="A788" t="s">
        <v>1539</v>
      </c>
      <c r="B788" s="1">
        <v>40848</v>
      </c>
      <c r="C788" s="1">
        <v>40852</v>
      </c>
      <c r="D788" t="s">
        <v>1540</v>
      </c>
      <c r="E788" t="s">
        <v>92</v>
      </c>
      <c r="F788" t="s">
        <v>54</v>
      </c>
      <c r="G788" t="s">
        <v>1542</v>
      </c>
      <c r="H788">
        <v>155.976</v>
      </c>
      <c r="I788">
        <v>3</v>
      </c>
      <c r="J788">
        <v>54.5916</v>
      </c>
      <c r="K788">
        <v>2011</v>
      </c>
      <c r="L788">
        <v>11</v>
      </c>
      <c r="M788" t="s">
        <v>70</v>
      </c>
      <c r="N788">
        <v>1</v>
      </c>
      <c r="O788">
        <v>4</v>
      </c>
      <c r="P788">
        <v>35</v>
      </c>
      <c r="Q788">
        <v>51.991999999999997</v>
      </c>
      <c r="R788" t="s">
        <v>26</v>
      </c>
      <c r="S788" t="b">
        <v>0</v>
      </c>
      <c r="T788" t="b">
        <v>0</v>
      </c>
    </row>
    <row r="789" spans="1:20" x14ac:dyDescent="0.3">
      <c r="A789" t="s">
        <v>1543</v>
      </c>
      <c r="B789" s="1">
        <v>41955</v>
      </c>
      <c r="C789" s="1">
        <v>41960</v>
      </c>
      <c r="D789" t="s">
        <v>1522</v>
      </c>
      <c r="E789" t="s">
        <v>22</v>
      </c>
      <c r="F789" t="s">
        <v>35</v>
      </c>
      <c r="G789" t="s">
        <v>765</v>
      </c>
      <c r="H789">
        <v>10.89</v>
      </c>
      <c r="I789">
        <v>1</v>
      </c>
      <c r="J789">
        <v>2.8313999999999999</v>
      </c>
      <c r="K789">
        <v>2014</v>
      </c>
      <c r="L789">
        <v>11</v>
      </c>
      <c r="M789" t="s">
        <v>70</v>
      </c>
      <c r="N789">
        <v>12</v>
      </c>
      <c r="O789">
        <v>5</v>
      </c>
      <c r="P789">
        <v>26</v>
      </c>
      <c r="Q789">
        <v>10.89</v>
      </c>
      <c r="R789" t="s">
        <v>26</v>
      </c>
      <c r="S789" t="b">
        <v>0</v>
      </c>
      <c r="T789" t="b">
        <v>0</v>
      </c>
    </row>
    <row r="790" spans="1:20" x14ac:dyDescent="0.3">
      <c r="A790" t="s">
        <v>1543</v>
      </c>
      <c r="B790" s="1">
        <v>41955</v>
      </c>
      <c r="C790" s="1">
        <v>41960</v>
      </c>
      <c r="D790" t="s">
        <v>1522</v>
      </c>
      <c r="E790" t="s">
        <v>22</v>
      </c>
      <c r="F790" t="s">
        <v>72</v>
      </c>
      <c r="G790" t="s">
        <v>1544</v>
      </c>
      <c r="H790">
        <v>19.440000000000001</v>
      </c>
      <c r="I790">
        <v>3</v>
      </c>
      <c r="J790">
        <v>9.3312000000000008</v>
      </c>
      <c r="K790">
        <v>2014</v>
      </c>
      <c r="L790">
        <v>11</v>
      </c>
      <c r="M790" t="s">
        <v>70</v>
      </c>
      <c r="N790">
        <v>12</v>
      </c>
      <c r="O790">
        <v>5</v>
      </c>
      <c r="P790">
        <v>48</v>
      </c>
      <c r="Q790">
        <v>6.48</v>
      </c>
      <c r="R790" t="s">
        <v>26</v>
      </c>
      <c r="S790" t="b">
        <v>0</v>
      </c>
      <c r="T790" t="b">
        <v>0</v>
      </c>
    </row>
    <row r="791" spans="1:20" x14ac:dyDescent="0.3">
      <c r="A791" t="s">
        <v>1543</v>
      </c>
      <c r="B791" s="1">
        <v>41955</v>
      </c>
      <c r="C791" s="1">
        <v>41960</v>
      </c>
      <c r="D791" t="s">
        <v>1522</v>
      </c>
      <c r="E791" t="s">
        <v>22</v>
      </c>
      <c r="F791" t="s">
        <v>33</v>
      </c>
      <c r="G791" t="s">
        <v>1545</v>
      </c>
      <c r="H791">
        <v>121.6</v>
      </c>
      <c r="I791">
        <v>5</v>
      </c>
      <c r="J791">
        <v>39.520000000000003</v>
      </c>
      <c r="K791">
        <v>2014</v>
      </c>
      <c r="L791">
        <v>11</v>
      </c>
      <c r="M791" t="s">
        <v>70</v>
      </c>
      <c r="N791">
        <v>12</v>
      </c>
      <c r="O791">
        <v>5</v>
      </c>
      <c r="P791">
        <v>32.5</v>
      </c>
      <c r="Q791">
        <v>24.32</v>
      </c>
      <c r="R791" t="s">
        <v>26</v>
      </c>
      <c r="S791" t="b">
        <v>0</v>
      </c>
      <c r="T791" t="b">
        <v>0</v>
      </c>
    </row>
    <row r="792" spans="1:20" x14ac:dyDescent="0.3">
      <c r="A792" t="s">
        <v>1546</v>
      </c>
      <c r="B792" s="1">
        <v>41865</v>
      </c>
      <c r="C792" s="1">
        <v>41865</v>
      </c>
      <c r="D792" t="s">
        <v>461</v>
      </c>
      <c r="E792" t="s">
        <v>51</v>
      </c>
      <c r="F792" t="s">
        <v>45</v>
      </c>
      <c r="G792" t="s">
        <v>369</v>
      </c>
      <c r="H792">
        <v>31.44</v>
      </c>
      <c r="I792">
        <v>3</v>
      </c>
      <c r="J792">
        <v>8.4887999999999995</v>
      </c>
      <c r="K792">
        <v>2014</v>
      </c>
      <c r="L792">
        <v>8</v>
      </c>
      <c r="M792" t="s">
        <v>53</v>
      </c>
      <c r="N792">
        <v>14</v>
      </c>
      <c r="O792">
        <v>0</v>
      </c>
      <c r="P792">
        <v>27</v>
      </c>
      <c r="Q792">
        <v>10.48</v>
      </c>
      <c r="R792" t="s">
        <v>26</v>
      </c>
      <c r="S792" t="b">
        <v>0</v>
      </c>
      <c r="T792" t="b">
        <v>0</v>
      </c>
    </row>
    <row r="793" spans="1:20" x14ac:dyDescent="0.3">
      <c r="A793" t="s">
        <v>1546</v>
      </c>
      <c r="B793" s="1">
        <v>41865</v>
      </c>
      <c r="C793" s="1">
        <v>41865</v>
      </c>
      <c r="D793" t="s">
        <v>461</v>
      </c>
      <c r="E793" t="s">
        <v>51</v>
      </c>
      <c r="F793" t="s">
        <v>35</v>
      </c>
      <c r="G793" t="s">
        <v>155</v>
      </c>
      <c r="H793">
        <v>83.79</v>
      </c>
      <c r="I793">
        <v>7</v>
      </c>
      <c r="J793">
        <v>22.6233</v>
      </c>
      <c r="K793">
        <v>2014</v>
      </c>
      <c r="L793">
        <v>8</v>
      </c>
      <c r="M793" t="s">
        <v>53</v>
      </c>
      <c r="N793">
        <v>14</v>
      </c>
      <c r="O793">
        <v>0</v>
      </c>
      <c r="P793">
        <v>27</v>
      </c>
      <c r="Q793">
        <v>11.97</v>
      </c>
      <c r="R793" t="s">
        <v>26</v>
      </c>
      <c r="S793" t="b">
        <v>0</v>
      </c>
      <c r="T793" t="b">
        <v>0</v>
      </c>
    </row>
    <row r="794" spans="1:20" x14ac:dyDescent="0.3">
      <c r="A794" t="s">
        <v>1546</v>
      </c>
      <c r="B794" s="1">
        <v>41865</v>
      </c>
      <c r="C794" s="1">
        <v>41865</v>
      </c>
      <c r="D794" t="s">
        <v>461</v>
      </c>
      <c r="E794" t="s">
        <v>51</v>
      </c>
      <c r="F794" t="s">
        <v>31</v>
      </c>
      <c r="G794" t="s">
        <v>1547</v>
      </c>
      <c r="H794">
        <v>59.52</v>
      </c>
      <c r="I794">
        <v>3</v>
      </c>
      <c r="J794">
        <v>15.475199999999999</v>
      </c>
      <c r="K794">
        <v>2014</v>
      </c>
      <c r="L794">
        <v>8</v>
      </c>
      <c r="M794" t="s">
        <v>53</v>
      </c>
      <c r="N794">
        <v>14</v>
      </c>
      <c r="O794">
        <v>0</v>
      </c>
      <c r="P794">
        <v>26</v>
      </c>
      <c r="Q794">
        <v>19.84</v>
      </c>
      <c r="R794" t="s">
        <v>26</v>
      </c>
      <c r="S794" t="b">
        <v>0</v>
      </c>
      <c r="T794" t="b">
        <v>0</v>
      </c>
    </row>
    <row r="795" spans="1:20" x14ac:dyDescent="0.3">
      <c r="A795" t="s">
        <v>1546</v>
      </c>
      <c r="B795" s="1">
        <v>41865</v>
      </c>
      <c r="C795" s="1">
        <v>41865</v>
      </c>
      <c r="D795" t="s">
        <v>461</v>
      </c>
      <c r="E795" t="s">
        <v>51</v>
      </c>
      <c r="F795" t="s">
        <v>122</v>
      </c>
      <c r="G795" t="s">
        <v>155</v>
      </c>
      <c r="H795">
        <v>31.92</v>
      </c>
      <c r="I795">
        <v>4</v>
      </c>
      <c r="J795">
        <v>9.2568000000000001</v>
      </c>
      <c r="K795">
        <v>2014</v>
      </c>
      <c r="L795">
        <v>8</v>
      </c>
      <c r="M795" t="s">
        <v>53</v>
      </c>
      <c r="N795">
        <v>14</v>
      </c>
      <c r="O795">
        <v>0</v>
      </c>
      <c r="P795">
        <v>29</v>
      </c>
      <c r="Q795">
        <v>7.98</v>
      </c>
      <c r="R795" t="s">
        <v>26</v>
      </c>
      <c r="S795" t="b">
        <v>0</v>
      </c>
      <c r="T795" t="b">
        <v>0</v>
      </c>
    </row>
    <row r="796" spans="1:20" x14ac:dyDescent="0.3">
      <c r="A796" t="s">
        <v>1548</v>
      </c>
      <c r="B796" s="1">
        <v>40624</v>
      </c>
      <c r="C796" s="1">
        <v>40628</v>
      </c>
      <c r="D796" t="s">
        <v>1549</v>
      </c>
      <c r="E796" t="s">
        <v>257</v>
      </c>
      <c r="F796" t="s">
        <v>72</v>
      </c>
      <c r="G796" t="s">
        <v>1550</v>
      </c>
      <c r="H796">
        <v>74.352000000000004</v>
      </c>
      <c r="I796">
        <v>3</v>
      </c>
      <c r="J796">
        <v>23.234999999999999</v>
      </c>
      <c r="K796">
        <v>2011</v>
      </c>
      <c r="L796">
        <v>3</v>
      </c>
      <c r="M796" t="s">
        <v>135</v>
      </c>
      <c r="N796">
        <v>22</v>
      </c>
      <c r="O796">
        <v>4</v>
      </c>
      <c r="P796">
        <v>31.25</v>
      </c>
      <c r="Q796">
        <v>24.783999999999999</v>
      </c>
      <c r="R796" t="s">
        <v>26</v>
      </c>
      <c r="S796" t="b">
        <v>0</v>
      </c>
      <c r="T796" t="b">
        <v>0</v>
      </c>
    </row>
    <row r="797" spans="1:20" x14ac:dyDescent="0.3">
      <c r="A797" t="s">
        <v>1548</v>
      </c>
      <c r="B797" s="1">
        <v>40624</v>
      </c>
      <c r="C797" s="1">
        <v>40628</v>
      </c>
      <c r="D797" t="s">
        <v>1549</v>
      </c>
      <c r="E797" t="s">
        <v>257</v>
      </c>
      <c r="F797" t="s">
        <v>110</v>
      </c>
      <c r="G797" t="s">
        <v>1551</v>
      </c>
      <c r="H797">
        <v>314.35199999999998</v>
      </c>
      <c r="I797">
        <v>3</v>
      </c>
      <c r="J797">
        <v>-35.364600000000003</v>
      </c>
      <c r="K797">
        <v>2011</v>
      </c>
      <c r="L797">
        <v>3</v>
      </c>
      <c r="M797" t="s">
        <v>135</v>
      </c>
      <c r="N797">
        <v>22</v>
      </c>
      <c r="O797">
        <v>4</v>
      </c>
      <c r="P797">
        <v>-11.25</v>
      </c>
      <c r="Q797">
        <v>104.78400000000001</v>
      </c>
      <c r="R797" t="s">
        <v>26</v>
      </c>
      <c r="S797" t="b">
        <v>1</v>
      </c>
      <c r="T797" t="b">
        <v>1</v>
      </c>
    </row>
    <row r="798" spans="1:20" x14ac:dyDescent="0.3">
      <c r="A798" t="s">
        <v>1552</v>
      </c>
      <c r="B798" s="1">
        <v>41806</v>
      </c>
      <c r="C798" s="1">
        <v>41811</v>
      </c>
      <c r="D798" t="s">
        <v>1553</v>
      </c>
      <c r="E798" t="s">
        <v>22</v>
      </c>
      <c r="F798" t="s">
        <v>31</v>
      </c>
      <c r="G798" t="s">
        <v>1554</v>
      </c>
      <c r="H798">
        <v>4.26</v>
      </c>
      <c r="I798">
        <v>1</v>
      </c>
      <c r="J798">
        <v>1.7465999999999999</v>
      </c>
      <c r="K798">
        <v>2014</v>
      </c>
      <c r="L798">
        <v>6</v>
      </c>
      <c r="M798" t="s">
        <v>25</v>
      </c>
      <c r="N798">
        <v>16</v>
      </c>
      <c r="O798">
        <v>5</v>
      </c>
      <c r="P798">
        <v>41</v>
      </c>
      <c r="Q798">
        <v>4.26</v>
      </c>
      <c r="R798" t="s">
        <v>48</v>
      </c>
      <c r="S798" t="b">
        <v>0</v>
      </c>
      <c r="T798" t="b">
        <v>0</v>
      </c>
    </row>
    <row r="799" spans="1:20" x14ac:dyDescent="0.3">
      <c r="A799" t="s">
        <v>1555</v>
      </c>
      <c r="B799" s="1">
        <v>41295</v>
      </c>
      <c r="C799" s="1">
        <v>41297</v>
      </c>
      <c r="D799" t="s">
        <v>600</v>
      </c>
      <c r="E799" t="s">
        <v>194</v>
      </c>
      <c r="F799" t="s">
        <v>110</v>
      </c>
      <c r="G799" t="s">
        <v>1556</v>
      </c>
      <c r="H799">
        <v>153.56800000000001</v>
      </c>
      <c r="I799">
        <v>2</v>
      </c>
      <c r="J799">
        <v>-5.7587999999999999</v>
      </c>
      <c r="K799">
        <v>2013</v>
      </c>
      <c r="L799">
        <v>1</v>
      </c>
      <c r="M799" t="s">
        <v>60</v>
      </c>
      <c r="N799">
        <v>21</v>
      </c>
      <c r="O799">
        <v>2</v>
      </c>
      <c r="P799">
        <v>-3.75</v>
      </c>
      <c r="Q799">
        <v>76.784000000000006</v>
      </c>
      <c r="R799" t="s">
        <v>26</v>
      </c>
      <c r="S799" t="b">
        <v>1</v>
      </c>
      <c r="T799" t="b">
        <v>0</v>
      </c>
    </row>
    <row r="800" spans="1:20" x14ac:dyDescent="0.3">
      <c r="A800" t="s">
        <v>1557</v>
      </c>
      <c r="B800" s="1">
        <v>41590</v>
      </c>
      <c r="C800" s="1">
        <v>41595</v>
      </c>
      <c r="D800" t="s">
        <v>1136</v>
      </c>
      <c r="E800" t="s">
        <v>51</v>
      </c>
      <c r="F800" t="s">
        <v>29</v>
      </c>
      <c r="G800" t="s">
        <v>1558</v>
      </c>
      <c r="H800">
        <v>6.96</v>
      </c>
      <c r="I800">
        <v>4</v>
      </c>
      <c r="J800">
        <v>2.2271999999999998</v>
      </c>
      <c r="K800">
        <v>2013</v>
      </c>
      <c r="L800">
        <v>11</v>
      </c>
      <c r="M800" t="s">
        <v>70</v>
      </c>
      <c r="N800">
        <v>12</v>
      </c>
      <c r="O800">
        <v>5</v>
      </c>
      <c r="P800">
        <v>32</v>
      </c>
      <c r="Q800">
        <v>1.74</v>
      </c>
      <c r="R800" t="s">
        <v>26</v>
      </c>
      <c r="S800" t="b">
        <v>0</v>
      </c>
      <c r="T800" t="b">
        <v>0</v>
      </c>
    </row>
    <row r="801" spans="1:20" x14ac:dyDescent="0.3">
      <c r="A801" t="s">
        <v>1559</v>
      </c>
      <c r="B801" s="1">
        <v>41304</v>
      </c>
      <c r="C801" s="1">
        <v>41308</v>
      </c>
      <c r="D801" t="s">
        <v>382</v>
      </c>
      <c r="E801" t="s">
        <v>51</v>
      </c>
      <c r="F801" t="s">
        <v>33</v>
      </c>
      <c r="G801" t="s">
        <v>499</v>
      </c>
      <c r="H801">
        <v>17.456</v>
      </c>
      <c r="I801">
        <v>2</v>
      </c>
      <c r="J801">
        <v>5.8914</v>
      </c>
      <c r="K801">
        <v>2013</v>
      </c>
      <c r="L801">
        <v>1</v>
      </c>
      <c r="M801" t="s">
        <v>60</v>
      </c>
      <c r="N801">
        <v>30</v>
      </c>
      <c r="O801">
        <v>4</v>
      </c>
      <c r="P801">
        <v>33.75</v>
      </c>
      <c r="Q801">
        <v>8.7279999999999998</v>
      </c>
      <c r="R801" t="s">
        <v>26</v>
      </c>
      <c r="S801" t="b">
        <v>0</v>
      </c>
      <c r="T801" t="b">
        <v>0</v>
      </c>
    </row>
    <row r="802" spans="1:20" x14ac:dyDescent="0.3">
      <c r="A802" t="s">
        <v>1560</v>
      </c>
      <c r="B802" s="1">
        <v>41566</v>
      </c>
      <c r="C802" s="1">
        <v>41570</v>
      </c>
      <c r="D802" t="s">
        <v>1561</v>
      </c>
      <c r="E802" t="s">
        <v>899</v>
      </c>
      <c r="F802" t="s">
        <v>110</v>
      </c>
      <c r="G802" t="s">
        <v>1562</v>
      </c>
      <c r="H802">
        <v>307.92</v>
      </c>
      <c r="I802">
        <v>5</v>
      </c>
      <c r="J802">
        <v>-34.640999999999998</v>
      </c>
      <c r="K802">
        <v>2013</v>
      </c>
      <c r="L802">
        <v>10</v>
      </c>
      <c r="M802" t="s">
        <v>82</v>
      </c>
      <c r="N802">
        <v>19</v>
      </c>
      <c r="O802">
        <v>4</v>
      </c>
      <c r="P802">
        <v>-11.25</v>
      </c>
      <c r="Q802">
        <v>61.584000000000003</v>
      </c>
      <c r="R802" t="s">
        <v>26</v>
      </c>
      <c r="S802" t="b">
        <v>1</v>
      </c>
      <c r="T802" t="b">
        <v>1</v>
      </c>
    </row>
    <row r="803" spans="1:20" x14ac:dyDescent="0.3">
      <c r="A803" t="s">
        <v>1563</v>
      </c>
      <c r="B803" s="1">
        <v>41992</v>
      </c>
      <c r="C803" s="1">
        <v>41993</v>
      </c>
      <c r="D803" t="s">
        <v>1561</v>
      </c>
      <c r="E803" t="s">
        <v>22</v>
      </c>
      <c r="F803" t="s">
        <v>31</v>
      </c>
      <c r="G803" t="s">
        <v>350</v>
      </c>
      <c r="H803">
        <v>6.63</v>
      </c>
      <c r="I803">
        <v>3</v>
      </c>
      <c r="J803">
        <v>1.7901</v>
      </c>
      <c r="K803">
        <v>2014</v>
      </c>
      <c r="L803">
        <v>12</v>
      </c>
      <c r="M803" t="s">
        <v>41</v>
      </c>
      <c r="N803">
        <v>19</v>
      </c>
      <c r="O803">
        <v>1</v>
      </c>
      <c r="P803">
        <v>27</v>
      </c>
      <c r="Q803">
        <v>2.21</v>
      </c>
      <c r="R803" t="s">
        <v>26</v>
      </c>
      <c r="S803" t="b">
        <v>0</v>
      </c>
      <c r="T803" t="b">
        <v>0</v>
      </c>
    </row>
    <row r="804" spans="1:20" x14ac:dyDescent="0.3">
      <c r="A804" t="s">
        <v>1563</v>
      </c>
      <c r="B804" s="1">
        <v>41992</v>
      </c>
      <c r="C804" s="1">
        <v>41993</v>
      </c>
      <c r="D804" t="s">
        <v>1561</v>
      </c>
      <c r="E804" t="s">
        <v>22</v>
      </c>
      <c r="F804" t="s">
        <v>72</v>
      </c>
      <c r="G804" t="s">
        <v>750</v>
      </c>
      <c r="H804">
        <v>12.96</v>
      </c>
      <c r="I804">
        <v>2</v>
      </c>
      <c r="J804">
        <v>6.2207999999999997</v>
      </c>
      <c r="K804">
        <v>2014</v>
      </c>
      <c r="L804">
        <v>12</v>
      </c>
      <c r="M804" t="s">
        <v>41</v>
      </c>
      <c r="N804">
        <v>19</v>
      </c>
      <c r="O804">
        <v>1</v>
      </c>
      <c r="P804">
        <v>48</v>
      </c>
      <c r="Q804">
        <v>6.48</v>
      </c>
      <c r="R804" t="s">
        <v>26</v>
      </c>
      <c r="S804" t="b">
        <v>0</v>
      </c>
      <c r="T804" t="b">
        <v>0</v>
      </c>
    </row>
    <row r="805" spans="1:20" x14ac:dyDescent="0.3">
      <c r="A805" t="s">
        <v>1563</v>
      </c>
      <c r="B805" s="1">
        <v>41992</v>
      </c>
      <c r="C805" s="1">
        <v>41993</v>
      </c>
      <c r="D805" t="s">
        <v>1561</v>
      </c>
      <c r="E805" t="s">
        <v>22</v>
      </c>
      <c r="F805" t="s">
        <v>72</v>
      </c>
      <c r="G805" t="s">
        <v>570</v>
      </c>
      <c r="H805">
        <v>32.4</v>
      </c>
      <c r="I805">
        <v>5</v>
      </c>
      <c r="J805">
        <v>15.552</v>
      </c>
      <c r="K805">
        <v>2014</v>
      </c>
      <c r="L805">
        <v>12</v>
      </c>
      <c r="M805" t="s">
        <v>41</v>
      </c>
      <c r="N805">
        <v>19</v>
      </c>
      <c r="O805">
        <v>1</v>
      </c>
      <c r="P805">
        <v>48</v>
      </c>
      <c r="Q805">
        <v>6.48</v>
      </c>
      <c r="R805" t="s">
        <v>26</v>
      </c>
      <c r="S805" t="b">
        <v>0</v>
      </c>
      <c r="T805" t="b">
        <v>0</v>
      </c>
    </row>
    <row r="806" spans="1:20" x14ac:dyDescent="0.3">
      <c r="A806" t="s">
        <v>1564</v>
      </c>
      <c r="B806" s="1">
        <v>41946</v>
      </c>
      <c r="C806" s="1">
        <v>41950</v>
      </c>
      <c r="D806" t="s">
        <v>1565</v>
      </c>
      <c r="E806" t="s">
        <v>39</v>
      </c>
      <c r="F806" t="s">
        <v>72</v>
      </c>
      <c r="G806" t="s">
        <v>1566</v>
      </c>
      <c r="H806">
        <v>23.85</v>
      </c>
      <c r="I806">
        <v>5</v>
      </c>
      <c r="J806">
        <v>10.7325</v>
      </c>
      <c r="K806">
        <v>2014</v>
      </c>
      <c r="L806">
        <v>11</v>
      </c>
      <c r="M806" t="s">
        <v>70</v>
      </c>
      <c r="N806">
        <v>3</v>
      </c>
      <c r="O806">
        <v>4</v>
      </c>
      <c r="P806">
        <v>45</v>
      </c>
      <c r="Q806">
        <v>4.7699999999999996</v>
      </c>
      <c r="R806" t="s">
        <v>26</v>
      </c>
      <c r="S806" t="b">
        <v>0</v>
      </c>
      <c r="T806" t="b">
        <v>0</v>
      </c>
    </row>
    <row r="807" spans="1:20" x14ac:dyDescent="0.3">
      <c r="A807" t="s">
        <v>1567</v>
      </c>
      <c r="B807" s="1">
        <v>40812</v>
      </c>
      <c r="C807" s="1">
        <v>40816</v>
      </c>
      <c r="D807" t="s">
        <v>924</v>
      </c>
      <c r="E807" t="s">
        <v>39</v>
      </c>
      <c r="F807" t="s">
        <v>45</v>
      </c>
      <c r="G807" t="s">
        <v>1568</v>
      </c>
      <c r="H807">
        <v>310.12</v>
      </c>
      <c r="I807">
        <v>2</v>
      </c>
      <c r="J807">
        <v>80.631200000000007</v>
      </c>
      <c r="K807">
        <v>2011</v>
      </c>
      <c r="L807">
        <v>9</v>
      </c>
      <c r="M807" t="s">
        <v>87</v>
      </c>
      <c r="N807">
        <v>26</v>
      </c>
      <c r="O807">
        <v>4</v>
      </c>
      <c r="P807">
        <v>26</v>
      </c>
      <c r="Q807">
        <v>155.06</v>
      </c>
      <c r="R807" t="s">
        <v>26</v>
      </c>
      <c r="S807" t="b">
        <v>0</v>
      </c>
      <c r="T807" t="b">
        <v>1</v>
      </c>
    </row>
    <row r="808" spans="1:20" x14ac:dyDescent="0.3">
      <c r="A808" t="s">
        <v>1569</v>
      </c>
      <c r="B808" s="1">
        <v>41690</v>
      </c>
      <c r="C808" s="1">
        <v>41694</v>
      </c>
      <c r="D808" t="s">
        <v>433</v>
      </c>
      <c r="E808" t="s">
        <v>39</v>
      </c>
      <c r="F808" t="s">
        <v>119</v>
      </c>
      <c r="G808" t="s">
        <v>1570</v>
      </c>
      <c r="H808">
        <v>11.22</v>
      </c>
      <c r="I808">
        <v>3</v>
      </c>
      <c r="J808">
        <v>0.22439999999999999</v>
      </c>
      <c r="K808">
        <v>2014</v>
      </c>
      <c r="L808">
        <v>2</v>
      </c>
      <c r="M808" t="s">
        <v>303</v>
      </c>
      <c r="N808">
        <v>20</v>
      </c>
      <c r="O808">
        <v>4</v>
      </c>
      <c r="P808">
        <v>2</v>
      </c>
      <c r="Q808">
        <v>3.74</v>
      </c>
      <c r="R808" t="s">
        <v>26</v>
      </c>
      <c r="S808" t="b">
        <v>0</v>
      </c>
      <c r="T808" t="b">
        <v>0</v>
      </c>
    </row>
    <row r="809" spans="1:20" x14ac:dyDescent="0.3">
      <c r="A809" t="s">
        <v>1571</v>
      </c>
      <c r="B809" s="1">
        <v>41670</v>
      </c>
      <c r="C809" s="1">
        <v>41670</v>
      </c>
      <c r="D809" t="s">
        <v>835</v>
      </c>
      <c r="E809" t="s">
        <v>51</v>
      </c>
      <c r="F809" t="s">
        <v>45</v>
      </c>
      <c r="G809" t="s">
        <v>1572</v>
      </c>
      <c r="H809">
        <v>129.30000000000001</v>
      </c>
      <c r="I809">
        <v>2</v>
      </c>
      <c r="J809">
        <v>6.4649999999999999</v>
      </c>
      <c r="K809">
        <v>2014</v>
      </c>
      <c r="L809">
        <v>1</v>
      </c>
      <c r="M809" t="s">
        <v>60</v>
      </c>
      <c r="N809">
        <v>31</v>
      </c>
      <c r="O809">
        <v>0</v>
      </c>
      <c r="P809">
        <v>5</v>
      </c>
      <c r="Q809">
        <v>64.650000000000006</v>
      </c>
      <c r="R809" t="s">
        <v>26</v>
      </c>
      <c r="S809" t="b">
        <v>0</v>
      </c>
      <c r="T809" t="b">
        <v>0</v>
      </c>
    </row>
    <row r="810" spans="1:20" x14ac:dyDescent="0.3">
      <c r="A810" t="s">
        <v>1573</v>
      </c>
      <c r="B810" s="1">
        <v>41129</v>
      </c>
      <c r="C810" s="1">
        <v>41129</v>
      </c>
      <c r="D810" t="s">
        <v>1574</v>
      </c>
      <c r="E810" t="s">
        <v>51</v>
      </c>
      <c r="F810" t="s">
        <v>33</v>
      </c>
      <c r="G810" t="s">
        <v>749</v>
      </c>
      <c r="H810">
        <v>6.6079999999999997</v>
      </c>
      <c r="I810">
        <v>2</v>
      </c>
      <c r="J810">
        <v>2.2302</v>
      </c>
      <c r="K810">
        <v>2012</v>
      </c>
      <c r="L810">
        <v>8</v>
      </c>
      <c r="M810" t="s">
        <v>53</v>
      </c>
      <c r="N810">
        <v>8</v>
      </c>
      <c r="O810">
        <v>0</v>
      </c>
      <c r="P810">
        <v>33.75</v>
      </c>
      <c r="Q810">
        <v>3.3039999999999998</v>
      </c>
      <c r="R810" t="s">
        <v>26</v>
      </c>
      <c r="S810" t="b">
        <v>0</v>
      </c>
      <c r="T810" t="b">
        <v>0</v>
      </c>
    </row>
    <row r="811" spans="1:20" x14ac:dyDescent="0.3">
      <c r="A811" t="s">
        <v>1573</v>
      </c>
      <c r="B811" s="1">
        <v>41129</v>
      </c>
      <c r="C811" s="1">
        <v>41129</v>
      </c>
      <c r="D811" t="s">
        <v>1574</v>
      </c>
      <c r="E811" t="s">
        <v>51</v>
      </c>
      <c r="F811" t="s">
        <v>33</v>
      </c>
      <c r="G811" t="s">
        <v>204</v>
      </c>
      <c r="H811">
        <v>7.28</v>
      </c>
      <c r="I811">
        <v>2</v>
      </c>
      <c r="J811">
        <v>2.73</v>
      </c>
      <c r="K811">
        <v>2012</v>
      </c>
      <c r="L811">
        <v>8</v>
      </c>
      <c r="M811" t="s">
        <v>53</v>
      </c>
      <c r="N811">
        <v>8</v>
      </c>
      <c r="O811">
        <v>0</v>
      </c>
      <c r="P811">
        <v>37.5</v>
      </c>
      <c r="Q811">
        <v>3.64</v>
      </c>
      <c r="R811" t="s">
        <v>26</v>
      </c>
      <c r="S811" t="b">
        <v>0</v>
      </c>
      <c r="T811" t="b">
        <v>0</v>
      </c>
    </row>
    <row r="812" spans="1:20" x14ac:dyDescent="0.3">
      <c r="A812" t="s">
        <v>1573</v>
      </c>
      <c r="B812" s="1">
        <v>41129</v>
      </c>
      <c r="C812" s="1">
        <v>41129</v>
      </c>
      <c r="D812" t="s">
        <v>1574</v>
      </c>
      <c r="E812" t="s">
        <v>51</v>
      </c>
      <c r="F812" t="s">
        <v>110</v>
      </c>
      <c r="G812" t="s">
        <v>1575</v>
      </c>
      <c r="H812">
        <v>144.78399999999999</v>
      </c>
      <c r="I812">
        <v>1</v>
      </c>
      <c r="J812">
        <v>10.8588</v>
      </c>
      <c r="K812">
        <v>2012</v>
      </c>
      <c r="L812">
        <v>8</v>
      </c>
      <c r="M812" t="s">
        <v>53</v>
      </c>
      <c r="N812">
        <v>8</v>
      </c>
      <c r="O812">
        <v>0</v>
      </c>
      <c r="P812">
        <v>7.5</v>
      </c>
      <c r="Q812">
        <v>144.78399999999999</v>
      </c>
      <c r="R812" t="s">
        <v>26</v>
      </c>
      <c r="S812" t="b">
        <v>0</v>
      </c>
      <c r="T812" t="b">
        <v>0</v>
      </c>
    </row>
    <row r="813" spans="1:20" x14ac:dyDescent="0.3">
      <c r="A813" t="s">
        <v>1576</v>
      </c>
      <c r="B813" s="1">
        <v>41615</v>
      </c>
      <c r="C813" s="1">
        <v>41621</v>
      </c>
      <c r="D813" t="s">
        <v>1577</v>
      </c>
      <c r="E813" t="s">
        <v>39</v>
      </c>
      <c r="F813" t="s">
        <v>54</v>
      </c>
      <c r="G813" t="s">
        <v>1578</v>
      </c>
      <c r="H813">
        <v>156.792</v>
      </c>
      <c r="I813">
        <v>1</v>
      </c>
      <c r="J813">
        <v>13.7193</v>
      </c>
      <c r="K813">
        <v>2013</v>
      </c>
      <c r="L813">
        <v>12</v>
      </c>
      <c r="M813" t="s">
        <v>41</v>
      </c>
      <c r="N813">
        <v>7</v>
      </c>
      <c r="O813">
        <v>6</v>
      </c>
      <c r="P813">
        <v>8.75</v>
      </c>
      <c r="Q813">
        <v>156.792</v>
      </c>
      <c r="R813" t="s">
        <v>26</v>
      </c>
      <c r="S813" t="b">
        <v>0</v>
      </c>
      <c r="T813" t="b">
        <v>0</v>
      </c>
    </row>
    <row r="814" spans="1:20" x14ac:dyDescent="0.3">
      <c r="A814" t="s">
        <v>1576</v>
      </c>
      <c r="B814" s="1">
        <v>41615</v>
      </c>
      <c r="C814" s="1">
        <v>41621</v>
      </c>
      <c r="D814" t="s">
        <v>1577</v>
      </c>
      <c r="E814" t="s">
        <v>39</v>
      </c>
      <c r="F814" t="s">
        <v>54</v>
      </c>
      <c r="G814" t="s">
        <v>1579</v>
      </c>
      <c r="H814">
        <v>431.976</v>
      </c>
      <c r="I814">
        <v>3</v>
      </c>
      <c r="J814">
        <v>26.9985</v>
      </c>
      <c r="K814">
        <v>2013</v>
      </c>
      <c r="L814">
        <v>12</v>
      </c>
      <c r="M814" t="s">
        <v>41</v>
      </c>
      <c r="N814">
        <v>7</v>
      </c>
      <c r="O814">
        <v>6</v>
      </c>
      <c r="P814">
        <v>6.25</v>
      </c>
      <c r="Q814">
        <v>143.99199999999999</v>
      </c>
      <c r="R814" t="s">
        <v>26</v>
      </c>
      <c r="S814" t="b">
        <v>0</v>
      </c>
      <c r="T814" t="b">
        <v>1</v>
      </c>
    </row>
    <row r="815" spans="1:20" x14ac:dyDescent="0.3">
      <c r="A815" t="s">
        <v>1576</v>
      </c>
      <c r="B815" s="1">
        <v>41615</v>
      </c>
      <c r="C815" s="1">
        <v>41621</v>
      </c>
      <c r="D815" t="s">
        <v>1577</v>
      </c>
      <c r="E815" t="s">
        <v>39</v>
      </c>
      <c r="F815" t="s">
        <v>128</v>
      </c>
      <c r="G815" t="s">
        <v>1580</v>
      </c>
      <c r="H815">
        <v>35.89</v>
      </c>
      <c r="I815">
        <v>1</v>
      </c>
      <c r="J815">
        <v>16.150500000000001</v>
      </c>
      <c r="K815">
        <v>2013</v>
      </c>
      <c r="L815">
        <v>12</v>
      </c>
      <c r="M815" t="s">
        <v>41</v>
      </c>
      <c r="N815">
        <v>7</v>
      </c>
      <c r="O815">
        <v>6</v>
      </c>
      <c r="P815">
        <v>45</v>
      </c>
      <c r="Q815">
        <v>35.89</v>
      </c>
      <c r="R815" t="s">
        <v>26</v>
      </c>
      <c r="S815" t="b">
        <v>0</v>
      </c>
      <c r="T815" t="b">
        <v>0</v>
      </c>
    </row>
    <row r="816" spans="1:20" x14ac:dyDescent="0.3">
      <c r="A816" t="s">
        <v>1576</v>
      </c>
      <c r="B816" s="1">
        <v>41615</v>
      </c>
      <c r="C816" s="1">
        <v>41621</v>
      </c>
      <c r="D816" t="s">
        <v>1577</v>
      </c>
      <c r="E816" t="s">
        <v>39</v>
      </c>
      <c r="F816" t="s">
        <v>33</v>
      </c>
      <c r="G816" t="s">
        <v>535</v>
      </c>
      <c r="H816">
        <v>47.207999999999998</v>
      </c>
      <c r="I816">
        <v>7</v>
      </c>
      <c r="J816">
        <v>15.342599999999999</v>
      </c>
      <c r="K816">
        <v>2013</v>
      </c>
      <c r="L816">
        <v>12</v>
      </c>
      <c r="M816" t="s">
        <v>41</v>
      </c>
      <c r="N816">
        <v>7</v>
      </c>
      <c r="O816">
        <v>6</v>
      </c>
      <c r="P816">
        <v>32.5</v>
      </c>
      <c r="Q816">
        <v>6.7439999999999998</v>
      </c>
      <c r="R816" t="s">
        <v>26</v>
      </c>
      <c r="S816" t="b">
        <v>0</v>
      </c>
      <c r="T816" t="b">
        <v>0</v>
      </c>
    </row>
    <row r="817" spans="1:20" x14ac:dyDescent="0.3">
      <c r="A817" t="s">
        <v>1576</v>
      </c>
      <c r="B817" s="1">
        <v>41615</v>
      </c>
      <c r="C817" s="1">
        <v>41621</v>
      </c>
      <c r="D817" t="s">
        <v>1577</v>
      </c>
      <c r="E817" t="s">
        <v>39</v>
      </c>
      <c r="F817" t="s">
        <v>72</v>
      </c>
      <c r="G817" t="s">
        <v>117</v>
      </c>
      <c r="H817">
        <v>248.08</v>
      </c>
      <c r="I817">
        <v>7</v>
      </c>
      <c r="J817">
        <v>116.5976</v>
      </c>
      <c r="K817">
        <v>2013</v>
      </c>
      <c r="L817">
        <v>12</v>
      </c>
      <c r="M817" t="s">
        <v>41</v>
      </c>
      <c r="N817">
        <v>7</v>
      </c>
      <c r="O817">
        <v>6</v>
      </c>
      <c r="P817">
        <v>47</v>
      </c>
      <c r="Q817">
        <v>35.44</v>
      </c>
      <c r="R817" t="s">
        <v>26</v>
      </c>
      <c r="S817" t="b">
        <v>0</v>
      </c>
      <c r="T817" t="b">
        <v>1</v>
      </c>
    </row>
    <row r="818" spans="1:20" x14ac:dyDescent="0.3">
      <c r="A818" t="s">
        <v>1576</v>
      </c>
      <c r="B818" s="1">
        <v>41615</v>
      </c>
      <c r="C818" s="1">
        <v>41621</v>
      </c>
      <c r="D818" t="s">
        <v>1577</v>
      </c>
      <c r="E818" t="s">
        <v>39</v>
      </c>
      <c r="F818" t="s">
        <v>72</v>
      </c>
      <c r="G818" t="s">
        <v>1581</v>
      </c>
      <c r="H818">
        <v>189.7</v>
      </c>
      <c r="I818">
        <v>5</v>
      </c>
      <c r="J818">
        <v>89.159000000000006</v>
      </c>
      <c r="K818">
        <v>2013</v>
      </c>
      <c r="L818">
        <v>12</v>
      </c>
      <c r="M818" t="s">
        <v>41</v>
      </c>
      <c r="N818">
        <v>7</v>
      </c>
      <c r="O818">
        <v>6</v>
      </c>
      <c r="P818">
        <v>47</v>
      </c>
      <c r="Q818">
        <v>37.94</v>
      </c>
      <c r="R818" t="s">
        <v>26</v>
      </c>
      <c r="S818" t="b">
        <v>0</v>
      </c>
      <c r="T818" t="b">
        <v>0</v>
      </c>
    </row>
    <row r="819" spans="1:20" x14ac:dyDescent="0.3">
      <c r="A819" t="s">
        <v>1576</v>
      </c>
      <c r="B819" s="1">
        <v>41615</v>
      </c>
      <c r="C819" s="1">
        <v>41621</v>
      </c>
      <c r="D819" t="s">
        <v>1577</v>
      </c>
      <c r="E819" t="s">
        <v>39</v>
      </c>
      <c r="F819" t="s">
        <v>33</v>
      </c>
      <c r="G819" t="s">
        <v>345</v>
      </c>
      <c r="H819">
        <v>59.808</v>
      </c>
      <c r="I819">
        <v>3</v>
      </c>
      <c r="J819">
        <v>19.4376</v>
      </c>
      <c r="K819">
        <v>2013</v>
      </c>
      <c r="L819">
        <v>12</v>
      </c>
      <c r="M819" t="s">
        <v>41</v>
      </c>
      <c r="N819">
        <v>7</v>
      </c>
      <c r="O819">
        <v>6</v>
      </c>
      <c r="P819">
        <v>32.5</v>
      </c>
      <c r="Q819">
        <v>19.936</v>
      </c>
      <c r="R819" t="s">
        <v>26</v>
      </c>
      <c r="S819" t="b">
        <v>0</v>
      </c>
      <c r="T819" t="b">
        <v>0</v>
      </c>
    </row>
    <row r="820" spans="1:20" x14ac:dyDescent="0.3">
      <c r="A820" t="s">
        <v>1582</v>
      </c>
      <c r="B820" s="1">
        <v>41963</v>
      </c>
      <c r="C820" s="1">
        <v>41968</v>
      </c>
      <c r="D820" t="s">
        <v>1583</v>
      </c>
      <c r="E820" t="s">
        <v>22</v>
      </c>
      <c r="F820" t="s">
        <v>45</v>
      </c>
      <c r="G820" t="s">
        <v>1584</v>
      </c>
      <c r="H820">
        <v>305.01</v>
      </c>
      <c r="I820">
        <v>9</v>
      </c>
      <c r="J820">
        <v>76.252499999999998</v>
      </c>
      <c r="K820">
        <v>2014</v>
      </c>
      <c r="L820">
        <v>11</v>
      </c>
      <c r="M820" t="s">
        <v>70</v>
      </c>
      <c r="N820">
        <v>20</v>
      </c>
      <c r="O820">
        <v>5</v>
      </c>
      <c r="P820">
        <v>25</v>
      </c>
      <c r="Q820">
        <v>33.89</v>
      </c>
      <c r="R820" t="s">
        <v>26</v>
      </c>
      <c r="S820" t="b">
        <v>0</v>
      </c>
      <c r="T820" t="b">
        <v>1</v>
      </c>
    </row>
    <row r="821" spans="1:20" x14ac:dyDescent="0.3">
      <c r="A821" t="s">
        <v>1582</v>
      </c>
      <c r="B821" s="1">
        <v>41963</v>
      </c>
      <c r="C821" s="1">
        <v>41968</v>
      </c>
      <c r="D821" t="s">
        <v>1583</v>
      </c>
      <c r="E821" t="s">
        <v>22</v>
      </c>
      <c r="F821" t="s">
        <v>29</v>
      </c>
      <c r="G821" t="s">
        <v>1585</v>
      </c>
      <c r="H821">
        <v>18.7</v>
      </c>
      <c r="I821">
        <v>1</v>
      </c>
      <c r="J821">
        <v>7.1059999999999999</v>
      </c>
      <c r="K821">
        <v>2014</v>
      </c>
      <c r="L821">
        <v>11</v>
      </c>
      <c r="M821" t="s">
        <v>70</v>
      </c>
      <c r="N821">
        <v>20</v>
      </c>
      <c r="O821">
        <v>5</v>
      </c>
      <c r="P821">
        <v>38</v>
      </c>
      <c r="Q821">
        <v>18.7</v>
      </c>
      <c r="R821" t="s">
        <v>26</v>
      </c>
      <c r="S821" t="b">
        <v>0</v>
      </c>
      <c r="T821" t="b">
        <v>0</v>
      </c>
    </row>
    <row r="822" spans="1:20" x14ac:dyDescent="0.3">
      <c r="A822" t="s">
        <v>1586</v>
      </c>
      <c r="B822" s="1">
        <v>41583</v>
      </c>
      <c r="C822" s="1">
        <v>41584</v>
      </c>
      <c r="D822" t="s">
        <v>1587</v>
      </c>
      <c r="E822" t="s">
        <v>51</v>
      </c>
      <c r="F822" t="s">
        <v>29</v>
      </c>
      <c r="G822" t="s">
        <v>1588</v>
      </c>
      <c r="H822">
        <v>38.29</v>
      </c>
      <c r="I822">
        <v>7</v>
      </c>
      <c r="J822">
        <v>16.464700000000001</v>
      </c>
      <c r="K822">
        <v>2013</v>
      </c>
      <c r="L822">
        <v>11</v>
      </c>
      <c r="M822" t="s">
        <v>70</v>
      </c>
      <c r="N822">
        <v>5</v>
      </c>
      <c r="O822">
        <v>1</v>
      </c>
      <c r="P822">
        <v>43</v>
      </c>
      <c r="Q822">
        <v>5.47</v>
      </c>
      <c r="R822" t="s">
        <v>26</v>
      </c>
      <c r="S822" t="b">
        <v>0</v>
      </c>
      <c r="T822" t="b">
        <v>0</v>
      </c>
    </row>
    <row r="823" spans="1:20" x14ac:dyDescent="0.3">
      <c r="A823" t="s">
        <v>1589</v>
      </c>
      <c r="B823" s="1">
        <v>41988</v>
      </c>
      <c r="C823" s="1">
        <v>41992</v>
      </c>
      <c r="D823" t="s">
        <v>903</v>
      </c>
      <c r="E823" t="s">
        <v>194</v>
      </c>
      <c r="F823" t="s">
        <v>29</v>
      </c>
      <c r="G823" t="s">
        <v>1590</v>
      </c>
      <c r="H823">
        <v>26.25</v>
      </c>
      <c r="I823">
        <v>3</v>
      </c>
      <c r="J823">
        <v>11.025</v>
      </c>
      <c r="K823">
        <v>2014</v>
      </c>
      <c r="L823">
        <v>12</v>
      </c>
      <c r="M823" t="s">
        <v>41</v>
      </c>
      <c r="N823">
        <v>15</v>
      </c>
      <c r="O823">
        <v>4</v>
      </c>
      <c r="P823">
        <v>42</v>
      </c>
      <c r="Q823">
        <v>8.75</v>
      </c>
      <c r="R823" t="s">
        <v>26</v>
      </c>
      <c r="S823" t="b">
        <v>0</v>
      </c>
      <c r="T823" t="b">
        <v>0</v>
      </c>
    </row>
    <row r="824" spans="1:20" x14ac:dyDescent="0.3">
      <c r="A824" t="s">
        <v>1589</v>
      </c>
      <c r="B824" s="1">
        <v>41988</v>
      </c>
      <c r="C824" s="1">
        <v>41992</v>
      </c>
      <c r="D824" t="s">
        <v>903</v>
      </c>
      <c r="E824" t="s">
        <v>194</v>
      </c>
      <c r="F824" t="s">
        <v>33</v>
      </c>
      <c r="G824" t="s">
        <v>1591</v>
      </c>
      <c r="H824">
        <v>64.959999999999994</v>
      </c>
      <c r="I824">
        <v>14</v>
      </c>
      <c r="J824">
        <v>22.736000000000001</v>
      </c>
      <c r="K824">
        <v>2014</v>
      </c>
      <c r="L824">
        <v>12</v>
      </c>
      <c r="M824" t="s">
        <v>41</v>
      </c>
      <c r="N824">
        <v>15</v>
      </c>
      <c r="O824">
        <v>4</v>
      </c>
      <c r="P824">
        <v>35</v>
      </c>
      <c r="Q824">
        <v>4.6399999999999997</v>
      </c>
      <c r="R824" t="s">
        <v>26</v>
      </c>
      <c r="S824" t="b">
        <v>0</v>
      </c>
      <c r="T824" t="b">
        <v>0</v>
      </c>
    </row>
    <row r="825" spans="1:20" x14ac:dyDescent="0.3">
      <c r="A825" t="s">
        <v>1589</v>
      </c>
      <c r="B825" s="1">
        <v>41988</v>
      </c>
      <c r="C825" s="1">
        <v>41992</v>
      </c>
      <c r="D825" t="s">
        <v>903</v>
      </c>
      <c r="E825" t="s">
        <v>194</v>
      </c>
      <c r="F825" t="s">
        <v>128</v>
      </c>
      <c r="G825" t="s">
        <v>1379</v>
      </c>
      <c r="H825">
        <v>43.7</v>
      </c>
      <c r="I825">
        <v>5</v>
      </c>
      <c r="J825">
        <v>20.539000000000001</v>
      </c>
      <c r="K825">
        <v>2014</v>
      </c>
      <c r="L825">
        <v>12</v>
      </c>
      <c r="M825" t="s">
        <v>41</v>
      </c>
      <c r="N825">
        <v>15</v>
      </c>
      <c r="O825">
        <v>4</v>
      </c>
      <c r="P825">
        <v>47</v>
      </c>
      <c r="Q825">
        <v>8.74</v>
      </c>
      <c r="R825" t="s">
        <v>26</v>
      </c>
      <c r="S825" t="b">
        <v>0</v>
      </c>
      <c r="T825" t="b">
        <v>0</v>
      </c>
    </row>
    <row r="826" spans="1:20" x14ac:dyDescent="0.3">
      <c r="A826" t="s">
        <v>1592</v>
      </c>
      <c r="B826" s="1">
        <v>41956</v>
      </c>
      <c r="C826" s="1">
        <v>41956</v>
      </c>
      <c r="D826" t="s">
        <v>1593</v>
      </c>
      <c r="E826" t="s">
        <v>849</v>
      </c>
      <c r="F826" t="s">
        <v>61</v>
      </c>
      <c r="G826" t="s">
        <v>1594</v>
      </c>
      <c r="H826">
        <v>41.6</v>
      </c>
      <c r="I826">
        <v>4</v>
      </c>
      <c r="J826">
        <v>13</v>
      </c>
      <c r="K826">
        <v>2014</v>
      </c>
      <c r="L826">
        <v>11</v>
      </c>
      <c r="M826" t="s">
        <v>70</v>
      </c>
      <c r="N826">
        <v>13</v>
      </c>
      <c r="O826">
        <v>0</v>
      </c>
      <c r="P826">
        <v>31.25</v>
      </c>
      <c r="Q826">
        <v>10.4</v>
      </c>
      <c r="R826" t="s">
        <v>26</v>
      </c>
      <c r="S826" t="b">
        <v>0</v>
      </c>
      <c r="T826" t="b">
        <v>0</v>
      </c>
    </row>
    <row r="827" spans="1:20" x14ac:dyDescent="0.3">
      <c r="A827" t="s">
        <v>1592</v>
      </c>
      <c r="B827" s="1">
        <v>41956</v>
      </c>
      <c r="C827" s="1">
        <v>41956</v>
      </c>
      <c r="D827" t="s">
        <v>1593</v>
      </c>
      <c r="E827" t="s">
        <v>849</v>
      </c>
      <c r="F827" t="s">
        <v>72</v>
      </c>
      <c r="G827" t="s">
        <v>1595</v>
      </c>
      <c r="H827">
        <v>23.12</v>
      </c>
      <c r="I827">
        <v>5</v>
      </c>
      <c r="J827">
        <v>8.3810000000000002</v>
      </c>
      <c r="K827">
        <v>2014</v>
      </c>
      <c r="L827">
        <v>11</v>
      </c>
      <c r="M827" t="s">
        <v>70</v>
      </c>
      <c r="N827">
        <v>13</v>
      </c>
      <c r="O827">
        <v>0</v>
      </c>
      <c r="P827">
        <v>36.25</v>
      </c>
      <c r="Q827">
        <v>4.6240000000000014</v>
      </c>
      <c r="R827" t="s">
        <v>26</v>
      </c>
      <c r="S827" t="b">
        <v>0</v>
      </c>
      <c r="T827" t="b">
        <v>0</v>
      </c>
    </row>
    <row r="828" spans="1:20" x14ac:dyDescent="0.3">
      <c r="A828" t="s">
        <v>1592</v>
      </c>
      <c r="B828" s="1">
        <v>41956</v>
      </c>
      <c r="C828" s="1">
        <v>41956</v>
      </c>
      <c r="D828" t="s">
        <v>1593</v>
      </c>
      <c r="E828" t="s">
        <v>849</v>
      </c>
      <c r="F828" t="s">
        <v>110</v>
      </c>
      <c r="G828" t="s">
        <v>1596</v>
      </c>
      <c r="H828">
        <v>113.88800000000001</v>
      </c>
      <c r="I828">
        <v>2</v>
      </c>
      <c r="J828">
        <v>9.9651999999999994</v>
      </c>
      <c r="K828">
        <v>2014</v>
      </c>
      <c r="L828">
        <v>11</v>
      </c>
      <c r="M828" t="s">
        <v>70</v>
      </c>
      <c r="N828">
        <v>13</v>
      </c>
      <c r="O828">
        <v>0</v>
      </c>
      <c r="P828">
        <v>8.75</v>
      </c>
      <c r="Q828">
        <v>56.944000000000003</v>
      </c>
      <c r="R828" t="s">
        <v>26</v>
      </c>
      <c r="S828" t="b">
        <v>0</v>
      </c>
      <c r="T828" t="b">
        <v>0</v>
      </c>
    </row>
    <row r="829" spans="1:20" x14ac:dyDescent="0.3">
      <c r="A829" t="s">
        <v>1592</v>
      </c>
      <c r="B829" s="1">
        <v>41956</v>
      </c>
      <c r="C829" s="1">
        <v>41956</v>
      </c>
      <c r="D829" t="s">
        <v>1593</v>
      </c>
      <c r="E829" t="s">
        <v>849</v>
      </c>
      <c r="F829" t="s">
        <v>29</v>
      </c>
      <c r="G829" t="s">
        <v>1597</v>
      </c>
      <c r="H829">
        <v>113.568</v>
      </c>
      <c r="I829">
        <v>2</v>
      </c>
      <c r="J829">
        <v>-5.6783999999999999</v>
      </c>
      <c r="K829">
        <v>2014</v>
      </c>
      <c r="L829">
        <v>11</v>
      </c>
      <c r="M829" t="s">
        <v>70</v>
      </c>
      <c r="N829">
        <v>13</v>
      </c>
      <c r="O829">
        <v>0</v>
      </c>
      <c r="P829">
        <v>-5</v>
      </c>
      <c r="Q829">
        <v>56.783999999999999</v>
      </c>
      <c r="R829" t="s">
        <v>26</v>
      </c>
      <c r="S829" t="b">
        <v>1</v>
      </c>
      <c r="T829" t="b">
        <v>0</v>
      </c>
    </row>
    <row r="830" spans="1:20" x14ac:dyDescent="0.3">
      <c r="A830" t="s">
        <v>1592</v>
      </c>
      <c r="B830" s="1">
        <v>41956</v>
      </c>
      <c r="C830" s="1">
        <v>41956</v>
      </c>
      <c r="D830" t="s">
        <v>1593</v>
      </c>
      <c r="E830" t="s">
        <v>849</v>
      </c>
      <c r="F830" t="s">
        <v>54</v>
      </c>
      <c r="G830" t="s">
        <v>1598</v>
      </c>
      <c r="H830">
        <v>7.92</v>
      </c>
      <c r="I830">
        <v>2</v>
      </c>
      <c r="J830">
        <v>0.69299999999999995</v>
      </c>
      <c r="K830">
        <v>2014</v>
      </c>
      <c r="L830">
        <v>11</v>
      </c>
      <c r="M830" t="s">
        <v>70</v>
      </c>
      <c r="N830">
        <v>13</v>
      </c>
      <c r="O830">
        <v>0</v>
      </c>
      <c r="P830">
        <v>8.75</v>
      </c>
      <c r="Q830">
        <v>3.96</v>
      </c>
      <c r="R830" t="s">
        <v>26</v>
      </c>
      <c r="S830" t="b">
        <v>0</v>
      </c>
      <c r="T830" t="b">
        <v>0</v>
      </c>
    </row>
    <row r="831" spans="1:20" x14ac:dyDescent="0.3">
      <c r="A831" t="s">
        <v>1599</v>
      </c>
      <c r="B831" s="1">
        <v>41267</v>
      </c>
      <c r="C831" s="1">
        <v>41272</v>
      </c>
      <c r="D831" t="s">
        <v>788</v>
      </c>
      <c r="E831" t="s">
        <v>22</v>
      </c>
      <c r="F831" t="s">
        <v>33</v>
      </c>
      <c r="G831" t="s">
        <v>641</v>
      </c>
      <c r="H831">
        <v>19.936</v>
      </c>
      <c r="I831">
        <v>4</v>
      </c>
      <c r="J831">
        <v>7.2267999999999999</v>
      </c>
      <c r="K831">
        <v>2012</v>
      </c>
      <c r="L831">
        <v>12</v>
      </c>
      <c r="M831" t="s">
        <v>41</v>
      </c>
      <c r="N831">
        <v>24</v>
      </c>
      <c r="O831">
        <v>5</v>
      </c>
      <c r="P831">
        <v>36.25</v>
      </c>
      <c r="Q831">
        <v>4.984</v>
      </c>
      <c r="R831" t="s">
        <v>26</v>
      </c>
      <c r="S831" t="b">
        <v>0</v>
      </c>
      <c r="T831" t="b">
        <v>0</v>
      </c>
    </row>
    <row r="832" spans="1:20" x14ac:dyDescent="0.3">
      <c r="A832" t="s">
        <v>1599</v>
      </c>
      <c r="B832" s="1">
        <v>41267</v>
      </c>
      <c r="C832" s="1">
        <v>41272</v>
      </c>
      <c r="D832" t="s">
        <v>788</v>
      </c>
      <c r="E832" t="s">
        <v>22</v>
      </c>
      <c r="F832" t="s">
        <v>119</v>
      </c>
      <c r="G832" t="s">
        <v>221</v>
      </c>
      <c r="H832">
        <v>45.92</v>
      </c>
      <c r="I832">
        <v>4</v>
      </c>
      <c r="J832">
        <v>21.5824</v>
      </c>
      <c r="K832">
        <v>2012</v>
      </c>
      <c r="L832">
        <v>12</v>
      </c>
      <c r="M832" t="s">
        <v>41</v>
      </c>
      <c r="N832">
        <v>24</v>
      </c>
      <c r="O832">
        <v>5</v>
      </c>
      <c r="P832">
        <v>47</v>
      </c>
      <c r="Q832">
        <v>11.48</v>
      </c>
      <c r="R832" t="s">
        <v>26</v>
      </c>
      <c r="S832" t="b">
        <v>0</v>
      </c>
      <c r="T832" t="b">
        <v>0</v>
      </c>
    </row>
    <row r="833" spans="1:20" x14ac:dyDescent="0.3">
      <c r="A833" t="s">
        <v>1600</v>
      </c>
      <c r="B833" s="1">
        <v>41756</v>
      </c>
      <c r="C833" s="1">
        <v>41761</v>
      </c>
      <c r="D833" t="s">
        <v>1601</v>
      </c>
      <c r="E833" t="s">
        <v>39</v>
      </c>
      <c r="F833" t="s">
        <v>72</v>
      </c>
      <c r="G833" t="s">
        <v>833</v>
      </c>
      <c r="H833">
        <v>20.34</v>
      </c>
      <c r="I833">
        <v>3</v>
      </c>
      <c r="J833">
        <v>9.3564000000000007</v>
      </c>
      <c r="K833">
        <v>2014</v>
      </c>
      <c r="L833">
        <v>4</v>
      </c>
      <c r="M833" t="s">
        <v>236</v>
      </c>
      <c r="N833">
        <v>27</v>
      </c>
      <c r="O833">
        <v>5</v>
      </c>
      <c r="P833">
        <v>46</v>
      </c>
      <c r="Q833">
        <v>6.78</v>
      </c>
      <c r="R833" t="s">
        <v>26</v>
      </c>
      <c r="S833" t="b">
        <v>0</v>
      </c>
      <c r="T833" t="b">
        <v>0</v>
      </c>
    </row>
    <row r="834" spans="1:20" x14ac:dyDescent="0.3">
      <c r="A834" t="s">
        <v>1600</v>
      </c>
      <c r="B834" s="1">
        <v>41756</v>
      </c>
      <c r="C834" s="1">
        <v>41761</v>
      </c>
      <c r="D834" t="s">
        <v>1601</v>
      </c>
      <c r="E834" t="s">
        <v>39</v>
      </c>
      <c r="F834" t="s">
        <v>23</v>
      </c>
      <c r="G834" t="s">
        <v>1602</v>
      </c>
      <c r="H834">
        <v>39.28</v>
      </c>
      <c r="I834">
        <v>8</v>
      </c>
      <c r="J834">
        <v>19.247199999999999</v>
      </c>
      <c r="K834">
        <v>2014</v>
      </c>
      <c r="L834">
        <v>4</v>
      </c>
      <c r="M834" t="s">
        <v>236</v>
      </c>
      <c r="N834">
        <v>27</v>
      </c>
      <c r="O834">
        <v>5</v>
      </c>
      <c r="P834">
        <v>49</v>
      </c>
      <c r="Q834">
        <v>4.91</v>
      </c>
      <c r="R834" t="s">
        <v>26</v>
      </c>
      <c r="S834" t="b">
        <v>0</v>
      </c>
      <c r="T834" t="b">
        <v>0</v>
      </c>
    </row>
    <row r="835" spans="1:20" x14ac:dyDescent="0.3">
      <c r="A835" t="s">
        <v>1603</v>
      </c>
      <c r="B835" s="1">
        <v>41990</v>
      </c>
      <c r="C835" s="1">
        <v>41995</v>
      </c>
      <c r="D835" t="s">
        <v>1604</v>
      </c>
      <c r="E835" t="s">
        <v>592</v>
      </c>
      <c r="F835" t="s">
        <v>110</v>
      </c>
      <c r="G835" t="s">
        <v>1302</v>
      </c>
      <c r="H835">
        <v>81.567999999999998</v>
      </c>
      <c r="I835">
        <v>2</v>
      </c>
      <c r="J835">
        <v>9.1763999999999992</v>
      </c>
      <c r="K835">
        <v>2014</v>
      </c>
      <c r="L835">
        <v>12</v>
      </c>
      <c r="M835" t="s">
        <v>41</v>
      </c>
      <c r="N835">
        <v>17</v>
      </c>
      <c r="O835">
        <v>5</v>
      </c>
      <c r="P835">
        <v>11.25</v>
      </c>
      <c r="Q835">
        <v>40.783999999999999</v>
      </c>
      <c r="R835" t="s">
        <v>26</v>
      </c>
      <c r="S835" t="b">
        <v>0</v>
      </c>
      <c r="T835" t="b">
        <v>0</v>
      </c>
    </row>
    <row r="836" spans="1:20" x14ac:dyDescent="0.3">
      <c r="A836" t="s">
        <v>1603</v>
      </c>
      <c r="B836" s="1">
        <v>41990</v>
      </c>
      <c r="C836" s="1">
        <v>41995</v>
      </c>
      <c r="D836" t="s">
        <v>1604</v>
      </c>
      <c r="E836" t="s">
        <v>592</v>
      </c>
      <c r="F836" t="s">
        <v>110</v>
      </c>
      <c r="G836" t="s">
        <v>163</v>
      </c>
      <c r="H836">
        <v>97.183999999999997</v>
      </c>
      <c r="I836">
        <v>2</v>
      </c>
      <c r="J836">
        <v>6.0739999999999998</v>
      </c>
      <c r="K836">
        <v>2014</v>
      </c>
      <c r="L836">
        <v>12</v>
      </c>
      <c r="M836" t="s">
        <v>41</v>
      </c>
      <c r="N836">
        <v>17</v>
      </c>
      <c r="O836">
        <v>5</v>
      </c>
      <c r="P836">
        <v>6.25</v>
      </c>
      <c r="Q836">
        <v>48.591999999999999</v>
      </c>
      <c r="R836" t="s">
        <v>26</v>
      </c>
      <c r="S836" t="b">
        <v>0</v>
      </c>
      <c r="T836" t="b">
        <v>0</v>
      </c>
    </row>
    <row r="837" spans="1:20" x14ac:dyDescent="0.3">
      <c r="A837" t="s">
        <v>1603</v>
      </c>
      <c r="B837" s="1">
        <v>41990</v>
      </c>
      <c r="C837" s="1">
        <v>41995</v>
      </c>
      <c r="D837" t="s">
        <v>1604</v>
      </c>
      <c r="E837" t="s">
        <v>592</v>
      </c>
      <c r="F837" t="s">
        <v>33</v>
      </c>
      <c r="G837" t="s">
        <v>829</v>
      </c>
      <c r="H837">
        <v>24.32</v>
      </c>
      <c r="I837">
        <v>5</v>
      </c>
      <c r="J837">
        <v>8.2080000000000002</v>
      </c>
      <c r="K837">
        <v>2014</v>
      </c>
      <c r="L837">
        <v>12</v>
      </c>
      <c r="M837" t="s">
        <v>41</v>
      </c>
      <c r="N837">
        <v>17</v>
      </c>
      <c r="O837">
        <v>5</v>
      </c>
      <c r="P837">
        <v>33.75</v>
      </c>
      <c r="Q837">
        <v>4.8639999999999999</v>
      </c>
      <c r="R837" t="s">
        <v>26</v>
      </c>
      <c r="S837" t="b">
        <v>0</v>
      </c>
      <c r="T837" t="b">
        <v>0</v>
      </c>
    </row>
    <row r="838" spans="1:20" x14ac:dyDescent="0.3">
      <c r="A838" t="s">
        <v>1603</v>
      </c>
      <c r="B838" s="1">
        <v>41990</v>
      </c>
      <c r="C838" s="1">
        <v>41995</v>
      </c>
      <c r="D838" t="s">
        <v>1604</v>
      </c>
      <c r="E838" t="s">
        <v>592</v>
      </c>
      <c r="F838" t="s">
        <v>29</v>
      </c>
      <c r="G838" t="s">
        <v>1605</v>
      </c>
      <c r="H838">
        <v>18.96</v>
      </c>
      <c r="I838">
        <v>2</v>
      </c>
      <c r="J838">
        <v>7.5839999999999996</v>
      </c>
      <c r="K838">
        <v>2014</v>
      </c>
      <c r="L838">
        <v>12</v>
      </c>
      <c r="M838" t="s">
        <v>41</v>
      </c>
      <c r="N838">
        <v>17</v>
      </c>
      <c r="O838">
        <v>5</v>
      </c>
      <c r="P838">
        <v>40</v>
      </c>
      <c r="Q838">
        <v>9.48</v>
      </c>
      <c r="R838" t="s">
        <v>26</v>
      </c>
      <c r="S838" t="b">
        <v>0</v>
      </c>
      <c r="T838" t="b">
        <v>0</v>
      </c>
    </row>
    <row r="839" spans="1:20" x14ac:dyDescent="0.3">
      <c r="A839" t="s">
        <v>1606</v>
      </c>
      <c r="B839" s="1">
        <v>40736</v>
      </c>
      <c r="C839" s="1">
        <v>40742</v>
      </c>
      <c r="D839" t="s">
        <v>497</v>
      </c>
      <c r="E839" t="s">
        <v>39</v>
      </c>
      <c r="F839" t="s">
        <v>110</v>
      </c>
      <c r="G839" t="s">
        <v>1607</v>
      </c>
      <c r="H839">
        <v>123.136</v>
      </c>
      <c r="I839">
        <v>4</v>
      </c>
      <c r="J839">
        <v>13.8528</v>
      </c>
      <c r="K839">
        <v>2011</v>
      </c>
      <c r="L839">
        <v>7</v>
      </c>
      <c r="M839" t="s">
        <v>66</v>
      </c>
      <c r="N839">
        <v>12</v>
      </c>
      <c r="O839">
        <v>6</v>
      </c>
      <c r="P839">
        <v>11.25</v>
      </c>
      <c r="Q839">
        <v>30.783999999999999</v>
      </c>
      <c r="R839" t="s">
        <v>26</v>
      </c>
      <c r="S839" t="b">
        <v>0</v>
      </c>
      <c r="T839" t="b">
        <v>0</v>
      </c>
    </row>
    <row r="840" spans="1:20" x14ac:dyDescent="0.3">
      <c r="A840" t="s">
        <v>1606</v>
      </c>
      <c r="B840" s="1">
        <v>40736</v>
      </c>
      <c r="C840" s="1">
        <v>40742</v>
      </c>
      <c r="D840" t="s">
        <v>497</v>
      </c>
      <c r="E840" t="s">
        <v>39</v>
      </c>
      <c r="F840" t="s">
        <v>33</v>
      </c>
      <c r="G840" t="s">
        <v>1608</v>
      </c>
      <c r="H840">
        <v>11.263999999999999</v>
      </c>
      <c r="I840">
        <v>4</v>
      </c>
      <c r="J840">
        <v>3.8016000000000001</v>
      </c>
      <c r="K840">
        <v>2011</v>
      </c>
      <c r="L840">
        <v>7</v>
      </c>
      <c r="M840" t="s">
        <v>66</v>
      </c>
      <c r="N840">
        <v>12</v>
      </c>
      <c r="O840">
        <v>6</v>
      </c>
      <c r="P840">
        <v>33.75</v>
      </c>
      <c r="Q840">
        <v>2.8159999999999998</v>
      </c>
      <c r="R840" t="s">
        <v>26</v>
      </c>
      <c r="S840" t="b">
        <v>0</v>
      </c>
      <c r="T840" t="b">
        <v>0</v>
      </c>
    </row>
    <row r="841" spans="1:20" x14ac:dyDescent="0.3">
      <c r="A841" t="s">
        <v>1609</v>
      </c>
      <c r="B841" s="1">
        <v>40883</v>
      </c>
      <c r="C841" s="1">
        <v>40888</v>
      </c>
      <c r="D841" t="s">
        <v>1610</v>
      </c>
      <c r="E841" t="s">
        <v>1088</v>
      </c>
      <c r="F841" t="s">
        <v>45</v>
      </c>
      <c r="G841" t="s">
        <v>558</v>
      </c>
      <c r="H841">
        <v>53.423999999999999</v>
      </c>
      <c r="I841">
        <v>3</v>
      </c>
      <c r="J841">
        <v>4.6745999999999999</v>
      </c>
      <c r="K841">
        <v>2011</v>
      </c>
      <c r="L841">
        <v>12</v>
      </c>
      <c r="M841" t="s">
        <v>41</v>
      </c>
      <c r="N841">
        <v>6</v>
      </c>
      <c r="O841">
        <v>5</v>
      </c>
      <c r="P841">
        <v>8.75</v>
      </c>
      <c r="Q841">
        <v>17.808</v>
      </c>
      <c r="R841" t="s">
        <v>26</v>
      </c>
      <c r="S841" t="b">
        <v>0</v>
      </c>
      <c r="T841" t="b">
        <v>0</v>
      </c>
    </row>
    <row r="842" spans="1:20" x14ac:dyDescent="0.3">
      <c r="A842" t="s">
        <v>1609</v>
      </c>
      <c r="B842" s="1">
        <v>40883</v>
      </c>
      <c r="C842" s="1">
        <v>40888</v>
      </c>
      <c r="D842" t="s">
        <v>1610</v>
      </c>
      <c r="E842" t="s">
        <v>1088</v>
      </c>
      <c r="F842" t="s">
        <v>174</v>
      </c>
      <c r="G842" t="s">
        <v>1611</v>
      </c>
      <c r="H842">
        <v>275.49</v>
      </c>
      <c r="I842">
        <v>1</v>
      </c>
      <c r="J842">
        <v>-170.8038</v>
      </c>
      <c r="K842">
        <v>2011</v>
      </c>
      <c r="L842">
        <v>12</v>
      </c>
      <c r="M842" t="s">
        <v>41</v>
      </c>
      <c r="N842">
        <v>6</v>
      </c>
      <c r="O842">
        <v>5</v>
      </c>
      <c r="P842">
        <v>-62</v>
      </c>
      <c r="Q842">
        <v>275.49</v>
      </c>
      <c r="R842" t="s">
        <v>26</v>
      </c>
      <c r="S842" t="b">
        <v>1</v>
      </c>
      <c r="T842" t="b">
        <v>1</v>
      </c>
    </row>
    <row r="843" spans="1:20" x14ac:dyDescent="0.3">
      <c r="A843" t="s">
        <v>1612</v>
      </c>
      <c r="B843" s="1">
        <v>41326</v>
      </c>
      <c r="C843" s="1">
        <v>41331</v>
      </c>
      <c r="D843" t="s">
        <v>1613</v>
      </c>
      <c r="E843" t="s">
        <v>22</v>
      </c>
      <c r="F843" t="s">
        <v>61</v>
      </c>
      <c r="G843" t="s">
        <v>1614</v>
      </c>
      <c r="H843">
        <v>12.99</v>
      </c>
      <c r="I843">
        <v>1</v>
      </c>
      <c r="J843">
        <v>0.77939999999999998</v>
      </c>
      <c r="K843">
        <v>2013</v>
      </c>
      <c r="L843">
        <v>2</v>
      </c>
      <c r="M843" t="s">
        <v>303</v>
      </c>
      <c r="N843">
        <v>21</v>
      </c>
      <c r="O843">
        <v>5</v>
      </c>
      <c r="P843">
        <v>6</v>
      </c>
      <c r="Q843">
        <v>12.99</v>
      </c>
      <c r="R843" t="s">
        <v>26</v>
      </c>
      <c r="S843" t="b">
        <v>0</v>
      </c>
      <c r="T843" t="b">
        <v>0</v>
      </c>
    </row>
    <row r="844" spans="1:20" x14ac:dyDescent="0.3">
      <c r="A844" t="s">
        <v>1612</v>
      </c>
      <c r="B844" s="1">
        <v>41326</v>
      </c>
      <c r="C844" s="1">
        <v>41331</v>
      </c>
      <c r="D844" t="s">
        <v>1613</v>
      </c>
      <c r="E844" t="s">
        <v>22</v>
      </c>
      <c r="F844" t="s">
        <v>33</v>
      </c>
      <c r="G844" t="s">
        <v>1591</v>
      </c>
      <c r="H844">
        <v>18.559999999999999</v>
      </c>
      <c r="I844">
        <v>4</v>
      </c>
      <c r="J844">
        <v>6.4960000000000004</v>
      </c>
      <c r="K844">
        <v>2013</v>
      </c>
      <c r="L844">
        <v>2</v>
      </c>
      <c r="M844" t="s">
        <v>303</v>
      </c>
      <c r="N844">
        <v>21</v>
      </c>
      <c r="O844">
        <v>5</v>
      </c>
      <c r="P844">
        <v>35</v>
      </c>
      <c r="Q844">
        <v>4.6399999999999997</v>
      </c>
      <c r="R844" t="s">
        <v>26</v>
      </c>
      <c r="S844" t="b">
        <v>0</v>
      </c>
      <c r="T844" t="b">
        <v>0</v>
      </c>
    </row>
    <row r="845" spans="1:20" x14ac:dyDescent="0.3">
      <c r="A845" t="s">
        <v>1612</v>
      </c>
      <c r="B845" s="1">
        <v>41326</v>
      </c>
      <c r="C845" s="1">
        <v>41331</v>
      </c>
      <c r="D845" t="s">
        <v>1613</v>
      </c>
      <c r="E845" t="s">
        <v>22</v>
      </c>
      <c r="F845" t="s">
        <v>45</v>
      </c>
      <c r="G845" t="s">
        <v>486</v>
      </c>
      <c r="H845">
        <v>449.15</v>
      </c>
      <c r="I845">
        <v>5</v>
      </c>
      <c r="J845">
        <v>8.9830000000000005</v>
      </c>
      <c r="K845">
        <v>2013</v>
      </c>
      <c r="L845">
        <v>2</v>
      </c>
      <c r="M845" t="s">
        <v>303</v>
      </c>
      <c r="N845">
        <v>21</v>
      </c>
      <c r="O845">
        <v>5</v>
      </c>
      <c r="P845">
        <v>2</v>
      </c>
      <c r="Q845">
        <v>89.83</v>
      </c>
      <c r="R845" t="s">
        <v>26</v>
      </c>
      <c r="S845" t="b">
        <v>0</v>
      </c>
      <c r="T845" t="b">
        <v>1</v>
      </c>
    </row>
    <row r="846" spans="1:20" x14ac:dyDescent="0.3">
      <c r="A846" t="s">
        <v>1612</v>
      </c>
      <c r="B846" s="1">
        <v>41326</v>
      </c>
      <c r="C846" s="1">
        <v>41331</v>
      </c>
      <c r="D846" t="s">
        <v>1613</v>
      </c>
      <c r="E846" t="s">
        <v>22</v>
      </c>
      <c r="F846" t="s">
        <v>33</v>
      </c>
      <c r="G846" t="s">
        <v>1615</v>
      </c>
      <c r="H846">
        <v>31.248000000000001</v>
      </c>
      <c r="I846">
        <v>7</v>
      </c>
      <c r="J846">
        <v>10.9368</v>
      </c>
      <c r="K846">
        <v>2013</v>
      </c>
      <c r="L846">
        <v>2</v>
      </c>
      <c r="M846" t="s">
        <v>303</v>
      </c>
      <c r="N846">
        <v>21</v>
      </c>
      <c r="O846">
        <v>5</v>
      </c>
      <c r="P846">
        <v>35</v>
      </c>
      <c r="Q846">
        <v>4.4640000000000004</v>
      </c>
      <c r="R846" t="s">
        <v>26</v>
      </c>
      <c r="S846" t="b">
        <v>0</v>
      </c>
      <c r="T846" t="b">
        <v>0</v>
      </c>
    </row>
    <row r="847" spans="1:20" x14ac:dyDescent="0.3">
      <c r="A847" t="s">
        <v>1616</v>
      </c>
      <c r="B847" s="1">
        <v>41527</v>
      </c>
      <c r="C847" s="1">
        <v>41531</v>
      </c>
      <c r="D847" t="s">
        <v>422</v>
      </c>
      <c r="E847" t="s">
        <v>1210</v>
      </c>
      <c r="F847" t="s">
        <v>33</v>
      </c>
      <c r="G847" t="s">
        <v>1617</v>
      </c>
      <c r="H847">
        <v>55.36</v>
      </c>
      <c r="I847">
        <v>4</v>
      </c>
      <c r="J847">
        <v>18.684000000000001</v>
      </c>
      <c r="K847">
        <v>2013</v>
      </c>
      <c r="L847">
        <v>9</v>
      </c>
      <c r="M847" t="s">
        <v>87</v>
      </c>
      <c r="N847">
        <v>10</v>
      </c>
      <c r="O847">
        <v>4</v>
      </c>
      <c r="P847">
        <v>33.75</v>
      </c>
      <c r="Q847">
        <v>13.84</v>
      </c>
      <c r="R847" t="s">
        <v>26</v>
      </c>
      <c r="S847" t="b">
        <v>0</v>
      </c>
      <c r="T847" t="b">
        <v>0</v>
      </c>
    </row>
    <row r="848" spans="1:20" x14ac:dyDescent="0.3">
      <c r="A848" t="s">
        <v>1618</v>
      </c>
      <c r="B848" s="1">
        <v>40738</v>
      </c>
      <c r="C848" s="1">
        <v>40745</v>
      </c>
      <c r="D848" t="s">
        <v>289</v>
      </c>
      <c r="E848" t="s">
        <v>105</v>
      </c>
      <c r="F848" t="s">
        <v>45</v>
      </c>
      <c r="G848" t="s">
        <v>1619</v>
      </c>
      <c r="H848">
        <v>55.92</v>
      </c>
      <c r="I848">
        <v>5</v>
      </c>
      <c r="J848">
        <v>6.2910000000000004</v>
      </c>
      <c r="K848">
        <v>2011</v>
      </c>
      <c r="L848">
        <v>7</v>
      </c>
      <c r="M848" t="s">
        <v>66</v>
      </c>
      <c r="N848">
        <v>14</v>
      </c>
      <c r="O848">
        <v>7</v>
      </c>
      <c r="P848">
        <v>11.25</v>
      </c>
      <c r="Q848">
        <v>11.183999999999999</v>
      </c>
      <c r="R848" t="s">
        <v>26</v>
      </c>
      <c r="S848" t="b">
        <v>0</v>
      </c>
      <c r="T848" t="b">
        <v>0</v>
      </c>
    </row>
    <row r="849" spans="1:20" x14ac:dyDescent="0.3">
      <c r="A849" t="s">
        <v>1620</v>
      </c>
      <c r="B849" s="1">
        <v>40840</v>
      </c>
      <c r="C849" s="1">
        <v>40845</v>
      </c>
      <c r="D849" t="s">
        <v>367</v>
      </c>
      <c r="E849" t="s">
        <v>1187</v>
      </c>
      <c r="F849" t="s">
        <v>33</v>
      </c>
      <c r="G849" t="s">
        <v>1621</v>
      </c>
      <c r="H849">
        <v>34.271999999999998</v>
      </c>
      <c r="I849">
        <v>3</v>
      </c>
      <c r="J849">
        <v>11.138400000000001</v>
      </c>
      <c r="K849">
        <v>2011</v>
      </c>
      <c r="L849">
        <v>10</v>
      </c>
      <c r="M849" t="s">
        <v>82</v>
      </c>
      <c r="N849">
        <v>24</v>
      </c>
      <c r="O849">
        <v>5</v>
      </c>
      <c r="P849">
        <v>32.5</v>
      </c>
      <c r="Q849">
        <v>11.423999999999999</v>
      </c>
      <c r="R849" t="s">
        <v>26</v>
      </c>
      <c r="S849" t="b">
        <v>0</v>
      </c>
      <c r="T849" t="b">
        <v>0</v>
      </c>
    </row>
    <row r="850" spans="1:20" x14ac:dyDescent="0.3">
      <c r="A850" t="s">
        <v>1622</v>
      </c>
      <c r="B850" s="1">
        <v>41747</v>
      </c>
      <c r="C850" s="1">
        <v>41753</v>
      </c>
      <c r="D850" t="s">
        <v>1623</v>
      </c>
      <c r="E850" t="s">
        <v>297</v>
      </c>
      <c r="F850" t="s">
        <v>33</v>
      </c>
      <c r="G850" t="s">
        <v>1624</v>
      </c>
      <c r="H850">
        <v>12.03</v>
      </c>
      <c r="I850">
        <v>5</v>
      </c>
      <c r="J850">
        <v>-9.2230000000000008</v>
      </c>
      <c r="K850">
        <v>2014</v>
      </c>
      <c r="L850">
        <v>4</v>
      </c>
      <c r="M850" t="s">
        <v>236</v>
      </c>
      <c r="N850">
        <v>18</v>
      </c>
      <c r="O850">
        <v>6</v>
      </c>
      <c r="P850">
        <v>-76.67</v>
      </c>
      <c r="Q850">
        <v>2.4060000000000001</v>
      </c>
      <c r="R850" t="s">
        <v>26</v>
      </c>
      <c r="S850" t="b">
        <v>1</v>
      </c>
      <c r="T850" t="b">
        <v>0</v>
      </c>
    </row>
    <row r="851" spans="1:20" x14ac:dyDescent="0.3">
      <c r="A851" t="s">
        <v>1622</v>
      </c>
      <c r="B851" s="1">
        <v>41747</v>
      </c>
      <c r="C851" s="1">
        <v>41753</v>
      </c>
      <c r="D851" t="s">
        <v>1623</v>
      </c>
      <c r="E851" t="s">
        <v>297</v>
      </c>
      <c r="F851" t="s">
        <v>33</v>
      </c>
      <c r="G851" t="s">
        <v>1625</v>
      </c>
      <c r="H851">
        <v>21.594000000000001</v>
      </c>
      <c r="I851">
        <v>2</v>
      </c>
      <c r="J851">
        <v>-15.835599999999999</v>
      </c>
      <c r="K851">
        <v>2014</v>
      </c>
      <c r="L851">
        <v>4</v>
      </c>
      <c r="M851" t="s">
        <v>236</v>
      </c>
      <c r="N851">
        <v>18</v>
      </c>
      <c r="O851">
        <v>6</v>
      </c>
      <c r="P851">
        <v>-73.33</v>
      </c>
      <c r="Q851">
        <v>10.797000000000001</v>
      </c>
      <c r="R851" t="s">
        <v>26</v>
      </c>
      <c r="S851" t="b">
        <v>1</v>
      </c>
      <c r="T851" t="b">
        <v>0</v>
      </c>
    </row>
    <row r="852" spans="1:20" x14ac:dyDescent="0.3">
      <c r="A852" t="s">
        <v>1622</v>
      </c>
      <c r="B852" s="1">
        <v>41747</v>
      </c>
      <c r="C852" s="1">
        <v>41753</v>
      </c>
      <c r="D852" t="s">
        <v>1623</v>
      </c>
      <c r="E852" t="s">
        <v>297</v>
      </c>
      <c r="F852" t="s">
        <v>33</v>
      </c>
      <c r="G852" t="s">
        <v>465</v>
      </c>
      <c r="H852">
        <v>8.9640000000000004</v>
      </c>
      <c r="I852">
        <v>6</v>
      </c>
      <c r="J852">
        <v>-6.5735999999999999</v>
      </c>
      <c r="K852">
        <v>2014</v>
      </c>
      <c r="L852">
        <v>4</v>
      </c>
      <c r="M852" t="s">
        <v>236</v>
      </c>
      <c r="N852">
        <v>18</v>
      </c>
      <c r="O852">
        <v>6</v>
      </c>
      <c r="P852">
        <v>-73.33</v>
      </c>
      <c r="Q852">
        <v>1.494</v>
      </c>
      <c r="R852" t="s">
        <v>26</v>
      </c>
      <c r="S852" t="b">
        <v>1</v>
      </c>
      <c r="T852" t="b">
        <v>0</v>
      </c>
    </row>
    <row r="853" spans="1:20" x14ac:dyDescent="0.3">
      <c r="A853" t="s">
        <v>1622</v>
      </c>
      <c r="B853" s="1">
        <v>41747</v>
      </c>
      <c r="C853" s="1">
        <v>41753</v>
      </c>
      <c r="D853" t="s">
        <v>1623</v>
      </c>
      <c r="E853" t="s">
        <v>297</v>
      </c>
      <c r="F853" t="s">
        <v>72</v>
      </c>
      <c r="G853" t="s">
        <v>414</v>
      </c>
      <c r="H853">
        <v>20.736000000000001</v>
      </c>
      <c r="I853">
        <v>4</v>
      </c>
      <c r="J853">
        <v>7.2576000000000001</v>
      </c>
      <c r="K853">
        <v>2014</v>
      </c>
      <c r="L853">
        <v>4</v>
      </c>
      <c r="M853" t="s">
        <v>236</v>
      </c>
      <c r="N853">
        <v>18</v>
      </c>
      <c r="O853">
        <v>6</v>
      </c>
      <c r="P853">
        <v>35</v>
      </c>
      <c r="Q853">
        <v>5.1840000000000002</v>
      </c>
      <c r="R853" t="s">
        <v>26</v>
      </c>
      <c r="S853" t="b">
        <v>0</v>
      </c>
      <c r="T853" t="b">
        <v>0</v>
      </c>
    </row>
    <row r="854" spans="1:20" x14ac:dyDescent="0.3">
      <c r="A854" t="s">
        <v>1626</v>
      </c>
      <c r="B854" s="1">
        <v>41221</v>
      </c>
      <c r="C854" s="1">
        <v>41227</v>
      </c>
      <c r="D854" t="s">
        <v>300</v>
      </c>
      <c r="E854" t="s">
        <v>44</v>
      </c>
      <c r="F854" t="s">
        <v>119</v>
      </c>
      <c r="G854" t="s">
        <v>1627</v>
      </c>
      <c r="H854">
        <v>5.04</v>
      </c>
      <c r="I854">
        <v>3</v>
      </c>
      <c r="J854">
        <v>0.2016</v>
      </c>
      <c r="K854">
        <v>2012</v>
      </c>
      <c r="L854">
        <v>11</v>
      </c>
      <c r="M854" t="s">
        <v>70</v>
      </c>
      <c r="N854">
        <v>8</v>
      </c>
      <c r="O854">
        <v>6</v>
      </c>
      <c r="P854">
        <v>4</v>
      </c>
      <c r="Q854">
        <v>1.68</v>
      </c>
      <c r="R854" t="s">
        <v>26</v>
      </c>
      <c r="S854" t="b">
        <v>0</v>
      </c>
      <c r="T854" t="b">
        <v>0</v>
      </c>
    </row>
    <row r="855" spans="1:20" x14ac:dyDescent="0.3">
      <c r="A855" t="s">
        <v>1626</v>
      </c>
      <c r="B855" s="1">
        <v>41221</v>
      </c>
      <c r="C855" s="1">
        <v>41227</v>
      </c>
      <c r="D855" t="s">
        <v>300</v>
      </c>
      <c r="E855" t="s">
        <v>44</v>
      </c>
      <c r="F855" t="s">
        <v>72</v>
      </c>
      <c r="G855" t="s">
        <v>1243</v>
      </c>
      <c r="H855">
        <v>92.94</v>
      </c>
      <c r="I855">
        <v>3</v>
      </c>
      <c r="J855">
        <v>41.823</v>
      </c>
      <c r="K855">
        <v>2012</v>
      </c>
      <c r="L855">
        <v>11</v>
      </c>
      <c r="M855" t="s">
        <v>70</v>
      </c>
      <c r="N855">
        <v>8</v>
      </c>
      <c r="O855">
        <v>6</v>
      </c>
      <c r="P855">
        <v>45</v>
      </c>
      <c r="Q855">
        <v>30.98</v>
      </c>
      <c r="R855" t="s">
        <v>26</v>
      </c>
      <c r="S855" t="b">
        <v>0</v>
      </c>
      <c r="T855" t="b">
        <v>0</v>
      </c>
    </row>
    <row r="856" spans="1:20" x14ac:dyDescent="0.3">
      <c r="A856" t="s">
        <v>1626</v>
      </c>
      <c r="B856" s="1">
        <v>41221</v>
      </c>
      <c r="C856" s="1">
        <v>41227</v>
      </c>
      <c r="D856" t="s">
        <v>300</v>
      </c>
      <c r="E856" t="s">
        <v>44</v>
      </c>
      <c r="F856" t="s">
        <v>29</v>
      </c>
      <c r="G856" t="s">
        <v>512</v>
      </c>
      <c r="H856">
        <v>66.69</v>
      </c>
      <c r="I856">
        <v>3</v>
      </c>
      <c r="J856">
        <v>22.0077</v>
      </c>
      <c r="K856">
        <v>2012</v>
      </c>
      <c r="L856">
        <v>11</v>
      </c>
      <c r="M856" t="s">
        <v>70</v>
      </c>
      <c r="N856">
        <v>8</v>
      </c>
      <c r="O856">
        <v>6</v>
      </c>
      <c r="P856">
        <v>33</v>
      </c>
      <c r="Q856">
        <v>22.23</v>
      </c>
      <c r="R856" t="s">
        <v>26</v>
      </c>
      <c r="S856" t="b">
        <v>0</v>
      </c>
      <c r="T856" t="b">
        <v>0</v>
      </c>
    </row>
    <row r="857" spans="1:20" x14ac:dyDescent="0.3">
      <c r="A857" t="s">
        <v>1626</v>
      </c>
      <c r="B857" s="1">
        <v>41221</v>
      </c>
      <c r="C857" s="1">
        <v>41227</v>
      </c>
      <c r="D857" t="s">
        <v>300</v>
      </c>
      <c r="E857" t="s">
        <v>44</v>
      </c>
      <c r="F857" t="s">
        <v>33</v>
      </c>
      <c r="G857" t="s">
        <v>836</v>
      </c>
      <c r="H857">
        <v>91.68</v>
      </c>
      <c r="I857">
        <v>5</v>
      </c>
      <c r="J857">
        <v>28.65</v>
      </c>
      <c r="K857">
        <v>2012</v>
      </c>
      <c r="L857">
        <v>11</v>
      </c>
      <c r="M857" t="s">
        <v>70</v>
      </c>
      <c r="N857">
        <v>8</v>
      </c>
      <c r="O857">
        <v>6</v>
      </c>
      <c r="P857">
        <v>31.25</v>
      </c>
      <c r="Q857">
        <v>18.335999999999999</v>
      </c>
      <c r="R857" t="s">
        <v>26</v>
      </c>
      <c r="S857" t="b">
        <v>0</v>
      </c>
      <c r="T857" t="b">
        <v>0</v>
      </c>
    </row>
    <row r="858" spans="1:20" x14ac:dyDescent="0.3">
      <c r="A858" t="s">
        <v>1628</v>
      </c>
      <c r="B858" s="1">
        <v>40779</v>
      </c>
      <c r="C858" s="1">
        <v>40779</v>
      </c>
      <c r="D858" t="s">
        <v>980</v>
      </c>
      <c r="E858" t="s">
        <v>1629</v>
      </c>
      <c r="F858" t="s">
        <v>33</v>
      </c>
      <c r="G858" t="s">
        <v>1630</v>
      </c>
      <c r="H858">
        <v>8.2880000000000003</v>
      </c>
      <c r="I858">
        <v>2</v>
      </c>
      <c r="J858">
        <v>2.6936</v>
      </c>
      <c r="K858">
        <v>2011</v>
      </c>
      <c r="L858">
        <v>8</v>
      </c>
      <c r="M858" t="s">
        <v>53</v>
      </c>
      <c r="N858">
        <v>24</v>
      </c>
      <c r="O858">
        <v>0</v>
      </c>
      <c r="P858">
        <v>32.5</v>
      </c>
      <c r="Q858">
        <v>4.1440000000000001</v>
      </c>
      <c r="R858" t="s">
        <v>26</v>
      </c>
      <c r="S858" t="b">
        <v>0</v>
      </c>
      <c r="T858" t="b">
        <v>0</v>
      </c>
    </row>
    <row r="859" spans="1:20" x14ac:dyDescent="0.3">
      <c r="A859" t="s">
        <v>1631</v>
      </c>
      <c r="B859" s="1">
        <v>41358</v>
      </c>
      <c r="C859" s="1">
        <v>41362</v>
      </c>
      <c r="D859" t="s">
        <v>1632</v>
      </c>
      <c r="E859" t="s">
        <v>1633</v>
      </c>
      <c r="F859" t="s">
        <v>54</v>
      </c>
      <c r="G859" t="s">
        <v>1634</v>
      </c>
      <c r="H859">
        <v>403.16800000000001</v>
      </c>
      <c r="I859">
        <v>4</v>
      </c>
      <c r="J859">
        <v>25.198</v>
      </c>
      <c r="K859">
        <v>2013</v>
      </c>
      <c r="L859">
        <v>3</v>
      </c>
      <c r="M859" t="s">
        <v>135</v>
      </c>
      <c r="N859">
        <v>25</v>
      </c>
      <c r="O859">
        <v>4</v>
      </c>
      <c r="P859">
        <v>6.25</v>
      </c>
      <c r="Q859">
        <v>100.792</v>
      </c>
      <c r="R859" t="s">
        <v>26</v>
      </c>
      <c r="S859" t="b">
        <v>0</v>
      </c>
      <c r="T859" t="b">
        <v>1</v>
      </c>
    </row>
    <row r="860" spans="1:20" x14ac:dyDescent="0.3">
      <c r="A860" t="s">
        <v>1635</v>
      </c>
      <c r="B860" s="1">
        <v>41600</v>
      </c>
      <c r="C860" s="1">
        <v>41605</v>
      </c>
      <c r="D860" t="s">
        <v>1636</v>
      </c>
      <c r="E860" t="s">
        <v>1633</v>
      </c>
      <c r="F860" t="s">
        <v>110</v>
      </c>
      <c r="G860" t="s">
        <v>1163</v>
      </c>
      <c r="H860">
        <v>195.136</v>
      </c>
      <c r="I860">
        <v>4</v>
      </c>
      <c r="J860">
        <v>-12.196</v>
      </c>
      <c r="K860">
        <v>2013</v>
      </c>
      <c r="L860">
        <v>11</v>
      </c>
      <c r="M860" t="s">
        <v>70</v>
      </c>
      <c r="N860">
        <v>22</v>
      </c>
      <c r="O860">
        <v>5</v>
      </c>
      <c r="P860">
        <v>-6.25</v>
      </c>
      <c r="Q860">
        <v>48.783999999999999</v>
      </c>
      <c r="R860" t="s">
        <v>26</v>
      </c>
      <c r="S860" t="b">
        <v>1</v>
      </c>
      <c r="T860" t="b">
        <v>0</v>
      </c>
    </row>
    <row r="861" spans="1:20" x14ac:dyDescent="0.3">
      <c r="A861" t="s">
        <v>1637</v>
      </c>
      <c r="B861" s="1">
        <v>41916</v>
      </c>
      <c r="C861" s="1">
        <v>41921</v>
      </c>
      <c r="D861" t="s">
        <v>1638</v>
      </c>
      <c r="E861" t="s">
        <v>763</v>
      </c>
      <c r="F861" t="s">
        <v>174</v>
      </c>
      <c r="G861" t="s">
        <v>1639</v>
      </c>
      <c r="H861">
        <v>171.28800000000001</v>
      </c>
      <c r="I861">
        <v>3</v>
      </c>
      <c r="J861">
        <v>-6.4233000000000002</v>
      </c>
      <c r="K861">
        <v>2014</v>
      </c>
      <c r="L861">
        <v>10</v>
      </c>
      <c r="M861" t="s">
        <v>82</v>
      </c>
      <c r="N861">
        <v>4</v>
      </c>
      <c r="O861">
        <v>5</v>
      </c>
      <c r="P861">
        <v>-3.75</v>
      </c>
      <c r="Q861">
        <v>57.095999999999997</v>
      </c>
      <c r="R861" t="s">
        <v>26</v>
      </c>
      <c r="S861" t="b">
        <v>1</v>
      </c>
      <c r="T861" t="b">
        <v>0</v>
      </c>
    </row>
    <row r="862" spans="1:20" x14ac:dyDescent="0.3">
      <c r="A862" t="s">
        <v>1640</v>
      </c>
      <c r="B862" s="1">
        <v>41894</v>
      </c>
      <c r="C862" s="1">
        <v>41895</v>
      </c>
      <c r="D862" t="s">
        <v>1224</v>
      </c>
      <c r="E862" t="s">
        <v>231</v>
      </c>
      <c r="F862" t="s">
        <v>72</v>
      </c>
      <c r="G862" t="s">
        <v>750</v>
      </c>
      <c r="H862">
        <v>12.96</v>
      </c>
      <c r="I862">
        <v>2</v>
      </c>
      <c r="J862">
        <v>6.2207999999999997</v>
      </c>
      <c r="K862">
        <v>2014</v>
      </c>
      <c r="L862">
        <v>9</v>
      </c>
      <c r="M862" t="s">
        <v>87</v>
      </c>
      <c r="N862">
        <v>12</v>
      </c>
      <c r="O862">
        <v>1</v>
      </c>
      <c r="P862">
        <v>48</v>
      </c>
      <c r="Q862">
        <v>6.48</v>
      </c>
      <c r="R862" t="s">
        <v>26</v>
      </c>
      <c r="S862" t="b">
        <v>0</v>
      </c>
      <c r="T862" t="b">
        <v>0</v>
      </c>
    </row>
    <row r="863" spans="1:20" x14ac:dyDescent="0.3">
      <c r="A863" t="s">
        <v>1640</v>
      </c>
      <c r="B863" s="1">
        <v>41894</v>
      </c>
      <c r="C863" s="1">
        <v>41895</v>
      </c>
      <c r="D863" t="s">
        <v>1224</v>
      </c>
      <c r="E863" t="s">
        <v>231</v>
      </c>
      <c r="F863" t="s">
        <v>128</v>
      </c>
      <c r="G863" t="s">
        <v>1641</v>
      </c>
      <c r="H863">
        <v>22.18</v>
      </c>
      <c r="I863">
        <v>2</v>
      </c>
      <c r="J863">
        <v>10.8682</v>
      </c>
      <c r="K863">
        <v>2014</v>
      </c>
      <c r="L863">
        <v>9</v>
      </c>
      <c r="M863" t="s">
        <v>87</v>
      </c>
      <c r="N863">
        <v>12</v>
      </c>
      <c r="O863">
        <v>1</v>
      </c>
      <c r="P863">
        <v>49</v>
      </c>
      <c r="Q863">
        <v>11.09</v>
      </c>
      <c r="R863" t="s">
        <v>26</v>
      </c>
      <c r="S863" t="b">
        <v>0</v>
      </c>
      <c r="T863" t="b">
        <v>0</v>
      </c>
    </row>
    <row r="864" spans="1:20" x14ac:dyDescent="0.3">
      <c r="A864" t="s">
        <v>1642</v>
      </c>
      <c r="B864" s="1">
        <v>40816</v>
      </c>
      <c r="C864" s="1">
        <v>40820</v>
      </c>
      <c r="D864" t="s">
        <v>239</v>
      </c>
      <c r="E864" t="s">
        <v>39</v>
      </c>
      <c r="F864" t="s">
        <v>33</v>
      </c>
      <c r="G864" t="s">
        <v>34</v>
      </c>
      <c r="H864">
        <v>43.176000000000002</v>
      </c>
      <c r="I864">
        <v>7</v>
      </c>
      <c r="J864">
        <v>13.4925</v>
      </c>
      <c r="K864">
        <v>2011</v>
      </c>
      <c r="L864">
        <v>9</v>
      </c>
      <c r="M864" t="s">
        <v>87</v>
      </c>
      <c r="N864">
        <v>30</v>
      </c>
      <c r="O864">
        <v>4</v>
      </c>
      <c r="P864">
        <v>31.25</v>
      </c>
      <c r="Q864">
        <v>6.1680000000000001</v>
      </c>
      <c r="R864" t="s">
        <v>26</v>
      </c>
      <c r="S864" t="b">
        <v>0</v>
      </c>
      <c r="T864" t="b">
        <v>0</v>
      </c>
    </row>
    <row r="865" spans="1:20" x14ac:dyDescent="0.3">
      <c r="A865" t="s">
        <v>1643</v>
      </c>
      <c r="B865" s="1">
        <v>41919</v>
      </c>
      <c r="C865" s="1">
        <v>41924</v>
      </c>
      <c r="D865" t="s">
        <v>493</v>
      </c>
      <c r="E865" t="s">
        <v>1644</v>
      </c>
      <c r="F865" t="s">
        <v>29</v>
      </c>
      <c r="G865" t="s">
        <v>1645</v>
      </c>
      <c r="H865">
        <v>41.96</v>
      </c>
      <c r="I865">
        <v>2</v>
      </c>
      <c r="J865">
        <v>2.9371999999999998</v>
      </c>
      <c r="K865">
        <v>2014</v>
      </c>
      <c r="L865">
        <v>10</v>
      </c>
      <c r="M865" t="s">
        <v>82</v>
      </c>
      <c r="N865">
        <v>7</v>
      </c>
      <c r="O865">
        <v>5</v>
      </c>
      <c r="P865">
        <v>7</v>
      </c>
      <c r="Q865">
        <v>20.98</v>
      </c>
      <c r="R865" t="s">
        <v>26</v>
      </c>
      <c r="S865" t="b">
        <v>0</v>
      </c>
      <c r="T865" t="b">
        <v>0</v>
      </c>
    </row>
    <row r="866" spans="1:20" x14ac:dyDescent="0.3">
      <c r="A866" t="s">
        <v>1643</v>
      </c>
      <c r="B866" s="1">
        <v>41919</v>
      </c>
      <c r="C866" s="1">
        <v>41924</v>
      </c>
      <c r="D866" t="s">
        <v>493</v>
      </c>
      <c r="E866" t="s">
        <v>1644</v>
      </c>
      <c r="F866" t="s">
        <v>35</v>
      </c>
      <c r="G866" t="s">
        <v>1646</v>
      </c>
      <c r="H866">
        <v>227.84</v>
      </c>
      <c r="I866">
        <v>4</v>
      </c>
      <c r="J866">
        <v>66.073599999999999</v>
      </c>
      <c r="K866">
        <v>2014</v>
      </c>
      <c r="L866">
        <v>10</v>
      </c>
      <c r="M866" t="s">
        <v>82</v>
      </c>
      <c r="N866">
        <v>7</v>
      </c>
      <c r="O866">
        <v>5</v>
      </c>
      <c r="P866">
        <v>29</v>
      </c>
      <c r="Q866">
        <v>56.96</v>
      </c>
      <c r="R866" t="s">
        <v>26</v>
      </c>
      <c r="S866" t="b">
        <v>0</v>
      </c>
      <c r="T866" t="b">
        <v>1</v>
      </c>
    </row>
    <row r="867" spans="1:20" x14ac:dyDescent="0.3">
      <c r="A867" t="s">
        <v>1643</v>
      </c>
      <c r="B867" s="1">
        <v>41919</v>
      </c>
      <c r="C867" s="1">
        <v>41924</v>
      </c>
      <c r="D867" t="s">
        <v>493</v>
      </c>
      <c r="E867" t="s">
        <v>1644</v>
      </c>
      <c r="F867" t="s">
        <v>72</v>
      </c>
      <c r="G867" t="s">
        <v>1181</v>
      </c>
      <c r="H867">
        <v>37.94</v>
      </c>
      <c r="I867">
        <v>2</v>
      </c>
      <c r="J867">
        <v>18.211200000000002</v>
      </c>
      <c r="K867">
        <v>2014</v>
      </c>
      <c r="L867">
        <v>10</v>
      </c>
      <c r="M867" t="s">
        <v>82</v>
      </c>
      <c r="N867">
        <v>7</v>
      </c>
      <c r="O867">
        <v>5</v>
      </c>
      <c r="P867">
        <v>48</v>
      </c>
      <c r="Q867">
        <v>18.97</v>
      </c>
      <c r="R867" t="s">
        <v>26</v>
      </c>
      <c r="S867" t="b">
        <v>0</v>
      </c>
      <c r="T867" t="b">
        <v>0</v>
      </c>
    </row>
    <row r="868" spans="1:20" x14ac:dyDescent="0.3">
      <c r="A868" t="s">
        <v>1647</v>
      </c>
      <c r="B868" s="1">
        <v>41932</v>
      </c>
      <c r="C868" s="1">
        <v>41937</v>
      </c>
      <c r="D868" t="s">
        <v>963</v>
      </c>
      <c r="E868" t="s">
        <v>51</v>
      </c>
      <c r="F868" t="s">
        <v>128</v>
      </c>
      <c r="G868" t="s">
        <v>1648</v>
      </c>
      <c r="H868">
        <v>8.9600000000000009</v>
      </c>
      <c r="I868">
        <v>2</v>
      </c>
      <c r="J868">
        <v>4.3007999999999997</v>
      </c>
      <c r="K868">
        <v>2014</v>
      </c>
      <c r="L868">
        <v>10</v>
      </c>
      <c r="M868" t="s">
        <v>82</v>
      </c>
      <c r="N868">
        <v>20</v>
      </c>
      <c r="O868">
        <v>5</v>
      </c>
      <c r="P868">
        <v>48</v>
      </c>
      <c r="Q868">
        <v>4.4800000000000004</v>
      </c>
      <c r="R868" t="s">
        <v>26</v>
      </c>
      <c r="S868" t="b">
        <v>0</v>
      </c>
      <c r="T868" t="b">
        <v>0</v>
      </c>
    </row>
    <row r="869" spans="1:20" x14ac:dyDescent="0.3">
      <c r="A869" t="s">
        <v>1647</v>
      </c>
      <c r="B869" s="1">
        <v>41932</v>
      </c>
      <c r="C869" s="1">
        <v>41937</v>
      </c>
      <c r="D869" t="s">
        <v>963</v>
      </c>
      <c r="E869" t="s">
        <v>51</v>
      </c>
      <c r="F869" t="s">
        <v>23</v>
      </c>
      <c r="G869" t="s">
        <v>922</v>
      </c>
      <c r="H869">
        <v>31.5</v>
      </c>
      <c r="I869">
        <v>10</v>
      </c>
      <c r="J869">
        <v>15.12</v>
      </c>
      <c r="K869">
        <v>2014</v>
      </c>
      <c r="L869">
        <v>10</v>
      </c>
      <c r="M869" t="s">
        <v>82</v>
      </c>
      <c r="N869">
        <v>20</v>
      </c>
      <c r="O869">
        <v>5</v>
      </c>
      <c r="P869">
        <v>48</v>
      </c>
      <c r="Q869">
        <v>3.15</v>
      </c>
      <c r="R869" t="s">
        <v>26</v>
      </c>
      <c r="S869" t="b">
        <v>0</v>
      </c>
      <c r="T869" t="b">
        <v>0</v>
      </c>
    </row>
    <row r="870" spans="1:20" x14ac:dyDescent="0.3">
      <c r="A870" t="s">
        <v>1647</v>
      </c>
      <c r="B870" s="1">
        <v>41932</v>
      </c>
      <c r="C870" s="1">
        <v>41937</v>
      </c>
      <c r="D870" t="s">
        <v>963</v>
      </c>
      <c r="E870" t="s">
        <v>51</v>
      </c>
      <c r="F870" t="s">
        <v>29</v>
      </c>
      <c r="G870" t="s">
        <v>1649</v>
      </c>
      <c r="H870">
        <v>30.56</v>
      </c>
      <c r="I870">
        <v>2</v>
      </c>
      <c r="J870">
        <v>10.3904</v>
      </c>
      <c r="K870">
        <v>2014</v>
      </c>
      <c r="L870">
        <v>10</v>
      </c>
      <c r="M870" t="s">
        <v>82</v>
      </c>
      <c r="N870">
        <v>20</v>
      </c>
      <c r="O870">
        <v>5</v>
      </c>
      <c r="P870">
        <v>34</v>
      </c>
      <c r="Q870">
        <v>15.28</v>
      </c>
      <c r="R870" t="s">
        <v>26</v>
      </c>
      <c r="S870" t="b">
        <v>0</v>
      </c>
      <c r="T870" t="b">
        <v>0</v>
      </c>
    </row>
    <row r="871" spans="1:20" x14ac:dyDescent="0.3">
      <c r="A871" t="s">
        <v>1647</v>
      </c>
      <c r="B871" s="1">
        <v>41932</v>
      </c>
      <c r="C871" s="1">
        <v>41937</v>
      </c>
      <c r="D871" t="s">
        <v>963</v>
      </c>
      <c r="E871" t="s">
        <v>51</v>
      </c>
      <c r="F871" t="s">
        <v>174</v>
      </c>
      <c r="G871" t="s">
        <v>1650</v>
      </c>
      <c r="H871">
        <v>24.367999999999999</v>
      </c>
      <c r="I871">
        <v>2</v>
      </c>
      <c r="J871">
        <v>-3.3506</v>
      </c>
      <c r="K871">
        <v>2014</v>
      </c>
      <c r="L871">
        <v>10</v>
      </c>
      <c r="M871" t="s">
        <v>82</v>
      </c>
      <c r="N871">
        <v>20</v>
      </c>
      <c r="O871">
        <v>5</v>
      </c>
      <c r="P871">
        <v>-13.75</v>
      </c>
      <c r="Q871">
        <v>12.183999999999999</v>
      </c>
      <c r="R871" t="s">
        <v>26</v>
      </c>
      <c r="S871" t="b">
        <v>1</v>
      </c>
      <c r="T871" t="b">
        <v>0</v>
      </c>
    </row>
    <row r="872" spans="1:20" x14ac:dyDescent="0.3">
      <c r="A872" t="s">
        <v>1651</v>
      </c>
      <c r="B872" s="1">
        <v>41712</v>
      </c>
      <c r="C872" s="1">
        <v>41717</v>
      </c>
      <c r="D872" t="s">
        <v>1652</v>
      </c>
      <c r="E872" t="s">
        <v>1364</v>
      </c>
      <c r="F872" t="s">
        <v>45</v>
      </c>
      <c r="G872" t="s">
        <v>1653</v>
      </c>
      <c r="H872">
        <v>90.8</v>
      </c>
      <c r="I872">
        <v>8</v>
      </c>
      <c r="J872">
        <v>25.423999999999999</v>
      </c>
      <c r="K872">
        <v>2014</v>
      </c>
      <c r="L872">
        <v>3</v>
      </c>
      <c r="M872" t="s">
        <v>135</v>
      </c>
      <c r="N872">
        <v>14</v>
      </c>
      <c r="O872">
        <v>5</v>
      </c>
      <c r="P872">
        <v>28</v>
      </c>
      <c r="Q872">
        <v>11.35</v>
      </c>
      <c r="R872" t="s">
        <v>26</v>
      </c>
      <c r="S872" t="b">
        <v>0</v>
      </c>
      <c r="T872" t="b">
        <v>0</v>
      </c>
    </row>
    <row r="873" spans="1:20" x14ac:dyDescent="0.3">
      <c r="A873" t="s">
        <v>1651</v>
      </c>
      <c r="B873" s="1">
        <v>41712</v>
      </c>
      <c r="C873" s="1">
        <v>41717</v>
      </c>
      <c r="D873" t="s">
        <v>1652</v>
      </c>
      <c r="E873" t="s">
        <v>1364</v>
      </c>
      <c r="F873" t="s">
        <v>54</v>
      </c>
      <c r="G873" t="s">
        <v>1654</v>
      </c>
      <c r="H873">
        <v>140.73599999999999</v>
      </c>
      <c r="I873">
        <v>8</v>
      </c>
      <c r="J873">
        <v>49.257599999999996</v>
      </c>
      <c r="K873">
        <v>2014</v>
      </c>
      <c r="L873">
        <v>3</v>
      </c>
      <c r="M873" t="s">
        <v>135</v>
      </c>
      <c r="N873">
        <v>14</v>
      </c>
      <c r="O873">
        <v>5</v>
      </c>
      <c r="P873">
        <v>35</v>
      </c>
      <c r="Q873">
        <v>17.591999999999999</v>
      </c>
      <c r="R873" t="s">
        <v>26</v>
      </c>
      <c r="S873" t="b">
        <v>0</v>
      </c>
      <c r="T873" t="b">
        <v>0</v>
      </c>
    </row>
    <row r="874" spans="1:20" x14ac:dyDescent="0.3">
      <c r="A874" t="s">
        <v>1651</v>
      </c>
      <c r="B874" s="1">
        <v>41712</v>
      </c>
      <c r="C874" s="1">
        <v>41717</v>
      </c>
      <c r="D874" t="s">
        <v>1652</v>
      </c>
      <c r="E874" t="s">
        <v>1364</v>
      </c>
      <c r="F874" t="s">
        <v>61</v>
      </c>
      <c r="G874" t="s">
        <v>1655</v>
      </c>
      <c r="H874">
        <v>214.95</v>
      </c>
      <c r="I874">
        <v>5</v>
      </c>
      <c r="J874">
        <v>88.129499999999993</v>
      </c>
      <c r="K874">
        <v>2014</v>
      </c>
      <c r="L874">
        <v>3</v>
      </c>
      <c r="M874" t="s">
        <v>135</v>
      </c>
      <c r="N874">
        <v>14</v>
      </c>
      <c r="O874">
        <v>5</v>
      </c>
      <c r="P874">
        <v>41</v>
      </c>
      <c r="Q874">
        <v>42.989999999999988</v>
      </c>
      <c r="R874" t="s">
        <v>26</v>
      </c>
      <c r="S874" t="b">
        <v>0</v>
      </c>
      <c r="T874" t="b">
        <v>0</v>
      </c>
    </row>
    <row r="875" spans="1:20" x14ac:dyDescent="0.3">
      <c r="A875" t="s">
        <v>1651</v>
      </c>
      <c r="B875" s="1">
        <v>41712</v>
      </c>
      <c r="C875" s="1">
        <v>41717</v>
      </c>
      <c r="D875" t="s">
        <v>1652</v>
      </c>
      <c r="E875" t="s">
        <v>1364</v>
      </c>
      <c r="F875" t="s">
        <v>72</v>
      </c>
      <c r="G875" t="s">
        <v>1656</v>
      </c>
      <c r="H875">
        <v>45.36</v>
      </c>
      <c r="I875">
        <v>7</v>
      </c>
      <c r="J875">
        <v>21.7728</v>
      </c>
      <c r="K875">
        <v>2014</v>
      </c>
      <c r="L875">
        <v>3</v>
      </c>
      <c r="M875" t="s">
        <v>135</v>
      </c>
      <c r="N875">
        <v>14</v>
      </c>
      <c r="O875">
        <v>5</v>
      </c>
      <c r="P875">
        <v>48</v>
      </c>
      <c r="Q875">
        <v>6.48</v>
      </c>
      <c r="R875" t="s">
        <v>26</v>
      </c>
      <c r="S875" t="b">
        <v>0</v>
      </c>
      <c r="T875" t="b">
        <v>0</v>
      </c>
    </row>
    <row r="876" spans="1:20" x14ac:dyDescent="0.3">
      <c r="A876" t="s">
        <v>1651</v>
      </c>
      <c r="B876" s="1">
        <v>41712</v>
      </c>
      <c r="C876" s="1">
        <v>41717</v>
      </c>
      <c r="D876" t="s">
        <v>1652</v>
      </c>
      <c r="E876" t="s">
        <v>1364</v>
      </c>
      <c r="F876" t="s">
        <v>72</v>
      </c>
      <c r="G876" t="s">
        <v>1476</v>
      </c>
      <c r="H876">
        <v>288.24</v>
      </c>
      <c r="I876">
        <v>6</v>
      </c>
      <c r="J876">
        <v>138.3552</v>
      </c>
      <c r="K876">
        <v>2014</v>
      </c>
      <c r="L876">
        <v>3</v>
      </c>
      <c r="M876" t="s">
        <v>135</v>
      </c>
      <c r="N876">
        <v>14</v>
      </c>
      <c r="O876">
        <v>5</v>
      </c>
      <c r="P876">
        <v>48</v>
      </c>
      <c r="Q876">
        <v>48.04</v>
      </c>
      <c r="R876" t="s">
        <v>26</v>
      </c>
      <c r="S876" t="b">
        <v>0</v>
      </c>
      <c r="T876" t="b">
        <v>1</v>
      </c>
    </row>
    <row r="877" spans="1:20" x14ac:dyDescent="0.3">
      <c r="A877" t="s">
        <v>1657</v>
      </c>
      <c r="B877" s="1">
        <v>41277</v>
      </c>
      <c r="C877" s="1">
        <v>41279</v>
      </c>
      <c r="D877" t="s">
        <v>417</v>
      </c>
      <c r="E877" t="s">
        <v>22</v>
      </c>
      <c r="F877" t="s">
        <v>45</v>
      </c>
      <c r="G877" t="s">
        <v>1658</v>
      </c>
      <c r="H877">
        <v>114.46</v>
      </c>
      <c r="I877">
        <v>2</v>
      </c>
      <c r="J877">
        <v>28.614999999999998</v>
      </c>
      <c r="K877">
        <v>2013</v>
      </c>
      <c r="L877">
        <v>1</v>
      </c>
      <c r="M877" t="s">
        <v>60</v>
      </c>
      <c r="N877">
        <v>3</v>
      </c>
      <c r="O877">
        <v>2</v>
      </c>
      <c r="P877">
        <v>25</v>
      </c>
      <c r="Q877">
        <v>57.23</v>
      </c>
      <c r="R877" t="s">
        <v>26</v>
      </c>
      <c r="S877" t="b">
        <v>0</v>
      </c>
      <c r="T877" t="b">
        <v>0</v>
      </c>
    </row>
    <row r="878" spans="1:20" x14ac:dyDescent="0.3">
      <c r="A878" t="s">
        <v>1659</v>
      </c>
      <c r="B878" s="1">
        <v>41185</v>
      </c>
      <c r="C878" s="1">
        <v>41190</v>
      </c>
      <c r="D878" t="s">
        <v>172</v>
      </c>
      <c r="E878" t="s">
        <v>22</v>
      </c>
      <c r="F878" t="s">
        <v>317</v>
      </c>
      <c r="G878" t="s">
        <v>1146</v>
      </c>
      <c r="H878">
        <v>120.666</v>
      </c>
      <c r="I878">
        <v>2</v>
      </c>
      <c r="J878">
        <v>18.454799999999999</v>
      </c>
      <c r="K878">
        <v>2012</v>
      </c>
      <c r="L878">
        <v>10</v>
      </c>
      <c r="M878" t="s">
        <v>82</v>
      </c>
      <c r="N878">
        <v>3</v>
      </c>
      <c r="O878">
        <v>5</v>
      </c>
      <c r="P878">
        <v>15.29</v>
      </c>
      <c r="Q878">
        <v>60.332999999999998</v>
      </c>
      <c r="R878" t="s">
        <v>26</v>
      </c>
      <c r="S878" t="b">
        <v>0</v>
      </c>
      <c r="T878" t="b">
        <v>0</v>
      </c>
    </row>
    <row r="879" spans="1:20" x14ac:dyDescent="0.3">
      <c r="A879" t="s">
        <v>1660</v>
      </c>
      <c r="B879" s="1">
        <v>40684</v>
      </c>
      <c r="C879" s="1">
        <v>40688</v>
      </c>
      <c r="D879" t="s">
        <v>718</v>
      </c>
      <c r="E879" t="s">
        <v>194</v>
      </c>
      <c r="F879" t="s">
        <v>31</v>
      </c>
      <c r="G879" t="s">
        <v>886</v>
      </c>
      <c r="H879">
        <v>31.84</v>
      </c>
      <c r="I879">
        <v>8</v>
      </c>
      <c r="J879">
        <v>10.507199999999999</v>
      </c>
      <c r="K879">
        <v>2011</v>
      </c>
      <c r="L879">
        <v>5</v>
      </c>
      <c r="M879" t="s">
        <v>47</v>
      </c>
      <c r="N879">
        <v>21</v>
      </c>
      <c r="O879">
        <v>4</v>
      </c>
      <c r="P879">
        <v>33</v>
      </c>
      <c r="Q879">
        <v>3.98</v>
      </c>
      <c r="R879" t="s">
        <v>26</v>
      </c>
      <c r="S879" t="b">
        <v>0</v>
      </c>
      <c r="T879" t="b">
        <v>0</v>
      </c>
    </row>
    <row r="880" spans="1:20" x14ac:dyDescent="0.3">
      <c r="A880" t="s">
        <v>1661</v>
      </c>
      <c r="B880" s="1">
        <v>41887</v>
      </c>
      <c r="C880" s="1">
        <v>41888</v>
      </c>
      <c r="D880" t="s">
        <v>1662</v>
      </c>
      <c r="E880" t="s">
        <v>1663</v>
      </c>
      <c r="F880" t="s">
        <v>72</v>
      </c>
      <c r="G880" t="s">
        <v>715</v>
      </c>
      <c r="H880">
        <v>12.96</v>
      </c>
      <c r="I880">
        <v>2</v>
      </c>
      <c r="J880">
        <v>6.2207999999999997</v>
      </c>
      <c r="K880">
        <v>2014</v>
      </c>
      <c r="L880">
        <v>9</v>
      </c>
      <c r="M880" t="s">
        <v>87</v>
      </c>
      <c r="N880">
        <v>5</v>
      </c>
      <c r="O880">
        <v>1</v>
      </c>
      <c r="P880">
        <v>48</v>
      </c>
      <c r="Q880">
        <v>6.48</v>
      </c>
      <c r="R880" t="s">
        <v>26</v>
      </c>
      <c r="S880" t="b">
        <v>0</v>
      </c>
      <c r="T880" t="b">
        <v>0</v>
      </c>
    </row>
    <row r="881" spans="1:20" x14ac:dyDescent="0.3">
      <c r="A881" t="s">
        <v>1661</v>
      </c>
      <c r="B881" s="1">
        <v>41887</v>
      </c>
      <c r="C881" s="1">
        <v>41888</v>
      </c>
      <c r="D881" t="s">
        <v>1662</v>
      </c>
      <c r="E881" t="s">
        <v>1663</v>
      </c>
      <c r="F881" t="s">
        <v>54</v>
      </c>
      <c r="G881" t="s">
        <v>1664</v>
      </c>
      <c r="H881">
        <v>43.176000000000002</v>
      </c>
      <c r="I881">
        <v>3</v>
      </c>
      <c r="J881">
        <v>15.111599999999999</v>
      </c>
      <c r="K881">
        <v>2014</v>
      </c>
      <c r="L881">
        <v>9</v>
      </c>
      <c r="M881" t="s">
        <v>87</v>
      </c>
      <c r="N881">
        <v>5</v>
      </c>
      <c r="O881">
        <v>1</v>
      </c>
      <c r="P881">
        <v>35</v>
      </c>
      <c r="Q881">
        <v>14.391999999999999</v>
      </c>
      <c r="R881" t="s">
        <v>26</v>
      </c>
      <c r="S881" t="b">
        <v>0</v>
      </c>
      <c r="T881" t="b">
        <v>0</v>
      </c>
    </row>
    <row r="882" spans="1:20" x14ac:dyDescent="0.3">
      <c r="A882" t="s">
        <v>1665</v>
      </c>
      <c r="B882" s="1">
        <v>41510</v>
      </c>
      <c r="C882" s="1">
        <v>41517</v>
      </c>
      <c r="D882" t="s">
        <v>1666</v>
      </c>
      <c r="E882" t="s">
        <v>39</v>
      </c>
      <c r="F882" t="s">
        <v>128</v>
      </c>
      <c r="G882" t="s">
        <v>1667</v>
      </c>
      <c r="H882">
        <v>135.9</v>
      </c>
      <c r="I882">
        <v>5</v>
      </c>
      <c r="J882">
        <v>63.872999999999998</v>
      </c>
      <c r="K882">
        <v>2013</v>
      </c>
      <c r="L882">
        <v>8</v>
      </c>
      <c r="M882" t="s">
        <v>53</v>
      </c>
      <c r="N882">
        <v>24</v>
      </c>
      <c r="O882">
        <v>7</v>
      </c>
      <c r="P882">
        <v>47</v>
      </c>
      <c r="Q882">
        <v>27.18</v>
      </c>
      <c r="R882" t="s">
        <v>26</v>
      </c>
      <c r="S882" t="b">
        <v>0</v>
      </c>
      <c r="T882" t="b">
        <v>0</v>
      </c>
    </row>
    <row r="883" spans="1:20" x14ac:dyDescent="0.3">
      <c r="A883" t="s">
        <v>1665</v>
      </c>
      <c r="B883" s="1">
        <v>41510</v>
      </c>
      <c r="C883" s="1">
        <v>41517</v>
      </c>
      <c r="D883" t="s">
        <v>1666</v>
      </c>
      <c r="E883" t="s">
        <v>39</v>
      </c>
      <c r="F883" t="s">
        <v>72</v>
      </c>
      <c r="G883" t="s">
        <v>1595</v>
      </c>
      <c r="H883">
        <v>34.68</v>
      </c>
      <c r="I883">
        <v>6</v>
      </c>
      <c r="J883">
        <v>16.993200000000002</v>
      </c>
      <c r="K883">
        <v>2013</v>
      </c>
      <c r="L883">
        <v>8</v>
      </c>
      <c r="M883" t="s">
        <v>53</v>
      </c>
      <c r="N883">
        <v>24</v>
      </c>
      <c r="O883">
        <v>7</v>
      </c>
      <c r="P883">
        <v>49</v>
      </c>
      <c r="Q883">
        <v>5.78</v>
      </c>
      <c r="R883" t="s">
        <v>26</v>
      </c>
      <c r="S883" t="b">
        <v>0</v>
      </c>
      <c r="T883" t="b">
        <v>0</v>
      </c>
    </row>
    <row r="884" spans="1:20" x14ac:dyDescent="0.3">
      <c r="A884" t="s">
        <v>1665</v>
      </c>
      <c r="B884" s="1">
        <v>41510</v>
      </c>
      <c r="C884" s="1">
        <v>41517</v>
      </c>
      <c r="D884" t="s">
        <v>1666</v>
      </c>
      <c r="E884" t="s">
        <v>39</v>
      </c>
      <c r="F884" t="s">
        <v>35</v>
      </c>
      <c r="G884" t="s">
        <v>1276</v>
      </c>
      <c r="H884">
        <v>43.1</v>
      </c>
      <c r="I884">
        <v>5</v>
      </c>
      <c r="J884">
        <v>11.206</v>
      </c>
      <c r="K884">
        <v>2013</v>
      </c>
      <c r="L884">
        <v>8</v>
      </c>
      <c r="M884" t="s">
        <v>53</v>
      </c>
      <c r="N884">
        <v>24</v>
      </c>
      <c r="O884">
        <v>7</v>
      </c>
      <c r="P884">
        <v>26</v>
      </c>
      <c r="Q884">
        <v>8.620000000000001</v>
      </c>
      <c r="R884" t="s">
        <v>26</v>
      </c>
      <c r="S884" t="b">
        <v>0</v>
      </c>
      <c r="T884" t="b">
        <v>0</v>
      </c>
    </row>
    <row r="885" spans="1:20" x14ac:dyDescent="0.3">
      <c r="A885" t="s">
        <v>1665</v>
      </c>
      <c r="B885" s="1">
        <v>41510</v>
      </c>
      <c r="C885" s="1">
        <v>41517</v>
      </c>
      <c r="D885" t="s">
        <v>1666</v>
      </c>
      <c r="E885" t="s">
        <v>39</v>
      </c>
      <c r="F885" t="s">
        <v>122</v>
      </c>
      <c r="G885" t="s">
        <v>1668</v>
      </c>
      <c r="H885">
        <v>15.88</v>
      </c>
      <c r="I885">
        <v>4</v>
      </c>
      <c r="J885">
        <v>0.1588</v>
      </c>
      <c r="K885">
        <v>2013</v>
      </c>
      <c r="L885">
        <v>8</v>
      </c>
      <c r="M885" t="s">
        <v>53</v>
      </c>
      <c r="N885">
        <v>24</v>
      </c>
      <c r="O885">
        <v>7</v>
      </c>
      <c r="P885">
        <v>1</v>
      </c>
      <c r="Q885">
        <v>3.97</v>
      </c>
      <c r="R885" t="s">
        <v>26</v>
      </c>
      <c r="S885" t="b">
        <v>0</v>
      </c>
      <c r="T885" t="b">
        <v>0</v>
      </c>
    </row>
    <row r="886" spans="1:20" x14ac:dyDescent="0.3">
      <c r="A886" t="s">
        <v>1669</v>
      </c>
      <c r="B886" s="1">
        <v>40893</v>
      </c>
      <c r="C886" s="1">
        <v>40894</v>
      </c>
      <c r="D886" t="s">
        <v>1670</v>
      </c>
      <c r="E886" t="s">
        <v>22</v>
      </c>
      <c r="F886" t="s">
        <v>29</v>
      </c>
      <c r="G886" t="s">
        <v>512</v>
      </c>
      <c r="H886">
        <v>44.46</v>
      </c>
      <c r="I886">
        <v>2</v>
      </c>
      <c r="J886">
        <v>14.671799999999999</v>
      </c>
      <c r="K886">
        <v>2011</v>
      </c>
      <c r="L886">
        <v>12</v>
      </c>
      <c r="M886" t="s">
        <v>41</v>
      </c>
      <c r="N886">
        <v>16</v>
      </c>
      <c r="O886">
        <v>1</v>
      </c>
      <c r="P886">
        <v>33</v>
      </c>
      <c r="Q886">
        <v>22.23</v>
      </c>
      <c r="R886" t="s">
        <v>26</v>
      </c>
      <c r="S886" t="b">
        <v>0</v>
      </c>
      <c r="T886" t="b">
        <v>0</v>
      </c>
    </row>
    <row r="887" spans="1:20" x14ac:dyDescent="0.3">
      <c r="A887" t="s">
        <v>1669</v>
      </c>
      <c r="B887" s="1">
        <v>40893</v>
      </c>
      <c r="C887" s="1">
        <v>40894</v>
      </c>
      <c r="D887" t="s">
        <v>1670</v>
      </c>
      <c r="E887" t="s">
        <v>22</v>
      </c>
      <c r="F887" t="s">
        <v>110</v>
      </c>
      <c r="G887" t="s">
        <v>339</v>
      </c>
      <c r="H887">
        <v>241.56800000000001</v>
      </c>
      <c r="I887">
        <v>2</v>
      </c>
      <c r="J887">
        <v>18.117599999999999</v>
      </c>
      <c r="K887">
        <v>2011</v>
      </c>
      <c r="L887">
        <v>12</v>
      </c>
      <c r="M887" t="s">
        <v>41</v>
      </c>
      <c r="N887">
        <v>16</v>
      </c>
      <c r="O887">
        <v>1</v>
      </c>
      <c r="P887">
        <v>7.5</v>
      </c>
      <c r="Q887">
        <v>120.78400000000001</v>
      </c>
      <c r="R887" t="s">
        <v>26</v>
      </c>
      <c r="S887" t="b">
        <v>0</v>
      </c>
      <c r="T887" t="b">
        <v>1</v>
      </c>
    </row>
    <row r="888" spans="1:20" x14ac:dyDescent="0.3">
      <c r="A888" t="s">
        <v>1669</v>
      </c>
      <c r="B888" s="1">
        <v>40893</v>
      </c>
      <c r="C888" s="1">
        <v>40894</v>
      </c>
      <c r="D888" t="s">
        <v>1670</v>
      </c>
      <c r="E888" t="s">
        <v>22</v>
      </c>
      <c r="F888" t="s">
        <v>61</v>
      </c>
      <c r="G888" t="s">
        <v>453</v>
      </c>
      <c r="H888">
        <v>395</v>
      </c>
      <c r="I888">
        <v>5</v>
      </c>
      <c r="J888">
        <v>39.5</v>
      </c>
      <c r="K888">
        <v>2011</v>
      </c>
      <c r="L888">
        <v>12</v>
      </c>
      <c r="M888" t="s">
        <v>41</v>
      </c>
      <c r="N888">
        <v>16</v>
      </c>
      <c r="O888">
        <v>1</v>
      </c>
      <c r="P888">
        <v>10</v>
      </c>
      <c r="Q888">
        <v>79</v>
      </c>
      <c r="R888" t="s">
        <v>26</v>
      </c>
      <c r="S888" t="b">
        <v>0</v>
      </c>
      <c r="T888" t="b">
        <v>1</v>
      </c>
    </row>
    <row r="889" spans="1:20" x14ac:dyDescent="0.3">
      <c r="A889" t="s">
        <v>1671</v>
      </c>
      <c r="B889" s="1">
        <v>41682</v>
      </c>
      <c r="C889" s="1">
        <v>41684</v>
      </c>
      <c r="D889" t="s">
        <v>1672</v>
      </c>
      <c r="E889" t="s">
        <v>39</v>
      </c>
      <c r="F889" t="s">
        <v>54</v>
      </c>
      <c r="G889" t="s">
        <v>587</v>
      </c>
      <c r="H889">
        <v>88.775999999999996</v>
      </c>
      <c r="I889">
        <v>3</v>
      </c>
      <c r="J889">
        <v>7.7679</v>
      </c>
      <c r="K889">
        <v>2014</v>
      </c>
      <c r="L889">
        <v>2</v>
      </c>
      <c r="M889" t="s">
        <v>303</v>
      </c>
      <c r="N889">
        <v>12</v>
      </c>
      <c r="O889">
        <v>2</v>
      </c>
      <c r="P889">
        <v>8.75</v>
      </c>
      <c r="Q889">
        <v>29.591999999999999</v>
      </c>
      <c r="R889" t="s">
        <v>26</v>
      </c>
      <c r="S889" t="b">
        <v>0</v>
      </c>
      <c r="T889" t="b">
        <v>0</v>
      </c>
    </row>
    <row r="890" spans="1:20" x14ac:dyDescent="0.3">
      <c r="A890" t="s">
        <v>1673</v>
      </c>
      <c r="B890" s="1">
        <v>40724</v>
      </c>
      <c r="C890" s="1">
        <v>40727</v>
      </c>
      <c r="D890" t="s">
        <v>449</v>
      </c>
      <c r="E890" t="s">
        <v>22</v>
      </c>
      <c r="F890" t="s">
        <v>31</v>
      </c>
      <c r="G890" t="s">
        <v>1674</v>
      </c>
      <c r="H890">
        <v>32.4</v>
      </c>
      <c r="I890">
        <v>5</v>
      </c>
      <c r="J890">
        <v>10.368</v>
      </c>
      <c r="K890">
        <v>2011</v>
      </c>
      <c r="L890">
        <v>6</v>
      </c>
      <c r="M890" t="s">
        <v>25</v>
      </c>
      <c r="N890">
        <v>30</v>
      </c>
      <c r="O890">
        <v>3</v>
      </c>
      <c r="P890">
        <v>32</v>
      </c>
      <c r="Q890">
        <v>6.48</v>
      </c>
      <c r="R890" t="s">
        <v>26</v>
      </c>
      <c r="S890" t="b">
        <v>0</v>
      </c>
      <c r="T890" t="b">
        <v>0</v>
      </c>
    </row>
    <row r="891" spans="1:20" x14ac:dyDescent="0.3">
      <c r="A891" t="s">
        <v>1675</v>
      </c>
      <c r="B891" s="1">
        <v>40897</v>
      </c>
      <c r="C891" s="1">
        <v>40902</v>
      </c>
      <c r="D891" t="s">
        <v>274</v>
      </c>
      <c r="E891" t="s">
        <v>39</v>
      </c>
      <c r="F891" t="s">
        <v>23</v>
      </c>
      <c r="G891" t="s">
        <v>1676</v>
      </c>
      <c r="H891">
        <v>31.05</v>
      </c>
      <c r="I891">
        <v>3</v>
      </c>
      <c r="J891">
        <v>14.904</v>
      </c>
      <c r="K891">
        <v>2011</v>
      </c>
      <c r="L891">
        <v>12</v>
      </c>
      <c r="M891" t="s">
        <v>41</v>
      </c>
      <c r="N891">
        <v>20</v>
      </c>
      <c r="O891">
        <v>5</v>
      </c>
      <c r="P891">
        <v>48</v>
      </c>
      <c r="Q891">
        <v>10.35</v>
      </c>
      <c r="R891" t="s">
        <v>26</v>
      </c>
      <c r="S891" t="b">
        <v>0</v>
      </c>
      <c r="T891" t="b">
        <v>0</v>
      </c>
    </row>
    <row r="892" spans="1:20" x14ac:dyDescent="0.3">
      <c r="A892" t="s">
        <v>1677</v>
      </c>
      <c r="B892" s="1">
        <v>40758</v>
      </c>
      <c r="C892" s="1">
        <v>40760</v>
      </c>
      <c r="D892" t="s">
        <v>1678</v>
      </c>
      <c r="E892" t="s">
        <v>849</v>
      </c>
      <c r="F892" t="s">
        <v>72</v>
      </c>
      <c r="G892" t="s">
        <v>1679</v>
      </c>
      <c r="H892">
        <v>93.024000000000001</v>
      </c>
      <c r="I892">
        <v>3</v>
      </c>
      <c r="J892">
        <v>33.721200000000003</v>
      </c>
      <c r="K892">
        <v>2011</v>
      </c>
      <c r="L892">
        <v>8</v>
      </c>
      <c r="M892" t="s">
        <v>53</v>
      </c>
      <c r="N892">
        <v>3</v>
      </c>
      <c r="O892">
        <v>2</v>
      </c>
      <c r="P892">
        <v>36.25</v>
      </c>
      <c r="Q892">
        <v>31.007999999999999</v>
      </c>
      <c r="R892" t="s">
        <v>26</v>
      </c>
      <c r="S892" t="b">
        <v>0</v>
      </c>
      <c r="T892" t="b">
        <v>0</v>
      </c>
    </row>
    <row r="893" spans="1:20" x14ac:dyDescent="0.3">
      <c r="A893" t="s">
        <v>1680</v>
      </c>
      <c r="B893" s="1">
        <v>40807</v>
      </c>
      <c r="C893" s="1">
        <v>40811</v>
      </c>
      <c r="D893" t="s">
        <v>1499</v>
      </c>
      <c r="E893" t="s">
        <v>51</v>
      </c>
      <c r="F893" t="s">
        <v>128</v>
      </c>
      <c r="G893" t="s">
        <v>155</v>
      </c>
      <c r="H893">
        <v>15.56</v>
      </c>
      <c r="I893">
        <v>2</v>
      </c>
      <c r="J893">
        <v>7.3132000000000001</v>
      </c>
      <c r="K893">
        <v>2011</v>
      </c>
      <c r="L893">
        <v>9</v>
      </c>
      <c r="M893" t="s">
        <v>87</v>
      </c>
      <c r="N893">
        <v>21</v>
      </c>
      <c r="O893">
        <v>4</v>
      </c>
      <c r="P893">
        <v>47</v>
      </c>
      <c r="Q893">
        <v>7.78</v>
      </c>
      <c r="R893" t="s">
        <v>26</v>
      </c>
      <c r="S893" t="b">
        <v>0</v>
      </c>
      <c r="T893" t="b">
        <v>0</v>
      </c>
    </row>
    <row r="894" spans="1:20" x14ac:dyDescent="0.3">
      <c r="A894" t="s">
        <v>1680</v>
      </c>
      <c r="B894" s="1">
        <v>40807</v>
      </c>
      <c r="C894" s="1">
        <v>40811</v>
      </c>
      <c r="D894" t="s">
        <v>1499</v>
      </c>
      <c r="E894" t="s">
        <v>51</v>
      </c>
      <c r="F894" t="s">
        <v>128</v>
      </c>
      <c r="G894" t="s">
        <v>1681</v>
      </c>
      <c r="H894">
        <v>78.349999999999994</v>
      </c>
      <c r="I894">
        <v>5</v>
      </c>
      <c r="J894">
        <v>36.8245</v>
      </c>
      <c r="K894">
        <v>2011</v>
      </c>
      <c r="L894">
        <v>9</v>
      </c>
      <c r="M894" t="s">
        <v>87</v>
      </c>
      <c r="N894">
        <v>21</v>
      </c>
      <c r="O894">
        <v>4</v>
      </c>
      <c r="P894">
        <v>47</v>
      </c>
      <c r="Q894">
        <v>15.67</v>
      </c>
      <c r="R894" t="s">
        <v>26</v>
      </c>
      <c r="S894" t="b">
        <v>0</v>
      </c>
      <c r="T894" t="b">
        <v>0</v>
      </c>
    </row>
    <row r="895" spans="1:20" x14ac:dyDescent="0.3">
      <c r="A895" t="s">
        <v>1680</v>
      </c>
      <c r="B895" s="1">
        <v>40807</v>
      </c>
      <c r="C895" s="1">
        <v>40811</v>
      </c>
      <c r="D895" t="s">
        <v>1499</v>
      </c>
      <c r="E895" t="s">
        <v>51</v>
      </c>
      <c r="F895" t="s">
        <v>31</v>
      </c>
      <c r="G895" t="s">
        <v>1682</v>
      </c>
      <c r="H895">
        <v>59.52</v>
      </c>
      <c r="I895">
        <v>3</v>
      </c>
      <c r="J895">
        <v>15.475199999999999</v>
      </c>
      <c r="K895">
        <v>2011</v>
      </c>
      <c r="L895">
        <v>9</v>
      </c>
      <c r="M895" t="s">
        <v>87</v>
      </c>
      <c r="N895">
        <v>21</v>
      </c>
      <c r="O895">
        <v>4</v>
      </c>
      <c r="P895">
        <v>26</v>
      </c>
      <c r="Q895">
        <v>19.84</v>
      </c>
      <c r="R895" t="s">
        <v>26</v>
      </c>
      <c r="S895" t="b">
        <v>0</v>
      </c>
      <c r="T895" t="b">
        <v>0</v>
      </c>
    </row>
    <row r="896" spans="1:20" x14ac:dyDescent="0.3">
      <c r="A896" t="s">
        <v>1680</v>
      </c>
      <c r="B896" s="1">
        <v>40807</v>
      </c>
      <c r="C896" s="1">
        <v>40811</v>
      </c>
      <c r="D896" t="s">
        <v>1499</v>
      </c>
      <c r="E896" t="s">
        <v>51</v>
      </c>
      <c r="F896" t="s">
        <v>72</v>
      </c>
      <c r="G896" t="s">
        <v>1683</v>
      </c>
      <c r="H896">
        <v>38.520000000000003</v>
      </c>
      <c r="I896">
        <v>9</v>
      </c>
      <c r="J896">
        <v>17.334</v>
      </c>
      <c r="K896">
        <v>2011</v>
      </c>
      <c r="L896">
        <v>9</v>
      </c>
      <c r="M896" t="s">
        <v>87</v>
      </c>
      <c r="N896">
        <v>21</v>
      </c>
      <c r="O896">
        <v>4</v>
      </c>
      <c r="P896">
        <v>45</v>
      </c>
      <c r="Q896">
        <v>4.28</v>
      </c>
      <c r="R896" t="s">
        <v>26</v>
      </c>
      <c r="S896" t="b">
        <v>0</v>
      </c>
      <c r="T896" t="b">
        <v>0</v>
      </c>
    </row>
    <row r="897" spans="1:20" x14ac:dyDescent="0.3">
      <c r="A897" t="s">
        <v>1680</v>
      </c>
      <c r="B897" s="1">
        <v>40807</v>
      </c>
      <c r="C897" s="1">
        <v>40811</v>
      </c>
      <c r="D897" t="s">
        <v>1499</v>
      </c>
      <c r="E897" t="s">
        <v>51</v>
      </c>
      <c r="F897" t="s">
        <v>54</v>
      </c>
      <c r="G897" t="s">
        <v>1684</v>
      </c>
      <c r="H897">
        <v>239.98400000000001</v>
      </c>
      <c r="I897">
        <v>2</v>
      </c>
      <c r="J897">
        <v>23.9984</v>
      </c>
      <c r="K897">
        <v>2011</v>
      </c>
      <c r="L897">
        <v>9</v>
      </c>
      <c r="M897" t="s">
        <v>87</v>
      </c>
      <c r="N897">
        <v>21</v>
      </c>
      <c r="O897">
        <v>4</v>
      </c>
      <c r="P897">
        <v>10</v>
      </c>
      <c r="Q897">
        <v>119.992</v>
      </c>
      <c r="R897" t="s">
        <v>26</v>
      </c>
      <c r="S897" t="b">
        <v>0</v>
      </c>
      <c r="T897" t="b">
        <v>1</v>
      </c>
    </row>
    <row r="898" spans="1:20" x14ac:dyDescent="0.3">
      <c r="A898" t="s">
        <v>1680</v>
      </c>
      <c r="B898" s="1">
        <v>40807</v>
      </c>
      <c r="C898" s="1">
        <v>40811</v>
      </c>
      <c r="D898" t="s">
        <v>1499</v>
      </c>
      <c r="E898" t="s">
        <v>51</v>
      </c>
      <c r="F898" t="s">
        <v>72</v>
      </c>
      <c r="G898" t="s">
        <v>1468</v>
      </c>
      <c r="H898">
        <v>19.350000000000001</v>
      </c>
      <c r="I898">
        <v>3</v>
      </c>
      <c r="J898">
        <v>9.4815000000000005</v>
      </c>
      <c r="K898">
        <v>2011</v>
      </c>
      <c r="L898">
        <v>9</v>
      </c>
      <c r="M898" t="s">
        <v>87</v>
      </c>
      <c r="N898">
        <v>21</v>
      </c>
      <c r="O898">
        <v>4</v>
      </c>
      <c r="P898">
        <v>49</v>
      </c>
      <c r="Q898">
        <v>6.45</v>
      </c>
      <c r="R898" t="s">
        <v>26</v>
      </c>
      <c r="S898" t="b">
        <v>0</v>
      </c>
      <c r="T898" t="b">
        <v>0</v>
      </c>
    </row>
    <row r="899" spans="1:20" x14ac:dyDescent="0.3">
      <c r="A899" t="s">
        <v>1685</v>
      </c>
      <c r="B899" s="1">
        <v>41906</v>
      </c>
      <c r="C899" s="1">
        <v>41912</v>
      </c>
      <c r="D899" t="s">
        <v>691</v>
      </c>
      <c r="E899" t="s">
        <v>1316</v>
      </c>
      <c r="F899" t="s">
        <v>317</v>
      </c>
      <c r="G899" t="s">
        <v>1686</v>
      </c>
      <c r="H899">
        <v>180.58799999999999</v>
      </c>
      <c r="I899">
        <v>2</v>
      </c>
      <c r="J899">
        <v>-240.78399999999999</v>
      </c>
      <c r="K899">
        <v>2014</v>
      </c>
      <c r="L899">
        <v>9</v>
      </c>
      <c r="M899" t="s">
        <v>87</v>
      </c>
      <c r="N899">
        <v>24</v>
      </c>
      <c r="O899">
        <v>6</v>
      </c>
      <c r="P899">
        <v>-133.33000000000001</v>
      </c>
      <c r="Q899">
        <v>90.293999999999997</v>
      </c>
      <c r="R899" t="s">
        <v>26</v>
      </c>
      <c r="S899" t="b">
        <v>1</v>
      </c>
      <c r="T899" t="b">
        <v>0</v>
      </c>
    </row>
    <row r="900" spans="1:20" x14ac:dyDescent="0.3">
      <c r="A900" t="s">
        <v>1685</v>
      </c>
      <c r="B900" s="1">
        <v>41906</v>
      </c>
      <c r="C900" s="1">
        <v>41912</v>
      </c>
      <c r="D900" t="s">
        <v>691</v>
      </c>
      <c r="E900" t="s">
        <v>1316</v>
      </c>
      <c r="F900" t="s">
        <v>61</v>
      </c>
      <c r="G900" t="s">
        <v>931</v>
      </c>
      <c r="H900">
        <v>47.984000000000002</v>
      </c>
      <c r="I900">
        <v>2</v>
      </c>
      <c r="J900">
        <v>0.5998</v>
      </c>
      <c r="K900">
        <v>2014</v>
      </c>
      <c r="L900">
        <v>9</v>
      </c>
      <c r="M900" t="s">
        <v>87</v>
      </c>
      <c r="N900">
        <v>24</v>
      </c>
      <c r="O900">
        <v>6</v>
      </c>
      <c r="P900">
        <v>1.25</v>
      </c>
      <c r="Q900">
        <v>23.992000000000001</v>
      </c>
      <c r="R900" t="s">
        <v>26</v>
      </c>
      <c r="S900" t="b">
        <v>0</v>
      </c>
      <c r="T900" t="b">
        <v>0</v>
      </c>
    </row>
    <row r="901" spans="1:20" x14ac:dyDescent="0.3">
      <c r="A901" t="s">
        <v>1687</v>
      </c>
      <c r="B901" s="1">
        <v>41933</v>
      </c>
      <c r="C901" s="1">
        <v>41935</v>
      </c>
      <c r="D901" t="s">
        <v>1688</v>
      </c>
      <c r="E901" t="s">
        <v>1689</v>
      </c>
      <c r="F901" t="s">
        <v>23</v>
      </c>
      <c r="G901" t="s">
        <v>1690</v>
      </c>
      <c r="H901">
        <v>3.75</v>
      </c>
      <c r="I901">
        <v>1</v>
      </c>
      <c r="J901">
        <v>1.8</v>
      </c>
      <c r="K901">
        <v>2014</v>
      </c>
      <c r="L901">
        <v>10</v>
      </c>
      <c r="M901" t="s">
        <v>82</v>
      </c>
      <c r="N901">
        <v>21</v>
      </c>
      <c r="O901">
        <v>2</v>
      </c>
      <c r="P901">
        <v>48</v>
      </c>
      <c r="Q901">
        <v>3.75</v>
      </c>
      <c r="R901" t="s">
        <v>26</v>
      </c>
      <c r="S901" t="b">
        <v>0</v>
      </c>
      <c r="T901" t="b">
        <v>0</v>
      </c>
    </row>
    <row r="902" spans="1:20" x14ac:dyDescent="0.3">
      <c r="A902" t="s">
        <v>1687</v>
      </c>
      <c r="B902" s="1">
        <v>41933</v>
      </c>
      <c r="C902" s="1">
        <v>41935</v>
      </c>
      <c r="D902" t="s">
        <v>1688</v>
      </c>
      <c r="E902" t="s">
        <v>1689</v>
      </c>
      <c r="F902" t="s">
        <v>33</v>
      </c>
      <c r="G902" t="s">
        <v>1691</v>
      </c>
      <c r="H902">
        <v>20.928000000000001</v>
      </c>
      <c r="I902">
        <v>4</v>
      </c>
      <c r="J902">
        <v>7.5864000000000003</v>
      </c>
      <c r="K902">
        <v>2014</v>
      </c>
      <c r="L902">
        <v>10</v>
      </c>
      <c r="M902" t="s">
        <v>82</v>
      </c>
      <c r="N902">
        <v>21</v>
      </c>
      <c r="O902">
        <v>2</v>
      </c>
      <c r="P902">
        <v>36.25</v>
      </c>
      <c r="Q902">
        <v>5.2320000000000002</v>
      </c>
      <c r="R902" t="s">
        <v>26</v>
      </c>
      <c r="S902" t="b">
        <v>0</v>
      </c>
      <c r="T902" t="b">
        <v>0</v>
      </c>
    </row>
    <row r="903" spans="1:20" x14ac:dyDescent="0.3">
      <c r="A903" t="s">
        <v>1692</v>
      </c>
      <c r="B903" s="1">
        <v>41100</v>
      </c>
      <c r="C903" s="1">
        <v>41100</v>
      </c>
      <c r="D903" t="s">
        <v>58</v>
      </c>
      <c r="E903" t="s">
        <v>899</v>
      </c>
      <c r="F903" t="s">
        <v>33</v>
      </c>
      <c r="G903" t="s">
        <v>1693</v>
      </c>
      <c r="H903">
        <v>3.3660000000000001</v>
      </c>
      <c r="I903">
        <v>3</v>
      </c>
      <c r="J903">
        <v>-2.2440000000000002</v>
      </c>
      <c r="K903">
        <v>2012</v>
      </c>
      <c r="L903">
        <v>7</v>
      </c>
      <c r="M903" t="s">
        <v>66</v>
      </c>
      <c r="N903">
        <v>10</v>
      </c>
      <c r="O903">
        <v>0</v>
      </c>
      <c r="P903">
        <v>-66.67</v>
      </c>
      <c r="Q903">
        <v>1.1220000000000001</v>
      </c>
      <c r="R903" t="s">
        <v>26</v>
      </c>
      <c r="S903" t="b">
        <v>1</v>
      </c>
      <c r="T903" t="b">
        <v>0</v>
      </c>
    </row>
    <row r="904" spans="1:20" x14ac:dyDescent="0.3">
      <c r="A904" t="s">
        <v>1694</v>
      </c>
      <c r="B904" s="1">
        <v>40857</v>
      </c>
      <c r="C904" s="1">
        <v>40863</v>
      </c>
      <c r="D904" t="s">
        <v>153</v>
      </c>
      <c r="E904" t="s">
        <v>194</v>
      </c>
      <c r="F904" t="s">
        <v>61</v>
      </c>
      <c r="G904" t="s">
        <v>1695</v>
      </c>
      <c r="H904">
        <v>10.99</v>
      </c>
      <c r="I904">
        <v>1</v>
      </c>
      <c r="J904">
        <v>4.2861000000000002</v>
      </c>
      <c r="K904">
        <v>2011</v>
      </c>
      <c r="L904">
        <v>11</v>
      </c>
      <c r="M904" t="s">
        <v>70</v>
      </c>
      <c r="N904">
        <v>10</v>
      </c>
      <c r="O904">
        <v>6</v>
      </c>
      <c r="P904">
        <v>39</v>
      </c>
      <c r="Q904">
        <v>10.99</v>
      </c>
      <c r="R904" t="s">
        <v>26</v>
      </c>
      <c r="S904" t="b">
        <v>0</v>
      </c>
      <c r="T904" t="b">
        <v>0</v>
      </c>
    </row>
    <row r="905" spans="1:20" x14ac:dyDescent="0.3">
      <c r="A905" t="s">
        <v>1694</v>
      </c>
      <c r="B905" s="1">
        <v>40857</v>
      </c>
      <c r="C905" s="1">
        <v>40863</v>
      </c>
      <c r="D905" t="s">
        <v>153</v>
      </c>
      <c r="E905" t="s">
        <v>194</v>
      </c>
      <c r="F905" t="s">
        <v>29</v>
      </c>
      <c r="G905" t="s">
        <v>74</v>
      </c>
      <c r="H905">
        <v>39.880000000000003</v>
      </c>
      <c r="I905">
        <v>2</v>
      </c>
      <c r="J905">
        <v>11.166399999999999</v>
      </c>
      <c r="K905">
        <v>2011</v>
      </c>
      <c r="L905">
        <v>11</v>
      </c>
      <c r="M905" t="s">
        <v>70</v>
      </c>
      <c r="N905">
        <v>10</v>
      </c>
      <c r="O905">
        <v>6</v>
      </c>
      <c r="P905">
        <v>28</v>
      </c>
      <c r="Q905">
        <v>19.940000000000001</v>
      </c>
      <c r="R905" t="s">
        <v>26</v>
      </c>
      <c r="S905" t="b">
        <v>0</v>
      </c>
      <c r="T905" t="b">
        <v>0</v>
      </c>
    </row>
    <row r="906" spans="1:20" x14ac:dyDescent="0.3">
      <c r="A906" t="s">
        <v>1694</v>
      </c>
      <c r="B906" s="1">
        <v>40857</v>
      </c>
      <c r="C906" s="1">
        <v>40863</v>
      </c>
      <c r="D906" t="s">
        <v>153</v>
      </c>
      <c r="E906" t="s">
        <v>194</v>
      </c>
      <c r="F906" t="s">
        <v>72</v>
      </c>
      <c r="G906" t="s">
        <v>1696</v>
      </c>
      <c r="H906">
        <v>62.24</v>
      </c>
      <c r="I906">
        <v>8</v>
      </c>
      <c r="J906">
        <v>28.007999999999999</v>
      </c>
      <c r="K906">
        <v>2011</v>
      </c>
      <c r="L906">
        <v>11</v>
      </c>
      <c r="M906" t="s">
        <v>70</v>
      </c>
      <c r="N906">
        <v>10</v>
      </c>
      <c r="O906">
        <v>6</v>
      </c>
      <c r="P906">
        <v>45</v>
      </c>
      <c r="Q906">
        <v>7.78</v>
      </c>
      <c r="R906" t="s">
        <v>26</v>
      </c>
      <c r="S906" t="b">
        <v>0</v>
      </c>
      <c r="T906" t="b">
        <v>0</v>
      </c>
    </row>
    <row r="907" spans="1:20" x14ac:dyDescent="0.3">
      <c r="A907" t="s">
        <v>1694</v>
      </c>
      <c r="B907" s="1">
        <v>40857</v>
      </c>
      <c r="C907" s="1">
        <v>40863</v>
      </c>
      <c r="D907" t="s">
        <v>153</v>
      </c>
      <c r="E907" t="s">
        <v>194</v>
      </c>
      <c r="F907" t="s">
        <v>29</v>
      </c>
      <c r="G907" t="s">
        <v>1697</v>
      </c>
      <c r="H907">
        <v>53.2</v>
      </c>
      <c r="I907">
        <v>5</v>
      </c>
      <c r="J907">
        <v>14.896000000000001</v>
      </c>
      <c r="K907">
        <v>2011</v>
      </c>
      <c r="L907">
        <v>11</v>
      </c>
      <c r="M907" t="s">
        <v>70</v>
      </c>
      <c r="N907">
        <v>10</v>
      </c>
      <c r="O907">
        <v>6</v>
      </c>
      <c r="P907">
        <v>28</v>
      </c>
      <c r="Q907">
        <v>10.64</v>
      </c>
      <c r="R907" t="s">
        <v>26</v>
      </c>
      <c r="S907" t="b">
        <v>0</v>
      </c>
      <c r="T907" t="b">
        <v>0</v>
      </c>
    </row>
    <row r="908" spans="1:20" x14ac:dyDescent="0.3">
      <c r="A908" t="s">
        <v>1694</v>
      </c>
      <c r="B908" s="1">
        <v>40857</v>
      </c>
      <c r="C908" s="1">
        <v>40863</v>
      </c>
      <c r="D908" t="s">
        <v>153</v>
      </c>
      <c r="E908" t="s">
        <v>194</v>
      </c>
      <c r="F908" t="s">
        <v>23</v>
      </c>
      <c r="G908" t="s">
        <v>1698</v>
      </c>
      <c r="H908">
        <v>39.840000000000003</v>
      </c>
      <c r="I908">
        <v>8</v>
      </c>
      <c r="J908">
        <v>18.3264</v>
      </c>
      <c r="K908">
        <v>2011</v>
      </c>
      <c r="L908">
        <v>11</v>
      </c>
      <c r="M908" t="s">
        <v>70</v>
      </c>
      <c r="N908">
        <v>10</v>
      </c>
      <c r="O908">
        <v>6</v>
      </c>
      <c r="P908">
        <v>46</v>
      </c>
      <c r="Q908">
        <v>4.9800000000000004</v>
      </c>
      <c r="R908" t="s">
        <v>26</v>
      </c>
      <c r="S908" t="b">
        <v>0</v>
      </c>
      <c r="T908" t="b">
        <v>0</v>
      </c>
    </row>
    <row r="909" spans="1:20" x14ac:dyDescent="0.3">
      <c r="A909" t="s">
        <v>1699</v>
      </c>
      <c r="B909" s="1">
        <v>41283</v>
      </c>
      <c r="C909" s="1">
        <v>41289</v>
      </c>
      <c r="D909" t="s">
        <v>1319</v>
      </c>
      <c r="E909" t="s">
        <v>737</v>
      </c>
      <c r="F909" t="s">
        <v>61</v>
      </c>
      <c r="G909" t="s">
        <v>1700</v>
      </c>
      <c r="H909">
        <v>349.95</v>
      </c>
      <c r="I909">
        <v>5</v>
      </c>
      <c r="J909">
        <v>118.983</v>
      </c>
      <c r="K909">
        <v>2013</v>
      </c>
      <c r="L909">
        <v>1</v>
      </c>
      <c r="M909" t="s">
        <v>60</v>
      </c>
      <c r="N909">
        <v>9</v>
      </c>
      <c r="O909">
        <v>6</v>
      </c>
      <c r="P909">
        <v>34</v>
      </c>
      <c r="Q909">
        <v>69.989999999999995</v>
      </c>
      <c r="R909" t="s">
        <v>26</v>
      </c>
      <c r="S909" t="b">
        <v>0</v>
      </c>
      <c r="T909" t="b">
        <v>1</v>
      </c>
    </row>
    <row r="910" spans="1:20" x14ac:dyDescent="0.3">
      <c r="A910" t="s">
        <v>1699</v>
      </c>
      <c r="B910" s="1">
        <v>41283</v>
      </c>
      <c r="C910" s="1">
        <v>41289</v>
      </c>
      <c r="D910" t="s">
        <v>1319</v>
      </c>
      <c r="E910" t="s">
        <v>737</v>
      </c>
      <c r="F910" t="s">
        <v>54</v>
      </c>
      <c r="G910" t="s">
        <v>78</v>
      </c>
      <c r="H910">
        <v>377.928</v>
      </c>
      <c r="I910">
        <v>9</v>
      </c>
      <c r="J910">
        <v>141.72300000000001</v>
      </c>
      <c r="K910">
        <v>2013</v>
      </c>
      <c r="L910">
        <v>1</v>
      </c>
      <c r="M910" t="s">
        <v>60</v>
      </c>
      <c r="N910">
        <v>9</v>
      </c>
      <c r="O910">
        <v>6</v>
      </c>
      <c r="P910">
        <v>37.5</v>
      </c>
      <c r="Q910">
        <v>41.991999999999997</v>
      </c>
      <c r="R910" t="s">
        <v>26</v>
      </c>
      <c r="S910" t="b">
        <v>0</v>
      </c>
      <c r="T910" t="b">
        <v>1</v>
      </c>
    </row>
    <row r="911" spans="1:20" x14ac:dyDescent="0.3">
      <c r="A911" t="s">
        <v>1701</v>
      </c>
      <c r="B911" s="1">
        <v>41829</v>
      </c>
      <c r="C911" s="1">
        <v>41831</v>
      </c>
      <c r="D911" t="s">
        <v>620</v>
      </c>
      <c r="E911" t="s">
        <v>1702</v>
      </c>
      <c r="F911" t="s">
        <v>23</v>
      </c>
      <c r="G911" t="s">
        <v>1703</v>
      </c>
      <c r="H911">
        <v>75.180000000000007</v>
      </c>
      <c r="I911">
        <v>6</v>
      </c>
      <c r="J911">
        <v>35.334600000000002</v>
      </c>
      <c r="K911">
        <v>2014</v>
      </c>
      <c r="L911">
        <v>7</v>
      </c>
      <c r="M911" t="s">
        <v>66</v>
      </c>
      <c r="N911">
        <v>9</v>
      </c>
      <c r="O911">
        <v>2</v>
      </c>
      <c r="P911">
        <v>47</v>
      </c>
      <c r="Q911">
        <v>12.53</v>
      </c>
      <c r="R911" t="s">
        <v>26</v>
      </c>
      <c r="S911" t="b">
        <v>0</v>
      </c>
      <c r="T911" t="b">
        <v>0</v>
      </c>
    </row>
    <row r="912" spans="1:20" x14ac:dyDescent="0.3">
      <c r="A912" t="s">
        <v>1704</v>
      </c>
      <c r="B912" s="1">
        <v>40676</v>
      </c>
      <c r="C912" s="1">
        <v>40680</v>
      </c>
      <c r="D912" t="s">
        <v>667</v>
      </c>
      <c r="E912" t="s">
        <v>663</v>
      </c>
      <c r="F912" t="s">
        <v>61</v>
      </c>
      <c r="G912" t="s">
        <v>1167</v>
      </c>
      <c r="H912">
        <v>149.97</v>
      </c>
      <c r="I912">
        <v>3</v>
      </c>
      <c r="J912">
        <v>52.4895</v>
      </c>
      <c r="K912">
        <v>2011</v>
      </c>
      <c r="L912">
        <v>5</v>
      </c>
      <c r="M912" t="s">
        <v>47</v>
      </c>
      <c r="N912">
        <v>13</v>
      </c>
      <c r="O912">
        <v>4</v>
      </c>
      <c r="P912">
        <v>35</v>
      </c>
      <c r="Q912">
        <v>49.99</v>
      </c>
      <c r="R912" t="s">
        <v>26</v>
      </c>
      <c r="S912" t="b">
        <v>0</v>
      </c>
      <c r="T912" t="b">
        <v>0</v>
      </c>
    </row>
    <row r="913" spans="1:20" x14ac:dyDescent="0.3">
      <c r="A913" t="s">
        <v>1705</v>
      </c>
      <c r="B913" s="1">
        <v>40818</v>
      </c>
      <c r="C913" s="1">
        <v>40821</v>
      </c>
      <c r="D913" t="s">
        <v>371</v>
      </c>
      <c r="E913" t="s">
        <v>899</v>
      </c>
      <c r="F913" t="s">
        <v>72</v>
      </c>
      <c r="G913" t="s">
        <v>1706</v>
      </c>
      <c r="H913">
        <v>9.4079999999999995</v>
      </c>
      <c r="I913">
        <v>2</v>
      </c>
      <c r="J913">
        <v>3.4104000000000001</v>
      </c>
      <c r="K913">
        <v>2011</v>
      </c>
      <c r="L913">
        <v>10</v>
      </c>
      <c r="M913" t="s">
        <v>82</v>
      </c>
      <c r="N913">
        <v>2</v>
      </c>
      <c r="O913">
        <v>3</v>
      </c>
      <c r="P913">
        <v>36.25</v>
      </c>
      <c r="Q913">
        <v>4.7039999999999997</v>
      </c>
      <c r="R913" t="s">
        <v>26</v>
      </c>
      <c r="S913" t="b">
        <v>0</v>
      </c>
      <c r="T913" t="b">
        <v>0</v>
      </c>
    </row>
    <row r="914" spans="1:20" x14ac:dyDescent="0.3">
      <c r="A914" t="s">
        <v>1705</v>
      </c>
      <c r="B914" s="1">
        <v>40818</v>
      </c>
      <c r="C914" s="1">
        <v>40821</v>
      </c>
      <c r="D914" t="s">
        <v>371</v>
      </c>
      <c r="E914" t="s">
        <v>899</v>
      </c>
      <c r="F914" t="s">
        <v>119</v>
      </c>
      <c r="G914" t="s">
        <v>155</v>
      </c>
      <c r="H914">
        <v>4.6719999999999997</v>
      </c>
      <c r="I914">
        <v>2</v>
      </c>
      <c r="J914">
        <v>1.46</v>
      </c>
      <c r="K914">
        <v>2011</v>
      </c>
      <c r="L914">
        <v>10</v>
      </c>
      <c r="M914" t="s">
        <v>82</v>
      </c>
      <c r="N914">
        <v>2</v>
      </c>
      <c r="O914">
        <v>3</v>
      </c>
      <c r="P914">
        <v>31.25</v>
      </c>
      <c r="Q914">
        <v>2.3359999999999999</v>
      </c>
      <c r="R914" t="s">
        <v>26</v>
      </c>
      <c r="S914" t="b">
        <v>0</v>
      </c>
      <c r="T914" t="b">
        <v>0</v>
      </c>
    </row>
    <row r="915" spans="1:20" x14ac:dyDescent="0.3">
      <c r="A915" t="s">
        <v>1705</v>
      </c>
      <c r="B915" s="1">
        <v>40818</v>
      </c>
      <c r="C915" s="1">
        <v>40821</v>
      </c>
      <c r="D915" t="s">
        <v>371</v>
      </c>
      <c r="E915" t="s">
        <v>899</v>
      </c>
      <c r="F915" t="s">
        <v>54</v>
      </c>
      <c r="G915" t="s">
        <v>1707</v>
      </c>
      <c r="H915">
        <v>318.39999999999998</v>
      </c>
      <c r="I915">
        <v>2</v>
      </c>
      <c r="J915">
        <v>107.46</v>
      </c>
      <c r="K915">
        <v>2011</v>
      </c>
      <c r="L915">
        <v>10</v>
      </c>
      <c r="M915" t="s">
        <v>82</v>
      </c>
      <c r="N915">
        <v>2</v>
      </c>
      <c r="O915">
        <v>3</v>
      </c>
      <c r="P915">
        <v>33.75</v>
      </c>
      <c r="Q915">
        <v>159.19999999999999</v>
      </c>
      <c r="R915" t="s">
        <v>26</v>
      </c>
      <c r="S915" t="b">
        <v>0</v>
      </c>
      <c r="T915" t="b">
        <v>1</v>
      </c>
    </row>
    <row r="916" spans="1:20" x14ac:dyDescent="0.3">
      <c r="A916" t="s">
        <v>1705</v>
      </c>
      <c r="B916" s="1">
        <v>40818</v>
      </c>
      <c r="C916" s="1">
        <v>40821</v>
      </c>
      <c r="D916" t="s">
        <v>371</v>
      </c>
      <c r="E916" t="s">
        <v>899</v>
      </c>
      <c r="F916" t="s">
        <v>128</v>
      </c>
      <c r="G916" t="s">
        <v>1708</v>
      </c>
      <c r="H916">
        <v>12.768000000000001</v>
      </c>
      <c r="I916">
        <v>6</v>
      </c>
      <c r="J916">
        <v>4.6284000000000001</v>
      </c>
      <c r="K916">
        <v>2011</v>
      </c>
      <c r="L916">
        <v>10</v>
      </c>
      <c r="M916" t="s">
        <v>82</v>
      </c>
      <c r="N916">
        <v>2</v>
      </c>
      <c r="O916">
        <v>3</v>
      </c>
      <c r="P916">
        <v>36.25</v>
      </c>
      <c r="Q916">
        <v>2.1280000000000001</v>
      </c>
      <c r="R916" t="s">
        <v>26</v>
      </c>
      <c r="S916" t="b">
        <v>0</v>
      </c>
      <c r="T916" t="b">
        <v>0</v>
      </c>
    </row>
    <row r="917" spans="1:20" x14ac:dyDescent="0.3">
      <c r="A917" t="s">
        <v>1705</v>
      </c>
      <c r="B917" s="1">
        <v>40818</v>
      </c>
      <c r="C917" s="1">
        <v>40821</v>
      </c>
      <c r="D917" t="s">
        <v>371</v>
      </c>
      <c r="E917" t="s">
        <v>899</v>
      </c>
      <c r="F917" t="s">
        <v>122</v>
      </c>
      <c r="G917" t="s">
        <v>1709</v>
      </c>
      <c r="H917">
        <v>15.36</v>
      </c>
      <c r="I917">
        <v>2</v>
      </c>
      <c r="J917">
        <v>-3.2639999999999998</v>
      </c>
      <c r="K917">
        <v>2011</v>
      </c>
      <c r="L917">
        <v>10</v>
      </c>
      <c r="M917" t="s">
        <v>82</v>
      </c>
      <c r="N917">
        <v>2</v>
      </c>
      <c r="O917">
        <v>3</v>
      </c>
      <c r="P917">
        <v>-21.25</v>
      </c>
      <c r="Q917">
        <v>7.68</v>
      </c>
      <c r="R917" t="s">
        <v>26</v>
      </c>
      <c r="S917" t="b">
        <v>1</v>
      </c>
      <c r="T917" t="b">
        <v>0</v>
      </c>
    </row>
    <row r="918" spans="1:20" x14ac:dyDescent="0.3">
      <c r="A918" t="s">
        <v>1705</v>
      </c>
      <c r="B918" s="1">
        <v>40818</v>
      </c>
      <c r="C918" s="1">
        <v>40821</v>
      </c>
      <c r="D918" t="s">
        <v>371</v>
      </c>
      <c r="E918" t="s">
        <v>899</v>
      </c>
      <c r="F918" t="s">
        <v>54</v>
      </c>
      <c r="G918" t="s">
        <v>1710</v>
      </c>
      <c r="H918">
        <v>230.376</v>
      </c>
      <c r="I918">
        <v>3</v>
      </c>
      <c r="J918">
        <v>20.157900000000001</v>
      </c>
      <c r="K918">
        <v>2011</v>
      </c>
      <c r="L918">
        <v>10</v>
      </c>
      <c r="M918" t="s">
        <v>82</v>
      </c>
      <c r="N918">
        <v>2</v>
      </c>
      <c r="O918">
        <v>3</v>
      </c>
      <c r="P918">
        <v>8.75</v>
      </c>
      <c r="Q918">
        <v>76.792000000000002</v>
      </c>
      <c r="R918" t="s">
        <v>26</v>
      </c>
      <c r="S918" t="b">
        <v>0</v>
      </c>
      <c r="T918" t="b">
        <v>1</v>
      </c>
    </row>
    <row r="919" spans="1:20" x14ac:dyDescent="0.3">
      <c r="A919" t="s">
        <v>1705</v>
      </c>
      <c r="B919" s="1">
        <v>40818</v>
      </c>
      <c r="C919" s="1">
        <v>40821</v>
      </c>
      <c r="D919" t="s">
        <v>371</v>
      </c>
      <c r="E919" t="s">
        <v>899</v>
      </c>
      <c r="F919" t="s">
        <v>61</v>
      </c>
      <c r="G919" t="s">
        <v>1008</v>
      </c>
      <c r="H919">
        <v>7.16</v>
      </c>
      <c r="I919">
        <v>1</v>
      </c>
      <c r="J919">
        <v>-8.9499999999999996E-2</v>
      </c>
      <c r="K919">
        <v>2011</v>
      </c>
      <c r="L919">
        <v>10</v>
      </c>
      <c r="M919" t="s">
        <v>82</v>
      </c>
      <c r="N919">
        <v>2</v>
      </c>
      <c r="O919">
        <v>3</v>
      </c>
      <c r="P919">
        <v>-1.25</v>
      </c>
      <c r="Q919">
        <v>7.16</v>
      </c>
      <c r="R919" t="s">
        <v>26</v>
      </c>
      <c r="S919" t="b">
        <v>1</v>
      </c>
      <c r="T919" t="b">
        <v>0</v>
      </c>
    </row>
    <row r="920" spans="1:20" x14ac:dyDescent="0.3">
      <c r="A920" t="s">
        <v>1711</v>
      </c>
      <c r="B920" s="1">
        <v>41389</v>
      </c>
      <c r="C920" s="1">
        <v>41392</v>
      </c>
      <c r="D920" t="s">
        <v>1712</v>
      </c>
      <c r="E920" t="s">
        <v>569</v>
      </c>
      <c r="F920" t="s">
        <v>33</v>
      </c>
      <c r="G920" t="s">
        <v>465</v>
      </c>
      <c r="H920">
        <v>3.984</v>
      </c>
      <c r="I920">
        <v>1</v>
      </c>
      <c r="J920">
        <v>1.3944000000000001</v>
      </c>
      <c r="K920">
        <v>2013</v>
      </c>
      <c r="L920">
        <v>4</v>
      </c>
      <c r="M920" t="s">
        <v>236</v>
      </c>
      <c r="N920">
        <v>25</v>
      </c>
      <c r="O920">
        <v>3</v>
      </c>
      <c r="P920">
        <v>35</v>
      </c>
      <c r="Q920">
        <v>3.984</v>
      </c>
      <c r="R920" t="s">
        <v>48</v>
      </c>
      <c r="S920" t="b">
        <v>0</v>
      </c>
      <c r="T920" t="b">
        <v>0</v>
      </c>
    </row>
    <row r="921" spans="1:20" x14ac:dyDescent="0.3">
      <c r="A921" t="s">
        <v>1713</v>
      </c>
      <c r="B921" s="1">
        <v>41984</v>
      </c>
      <c r="C921" s="1">
        <v>41986</v>
      </c>
      <c r="D921" t="s">
        <v>223</v>
      </c>
      <c r="E921" t="s">
        <v>39</v>
      </c>
      <c r="F921" t="s">
        <v>61</v>
      </c>
      <c r="G921" t="s">
        <v>1714</v>
      </c>
      <c r="H921">
        <v>49.08</v>
      </c>
      <c r="I921">
        <v>3</v>
      </c>
      <c r="J921">
        <v>4.9080000000000004</v>
      </c>
      <c r="K921">
        <v>2014</v>
      </c>
      <c r="L921">
        <v>12</v>
      </c>
      <c r="M921" t="s">
        <v>41</v>
      </c>
      <c r="N921">
        <v>11</v>
      </c>
      <c r="O921">
        <v>2</v>
      </c>
      <c r="P921">
        <v>10</v>
      </c>
      <c r="Q921">
        <v>16.36</v>
      </c>
      <c r="R921" t="s">
        <v>26</v>
      </c>
      <c r="S921" t="b">
        <v>0</v>
      </c>
      <c r="T921" t="b">
        <v>0</v>
      </c>
    </row>
    <row r="922" spans="1:20" x14ac:dyDescent="0.3">
      <c r="A922" t="s">
        <v>1713</v>
      </c>
      <c r="B922" s="1">
        <v>41984</v>
      </c>
      <c r="C922" s="1">
        <v>41986</v>
      </c>
      <c r="D922" t="s">
        <v>223</v>
      </c>
      <c r="E922" t="s">
        <v>39</v>
      </c>
      <c r="F922" t="s">
        <v>45</v>
      </c>
      <c r="G922" t="s">
        <v>1715</v>
      </c>
      <c r="H922">
        <v>324.89999999999998</v>
      </c>
      <c r="I922">
        <v>5</v>
      </c>
      <c r="J922">
        <v>38.988</v>
      </c>
      <c r="K922">
        <v>2014</v>
      </c>
      <c r="L922">
        <v>12</v>
      </c>
      <c r="M922" t="s">
        <v>41</v>
      </c>
      <c r="N922">
        <v>11</v>
      </c>
      <c r="O922">
        <v>2</v>
      </c>
      <c r="P922">
        <v>12</v>
      </c>
      <c r="Q922">
        <v>64.97999999999999</v>
      </c>
      <c r="R922" t="s">
        <v>26</v>
      </c>
      <c r="S922" t="b">
        <v>0</v>
      </c>
      <c r="T922" t="b">
        <v>1</v>
      </c>
    </row>
    <row r="923" spans="1:20" x14ac:dyDescent="0.3">
      <c r="A923" t="s">
        <v>1713</v>
      </c>
      <c r="B923" s="1">
        <v>41984</v>
      </c>
      <c r="C923" s="1">
        <v>41986</v>
      </c>
      <c r="D923" t="s">
        <v>223</v>
      </c>
      <c r="E923" t="s">
        <v>39</v>
      </c>
      <c r="F923" t="s">
        <v>31</v>
      </c>
      <c r="G923" t="s">
        <v>1716</v>
      </c>
      <c r="H923">
        <v>18.239999999999998</v>
      </c>
      <c r="I923">
        <v>3</v>
      </c>
      <c r="J923">
        <v>5.2896000000000001</v>
      </c>
      <c r="K923">
        <v>2014</v>
      </c>
      <c r="L923">
        <v>12</v>
      </c>
      <c r="M923" t="s">
        <v>41</v>
      </c>
      <c r="N923">
        <v>11</v>
      </c>
      <c r="O923">
        <v>2</v>
      </c>
      <c r="P923">
        <v>29</v>
      </c>
      <c r="Q923">
        <v>6.0799999999999992</v>
      </c>
      <c r="R923" t="s">
        <v>26</v>
      </c>
      <c r="S923" t="b">
        <v>0</v>
      </c>
      <c r="T923" t="b">
        <v>0</v>
      </c>
    </row>
    <row r="924" spans="1:20" x14ac:dyDescent="0.3">
      <c r="A924" t="s">
        <v>1717</v>
      </c>
      <c r="B924" s="1">
        <v>41535</v>
      </c>
      <c r="C924" s="1">
        <v>41539</v>
      </c>
      <c r="D924" t="s">
        <v>1718</v>
      </c>
      <c r="E924" t="s">
        <v>39</v>
      </c>
      <c r="F924" t="s">
        <v>110</v>
      </c>
      <c r="G924" t="s">
        <v>1596</v>
      </c>
      <c r="H924">
        <v>113.88800000000001</v>
      </c>
      <c r="I924">
        <v>2</v>
      </c>
      <c r="J924">
        <v>9.9651999999999994</v>
      </c>
      <c r="K924">
        <v>2013</v>
      </c>
      <c r="L924">
        <v>9</v>
      </c>
      <c r="M924" t="s">
        <v>87</v>
      </c>
      <c r="N924">
        <v>18</v>
      </c>
      <c r="O924">
        <v>4</v>
      </c>
      <c r="P924">
        <v>8.75</v>
      </c>
      <c r="Q924">
        <v>56.944000000000003</v>
      </c>
      <c r="R924" t="s">
        <v>26</v>
      </c>
      <c r="S924" t="b">
        <v>0</v>
      </c>
      <c r="T924" t="b">
        <v>0</v>
      </c>
    </row>
    <row r="925" spans="1:20" x14ac:dyDescent="0.3">
      <c r="A925" t="s">
        <v>1717</v>
      </c>
      <c r="B925" s="1">
        <v>41535</v>
      </c>
      <c r="C925" s="1">
        <v>41539</v>
      </c>
      <c r="D925" t="s">
        <v>1718</v>
      </c>
      <c r="E925" t="s">
        <v>39</v>
      </c>
      <c r="F925" t="s">
        <v>54</v>
      </c>
      <c r="G925" t="s">
        <v>1719</v>
      </c>
      <c r="H925">
        <v>105.584</v>
      </c>
      <c r="I925">
        <v>2</v>
      </c>
      <c r="J925">
        <v>7.9188000000000001</v>
      </c>
      <c r="K925">
        <v>2013</v>
      </c>
      <c r="L925">
        <v>9</v>
      </c>
      <c r="M925" t="s">
        <v>87</v>
      </c>
      <c r="N925">
        <v>18</v>
      </c>
      <c r="O925">
        <v>4</v>
      </c>
      <c r="P925">
        <v>7.5</v>
      </c>
      <c r="Q925">
        <v>52.792000000000002</v>
      </c>
      <c r="R925" t="s">
        <v>26</v>
      </c>
      <c r="S925" t="b">
        <v>0</v>
      </c>
      <c r="T925" t="b">
        <v>0</v>
      </c>
    </row>
    <row r="926" spans="1:20" x14ac:dyDescent="0.3">
      <c r="A926" t="s">
        <v>1720</v>
      </c>
      <c r="B926" s="1">
        <v>41464</v>
      </c>
      <c r="C926" s="1">
        <v>41470</v>
      </c>
      <c r="D926" t="s">
        <v>1721</v>
      </c>
      <c r="E926" t="s">
        <v>39</v>
      </c>
      <c r="F926" t="s">
        <v>54</v>
      </c>
      <c r="G926" t="s">
        <v>513</v>
      </c>
      <c r="H926">
        <v>107.98399999999999</v>
      </c>
      <c r="I926">
        <v>1</v>
      </c>
      <c r="J926">
        <v>9.4486000000000008</v>
      </c>
      <c r="K926">
        <v>2013</v>
      </c>
      <c r="L926">
        <v>7</v>
      </c>
      <c r="M926" t="s">
        <v>66</v>
      </c>
      <c r="N926">
        <v>9</v>
      </c>
      <c r="O926">
        <v>6</v>
      </c>
      <c r="P926">
        <v>8.75</v>
      </c>
      <c r="Q926">
        <v>107.98399999999999</v>
      </c>
      <c r="R926" t="s">
        <v>26</v>
      </c>
      <c r="S926" t="b">
        <v>0</v>
      </c>
      <c r="T926" t="b">
        <v>0</v>
      </c>
    </row>
    <row r="927" spans="1:20" x14ac:dyDescent="0.3">
      <c r="A927" t="s">
        <v>1720</v>
      </c>
      <c r="B927" s="1">
        <v>41464</v>
      </c>
      <c r="C927" s="1">
        <v>41470</v>
      </c>
      <c r="D927" t="s">
        <v>1721</v>
      </c>
      <c r="E927" t="s">
        <v>39</v>
      </c>
      <c r="F927" t="s">
        <v>33</v>
      </c>
      <c r="G927" t="s">
        <v>1162</v>
      </c>
      <c r="H927">
        <v>19.295999999999999</v>
      </c>
      <c r="I927">
        <v>3</v>
      </c>
      <c r="J927">
        <v>6.03</v>
      </c>
      <c r="K927">
        <v>2013</v>
      </c>
      <c r="L927">
        <v>7</v>
      </c>
      <c r="M927" t="s">
        <v>66</v>
      </c>
      <c r="N927">
        <v>9</v>
      </c>
      <c r="O927">
        <v>6</v>
      </c>
      <c r="P927">
        <v>31.25</v>
      </c>
      <c r="Q927">
        <v>6.4319999999999986</v>
      </c>
      <c r="R927" t="s">
        <v>26</v>
      </c>
      <c r="S927" t="b">
        <v>0</v>
      </c>
      <c r="T927" t="b">
        <v>0</v>
      </c>
    </row>
    <row r="928" spans="1:20" x14ac:dyDescent="0.3">
      <c r="A928" t="s">
        <v>1722</v>
      </c>
      <c r="B928" s="1">
        <v>40864</v>
      </c>
      <c r="C928" s="1">
        <v>40866</v>
      </c>
      <c r="D928" t="s">
        <v>1723</v>
      </c>
      <c r="E928" t="s">
        <v>51</v>
      </c>
      <c r="F928" t="s">
        <v>61</v>
      </c>
      <c r="G928" t="s">
        <v>795</v>
      </c>
      <c r="H928">
        <v>99.98</v>
      </c>
      <c r="I928">
        <v>2</v>
      </c>
      <c r="J928">
        <v>7.9984000000000002</v>
      </c>
      <c r="K928">
        <v>2011</v>
      </c>
      <c r="L928">
        <v>11</v>
      </c>
      <c r="M928" t="s">
        <v>70</v>
      </c>
      <c r="N928">
        <v>17</v>
      </c>
      <c r="O928">
        <v>2</v>
      </c>
      <c r="P928">
        <v>8</v>
      </c>
      <c r="Q928">
        <v>49.99</v>
      </c>
      <c r="R928" t="s">
        <v>26</v>
      </c>
      <c r="S928" t="b">
        <v>0</v>
      </c>
      <c r="T928" t="b">
        <v>0</v>
      </c>
    </row>
    <row r="929" spans="1:20" x14ac:dyDescent="0.3">
      <c r="A929" t="s">
        <v>1722</v>
      </c>
      <c r="B929" s="1">
        <v>40864</v>
      </c>
      <c r="C929" s="1">
        <v>40866</v>
      </c>
      <c r="D929" t="s">
        <v>1723</v>
      </c>
      <c r="E929" t="s">
        <v>51</v>
      </c>
      <c r="F929" t="s">
        <v>35</v>
      </c>
      <c r="G929" t="s">
        <v>1724</v>
      </c>
      <c r="H929">
        <v>241.44</v>
      </c>
      <c r="I929">
        <v>3</v>
      </c>
      <c r="J929">
        <v>72.432000000000002</v>
      </c>
      <c r="K929">
        <v>2011</v>
      </c>
      <c r="L929">
        <v>11</v>
      </c>
      <c r="M929" t="s">
        <v>70</v>
      </c>
      <c r="N929">
        <v>17</v>
      </c>
      <c r="O929">
        <v>2</v>
      </c>
      <c r="P929">
        <v>30</v>
      </c>
      <c r="Q929">
        <v>80.48</v>
      </c>
      <c r="R929" t="s">
        <v>26</v>
      </c>
      <c r="S929" t="b">
        <v>0</v>
      </c>
      <c r="T929" t="b">
        <v>1</v>
      </c>
    </row>
    <row r="930" spans="1:20" x14ac:dyDescent="0.3">
      <c r="A930" t="s">
        <v>1725</v>
      </c>
      <c r="B930" s="1">
        <v>41270</v>
      </c>
      <c r="C930" s="1">
        <v>41272</v>
      </c>
      <c r="D930" t="s">
        <v>1519</v>
      </c>
      <c r="E930" t="s">
        <v>1726</v>
      </c>
      <c r="F930" t="s">
        <v>61</v>
      </c>
      <c r="G930" t="s">
        <v>1509</v>
      </c>
      <c r="H930">
        <v>7.92</v>
      </c>
      <c r="I930">
        <v>8</v>
      </c>
      <c r="J930">
        <v>3.4847999999999999</v>
      </c>
      <c r="K930">
        <v>2012</v>
      </c>
      <c r="L930">
        <v>12</v>
      </c>
      <c r="M930" t="s">
        <v>41</v>
      </c>
      <c r="N930">
        <v>27</v>
      </c>
      <c r="O930">
        <v>2</v>
      </c>
      <c r="P930">
        <v>44</v>
      </c>
      <c r="Q930">
        <v>0.99</v>
      </c>
      <c r="R930" t="s">
        <v>26</v>
      </c>
      <c r="S930" t="b">
        <v>0</v>
      </c>
      <c r="T930" t="b">
        <v>0</v>
      </c>
    </row>
    <row r="931" spans="1:20" x14ac:dyDescent="0.3">
      <c r="A931" t="s">
        <v>1727</v>
      </c>
      <c r="B931" s="1">
        <v>40948</v>
      </c>
      <c r="C931" s="1">
        <v>40955</v>
      </c>
      <c r="D931" t="s">
        <v>1728</v>
      </c>
      <c r="E931" t="s">
        <v>22</v>
      </c>
      <c r="F931" t="s">
        <v>110</v>
      </c>
      <c r="G931" t="s">
        <v>1302</v>
      </c>
      <c r="H931">
        <v>203.92</v>
      </c>
      <c r="I931">
        <v>5</v>
      </c>
      <c r="J931">
        <v>22.940999999999999</v>
      </c>
      <c r="K931">
        <v>2012</v>
      </c>
      <c r="L931">
        <v>2</v>
      </c>
      <c r="M931" t="s">
        <v>303</v>
      </c>
      <c r="N931">
        <v>9</v>
      </c>
      <c r="O931">
        <v>7</v>
      </c>
      <c r="P931">
        <v>11.25</v>
      </c>
      <c r="Q931">
        <v>40.783999999999999</v>
      </c>
      <c r="R931" t="s">
        <v>26</v>
      </c>
      <c r="S931" t="b">
        <v>0</v>
      </c>
      <c r="T931" t="b">
        <v>0</v>
      </c>
    </row>
    <row r="932" spans="1:20" x14ac:dyDescent="0.3">
      <c r="A932" t="s">
        <v>1729</v>
      </c>
      <c r="B932" s="1">
        <v>41256</v>
      </c>
      <c r="C932" s="1">
        <v>41258</v>
      </c>
      <c r="D932" t="s">
        <v>1730</v>
      </c>
      <c r="E932" t="s">
        <v>1731</v>
      </c>
      <c r="F932" t="s">
        <v>54</v>
      </c>
      <c r="G932" t="s">
        <v>1732</v>
      </c>
      <c r="H932">
        <v>494.37599999999998</v>
      </c>
      <c r="I932">
        <v>3</v>
      </c>
      <c r="J932">
        <v>49.437600000000003</v>
      </c>
      <c r="K932">
        <v>2012</v>
      </c>
      <c r="L932">
        <v>12</v>
      </c>
      <c r="M932" t="s">
        <v>41</v>
      </c>
      <c r="N932">
        <v>13</v>
      </c>
      <c r="O932">
        <v>2</v>
      </c>
      <c r="P932">
        <v>10</v>
      </c>
      <c r="Q932">
        <v>164.792</v>
      </c>
      <c r="R932" t="s">
        <v>26</v>
      </c>
      <c r="S932" t="b">
        <v>0</v>
      </c>
      <c r="T932" t="b">
        <v>1</v>
      </c>
    </row>
    <row r="933" spans="1:20" x14ac:dyDescent="0.3">
      <c r="A933" t="s">
        <v>1729</v>
      </c>
      <c r="B933" s="1">
        <v>41256</v>
      </c>
      <c r="C933" s="1">
        <v>41258</v>
      </c>
      <c r="D933" t="s">
        <v>1730</v>
      </c>
      <c r="E933" t="s">
        <v>1731</v>
      </c>
      <c r="F933" t="s">
        <v>33</v>
      </c>
      <c r="G933" t="s">
        <v>942</v>
      </c>
      <c r="H933">
        <v>29.2</v>
      </c>
      <c r="I933">
        <v>5</v>
      </c>
      <c r="J933">
        <v>9.8550000000000004</v>
      </c>
      <c r="K933">
        <v>2012</v>
      </c>
      <c r="L933">
        <v>12</v>
      </c>
      <c r="M933" t="s">
        <v>41</v>
      </c>
      <c r="N933">
        <v>13</v>
      </c>
      <c r="O933">
        <v>2</v>
      </c>
      <c r="P933">
        <v>33.75</v>
      </c>
      <c r="Q933">
        <v>5.84</v>
      </c>
      <c r="R933" t="s">
        <v>26</v>
      </c>
      <c r="S933" t="b">
        <v>0</v>
      </c>
      <c r="T933" t="b">
        <v>0</v>
      </c>
    </row>
    <row r="934" spans="1:20" x14ac:dyDescent="0.3">
      <c r="A934" t="s">
        <v>1729</v>
      </c>
      <c r="B934" s="1">
        <v>41256</v>
      </c>
      <c r="C934" s="1">
        <v>41258</v>
      </c>
      <c r="D934" t="s">
        <v>1730</v>
      </c>
      <c r="E934" t="s">
        <v>1731</v>
      </c>
      <c r="F934" t="s">
        <v>61</v>
      </c>
      <c r="G934" t="s">
        <v>100</v>
      </c>
      <c r="H934">
        <v>248.85</v>
      </c>
      <c r="I934">
        <v>5</v>
      </c>
      <c r="J934">
        <v>27.3735</v>
      </c>
      <c r="K934">
        <v>2012</v>
      </c>
      <c r="L934">
        <v>12</v>
      </c>
      <c r="M934" t="s">
        <v>41</v>
      </c>
      <c r="N934">
        <v>13</v>
      </c>
      <c r="O934">
        <v>2</v>
      </c>
      <c r="P934">
        <v>11</v>
      </c>
      <c r="Q934">
        <v>49.77</v>
      </c>
      <c r="R934" t="s">
        <v>26</v>
      </c>
      <c r="S934" t="b">
        <v>0</v>
      </c>
      <c r="T934" t="b">
        <v>1</v>
      </c>
    </row>
    <row r="935" spans="1:20" x14ac:dyDescent="0.3">
      <c r="A935" t="s">
        <v>1729</v>
      </c>
      <c r="B935" s="1">
        <v>41256</v>
      </c>
      <c r="C935" s="1">
        <v>41258</v>
      </c>
      <c r="D935" t="s">
        <v>1730</v>
      </c>
      <c r="E935" t="s">
        <v>1731</v>
      </c>
      <c r="F935" t="s">
        <v>61</v>
      </c>
      <c r="G935" t="s">
        <v>1733</v>
      </c>
      <c r="H935">
        <v>36.24</v>
      </c>
      <c r="I935">
        <v>1</v>
      </c>
      <c r="J935">
        <v>15.220800000000001</v>
      </c>
      <c r="K935">
        <v>2012</v>
      </c>
      <c r="L935">
        <v>12</v>
      </c>
      <c r="M935" t="s">
        <v>41</v>
      </c>
      <c r="N935">
        <v>13</v>
      </c>
      <c r="O935">
        <v>2</v>
      </c>
      <c r="P935">
        <v>42</v>
      </c>
      <c r="Q935">
        <v>36.24</v>
      </c>
      <c r="R935" t="s">
        <v>26</v>
      </c>
      <c r="S935" t="b">
        <v>0</v>
      </c>
      <c r="T935" t="b">
        <v>0</v>
      </c>
    </row>
    <row r="936" spans="1:20" x14ac:dyDescent="0.3">
      <c r="A936" t="s">
        <v>1734</v>
      </c>
      <c r="B936" s="1">
        <v>40903</v>
      </c>
      <c r="C936" s="1">
        <v>40907</v>
      </c>
      <c r="D936" t="s">
        <v>1184</v>
      </c>
      <c r="E936" t="s">
        <v>194</v>
      </c>
      <c r="F936" t="s">
        <v>122</v>
      </c>
      <c r="G936" t="s">
        <v>1668</v>
      </c>
      <c r="H936">
        <v>11.91</v>
      </c>
      <c r="I936">
        <v>3</v>
      </c>
      <c r="J936">
        <v>0.1191</v>
      </c>
      <c r="K936">
        <v>2011</v>
      </c>
      <c r="L936">
        <v>12</v>
      </c>
      <c r="M936" t="s">
        <v>41</v>
      </c>
      <c r="N936">
        <v>26</v>
      </c>
      <c r="O936">
        <v>4</v>
      </c>
      <c r="P936">
        <v>1</v>
      </c>
      <c r="Q936">
        <v>3.97</v>
      </c>
      <c r="R936" t="s">
        <v>26</v>
      </c>
      <c r="S936" t="b">
        <v>0</v>
      </c>
      <c r="T936" t="b">
        <v>0</v>
      </c>
    </row>
    <row r="937" spans="1:20" x14ac:dyDescent="0.3">
      <c r="A937" t="s">
        <v>1734</v>
      </c>
      <c r="B937" s="1">
        <v>40903</v>
      </c>
      <c r="C937" s="1">
        <v>40907</v>
      </c>
      <c r="D937" t="s">
        <v>1184</v>
      </c>
      <c r="E937" t="s">
        <v>194</v>
      </c>
      <c r="F937" t="s">
        <v>29</v>
      </c>
      <c r="G937" t="s">
        <v>1558</v>
      </c>
      <c r="H937">
        <v>3.48</v>
      </c>
      <c r="I937">
        <v>2</v>
      </c>
      <c r="J937">
        <v>1.1135999999999999</v>
      </c>
      <c r="K937">
        <v>2011</v>
      </c>
      <c r="L937">
        <v>12</v>
      </c>
      <c r="M937" t="s">
        <v>41</v>
      </c>
      <c r="N937">
        <v>26</v>
      </c>
      <c r="O937">
        <v>4</v>
      </c>
      <c r="P937">
        <v>32</v>
      </c>
      <c r="Q937">
        <v>1.74</v>
      </c>
      <c r="R937" t="s">
        <v>26</v>
      </c>
      <c r="S937" t="b">
        <v>0</v>
      </c>
      <c r="T937" t="b">
        <v>0</v>
      </c>
    </row>
    <row r="938" spans="1:20" x14ac:dyDescent="0.3">
      <c r="A938" t="s">
        <v>1735</v>
      </c>
      <c r="B938" s="1">
        <v>41052</v>
      </c>
      <c r="C938" s="1">
        <v>41059</v>
      </c>
      <c r="D938" t="s">
        <v>1736</v>
      </c>
      <c r="E938" t="s">
        <v>105</v>
      </c>
      <c r="F938" t="s">
        <v>33</v>
      </c>
      <c r="G938" t="s">
        <v>792</v>
      </c>
      <c r="H938">
        <v>19.193999999999999</v>
      </c>
      <c r="I938">
        <v>7</v>
      </c>
      <c r="J938">
        <v>-12.795999999999999</v>
      </c>
      <c r="K938">
        <v>2012</v>
      </c>
      <c r="L938">
        <v>5</v>
      </c>
      <c r="M938" t="s">
        <v>47</v>
      </c>
      <c r="N938">
        <v>23</v>
      </c>
      <c r="O938">
        <v>7</v>
      </c>
      <c r="P938">
        <v>-66.67</v>
      </c>
      <c r="Q938">
        <v>2.742</v>
      </c>
      <c r="R938" t="s">
        <v>26</v>
      </c>
      <c r="S938" t="b">
        <v>1</v>
      </c>
      <c r="T938" t="b">
        <v>0</v>
      </c>
    </row>
    <row r="939" spans="1:20" x14ac:dyDescent="0.3">
      <c r="A939" t="s">
        <v>1735</v>
      </c>
      <c r="B939" s="1">
        <v>41052</v>
      </c>
      <c r="C939" s="1">
        <v>41059</v>
      </c>
      <c r="D939" t="s">
        <v>1736</v>
      </c>
      <c r="E939" t="s">
        <v>105</v>
      </c>
      <c r="F939" t="s">
        <v>35</v>
      </c>
      <c r="G939" t="s">
        <v>418</v>
      </c>
      <c r="H939">
        <v>121.792</v>
      </c>
      <c r="I939">
        <v>4</v>
      </c>
      <c r="J939">
        <v>13.701599999999999</v>
      </c>
      <c r="K939">
        <v>2012</v>
      </c>
      <c r="L939">
        <v>5</v>
      </c>
      <c r="M939" t="s">
        <v>47</v>
      </c>
      <c r="N939">
        <v>23</v>
      </c>
      <c r="O939">
        <v>7</v>
      </c>
      <c r="P939">
        <v>11.25</v>
      </c>
      <c r="Q939">
        <v>30.448</v>
      </c>
      <c r="R939" t="s">
        <v>26</v>
      </c>
      <c r="S939" t="b">
        <v>0</v>
      </c>
      <c r="T939" t="b">
        <v>0</v>
      </c>
    </row>
    <row r="940" spans="1:20" x14ac:dyDescent="0.3">
      <c r="A940" t="s">
        <v>1737</v>
      </c>
      <c r="B940" s="1">
        <v>40813</v>
      </c>
      <c r="C940" s="1">
        <v>40817</v>
      </c>
      <c r="D940" t="s">
        <v>973</v>
      </c>
      <c r="E940" t="s">
        <v>194</v>
      </c>
      <c r="F940" t="s">
        <v>72</v>
      </c>
      <c r="G940" t="s">
        <v>1023</v>
      </c>
      <c r="H940">
        <v>81.98</v>
      </c>
      <c r="I940">
        <v>2</v>
      </c>
      <c r="J940">
        <v>40.170200000000001</v>
      </c>
      <c r="K940">
        <v>2011</v>
      </c>
      <c r="L940">
        <v>9</v>
      </c>
      <c r="M940" t="s">
        <v>87</v>
      </c>
      <c r="N940">
        <v>27</v>
      </c>
      <c r="O940">
        <v>4</v>
      </c>
      <c r="P940">
        <v>49</v>
      </c>
      <c r="Q940">
        <v>40.99</v>
      </c>
      <c r="R940" t="s">
        <v>26</v>
      </c>
      <c r="S940" t="b">
        <v>0</v>
      </c>
      <c r="T940" t="b">
        <v>0</v>
      </c>
    </row>
    <row r="941" spans="1:20" x14ac:dyDescent="0.3">
      <c r="A941" t="s">
        <v>1738</v>
      </c>
      <c r="B941" s="1">
        <v>41163</v>
      </c>
      <c r="C941" s="1">
        <v>41167</v>
      </c>
      <c r="D941" t="s">
        <v>1739</v>
      </c>
      <c r="E941" t="s">
        <v>169</v>
      </c>
      <c r="F941" t="s">
        <v>31</v>
      </c>
      <c r="G941" t="s">
        <v>1740</v>
      </c>
      <c r="H941">
        <v>181.35</v>
      </c>
      <c r="I941">
        <v>9</v>
      </c>
      <c r="J941">
        <v>48.964500000000001</v>
      </c>
      <c r="K941">
        <v>2012</v>
      </c>
      <c r="L941">
        <v>9</v>
      </c>
      <c r="M941" t="s">
        <v>87</v>
      </c>
      <c r="N941">
        <v>11</v>
      </c>
      <c r="O941">
        <v>4</v>
      </c>
      <c r="P941">
        <v>27</v>
      </c>
      <c r="Q941">
        <v>20.149999999999999</v>
      </c>
      <c r="R941" t="s">
        <v>26</v>
      </c>
      <c r="S941" t="b">
        <v>0</v>
      </c>
      <c r="T941" t="b">
        <v>0</v>
      </c>
    </row>
    <row r="942" spans="1:20" x14ac:dyDescent="0.3">
      <c r="A942" t="s">
        <v>1738</v>
      </c>
      <c r="B942" s="1">
        <v>41163</v>
      </c>
      <c r="C942" s="1">
        <v>41167</v>
      </c>
      <c r="D942" t="s">
        <v>1739</v>
      </c>
      <c r="E942" t="s">
        <v>169</v>
      </c>
      <c r="F942" t="s">
        <v>23</v>
      </c>
      <c r="G942" t="s">
        <v>1741</v>
      </c>
      <c r="H942">
        <v>8.64</v>
      </c>
      <c r="I942">
        <v>3</v>
      </c>
      <c r="J942">
        <v>4.2336</v>
      </c>
      <c r="K942">
        <v>2012</v>
      </c>
      <c r="L942">
        <v>9</v>
      </c>
      <c r="M942" t="s">
        <v>87</v>
      </c>
      <c r="N942">
        <v>11</v>
      </c>
      <c r="O942">
        <v>4</v>
      </c>
      <c r="P942">
        <v>49</v>
      </c>
      <c r="Q942">
        <v>2.88</v>
      </c>
      <c r="R942" t="s">
        <v>26</v>
      </c>
      <c r="S942" t="b">
        <v>0</v>
      </c>
      <c r="T942" t="b">
        <v>0</v>
      </c>
    </row>
    <row r="943" spans="1:20" x14ac:dyDescent="0.3">
      <c r="A943" t="s">
        <v>1742</v>
      </c>
      <c r="B943" s="1">
        <v>41873</v>
      </c>
      <c r="C943" s="1">
        <v>41874</v>
      </c>
      <c r="D943" t="s">
        <v>1743</v>
      </c>
      <c r="E943" t="s">
        <v>663</v>
      </c>
      <c r="F943" t="s">
        <v>31</v>
      </c>
      <c r="G943" t="s">
        <v>1744</v>
      </c>
      <c r="H943">
        <v>17.12</v>
      </c>
      <c r="I943">
        <v>4</v>
      </c>
      <c r="J943">
        <v>4.9648000000000003</v>
      </c>
      <c r="K943">
        <v>2014</v>
      </c>
      <c r="L943">
        <v>8</v>
      </c>
      <c r="M943" t="s">
        <v>53</v>
      </c>
      <c r="N943">
        <v>22</v>
      </c>
      <c r="O943">
        <v>1</v>
      </c>
      <c r="P943">
        <v>29</v>
      </c>
      <c r="Q943">
        <v>4.28</v>
      </c>
      <c r="R943" t="s">
        <v>26</v>
      </c>
      <c r="S943" t="b">
        <v>0</v>
      </c>
      <c r="T943" t="b">
        <v>0</v>
      </c>
    </row>
    <row r="944" spans="1:20" x14ac:dyDescent="0.3">
      <c r="A944" t="s">
        <v>1742</v>
      </c>
      <c r="B944" s="1">
        <v>41873</v>
      </c>
      <c r="C944" s="1">
        <v>41874</v>
      </c>
      <c r="D944" t="s">
        <v>1743</v>
      </c>
      <c r="E944" t="s">
        <v>663</v>
      </c>
      <c r="F944" t="s">
        <v>54</v>
      </c>
      <c r="G944" t="s">
        <v>1745</v>
      </c>
      <c r="H944">
        <v>431.96800000000002</v>
      </c>
      <c r="I944">
        <v>4</v>
      </c>
      <c r="J944">
        <v>37.797199999999997</v>
      </c>
      <c r="K944">
        <v>2014</v>
      </c>
      <c r="L944">
        <v>8</v>
      </c>
      <c r="M944" t="s">
        <v>53</v>
      </c>
      <c r="N944">
        <v>22</v>
      </c>
      <c r="O944">
        <v>1</v>
      </c>
      <c r="P944">
        <v>8.75</v>
      </c>
      <c r="Q944">
        <v>107.992</v>
      </c>
      <c r="R944" t="s">
        <v>26</v>
      </c>
      <c r="S944" t="b">
        <v>0</v>
      </c>
      <c r="T944" t="b">
        <v>1</v>
      </c>
    </row>
    <row r="945" spans="1:20" x14ac:dyDescent="0.3">
      <c r="A945" t="s">
        <v>1742</v>
      </c>
      <c r="B945" s="1">
        <v>41873</v>
      </c>
      <c r="C945" s="1">
        <v>41874</v>
      </c>
      <c r="D945" t="s">
        <v>1743</v>
      </c>
      <c r="E945" t="s">
        <v>663</v>
      </c>
      <c r="F945" t="s">
        <v>29</v>
      </c>
      <c r="G945" t="s">
        <v>1746</v>
      </c>
      <c r="H945">
        <v>129.91999999999999</v>
      </c>
      <c r="I945">
        <v>4</v>
      </c>
      <c r="J945">
        <v>10.393599999999999</v>
      </c>
      <c r="K945">
        <v>2014</v>
      </c>
      <c r="L945">
        <v>8</v>
      </c>
      <c r="M945" t="s">
        <v>53</v>
      </c>
      <c r="N945">
        <v>22</v>
      </c>
      <c r="O945">
        <v>1</v>
      </c>
      <c r="P945">
        <v>8</v>
      </c>
      <c r="Q945">
        <v>32.479999999999997</v>
      </c>
      <c r="R945" t="s">
        <v>26</v>
      </c>
      <c r="S945" t="b">
        <v>0</v>
      </c>
      <c r="T945" t="b">
        <v>0</v>
      </c>
    </row>
    <row r="946" spans="1:20" x14ac:dyDescent="0.3">
      <c r="A946" t="s">
        <v>1742</v>
      </c>
      <c r="B946" s="1">
        <v>41873</v>
      </c>
      <c r="C946" s="1">
        <v>41874</v>
      </c>
      <c r="D946" t="s">
        <v>1743</v>
      </c>
      <c r="E946" t="s">
        <v>663</v>
      </c>
      <c r="F946" t="s">
        <v>33</v>
      </c>
      <c r="G946" t="s">
        <v>1747</v>
      </c>
      <c r="H946">
        <v>117.14400000000001</v>
      </c>
      <c r="I946">
        <v>9</v>
      </c>
      <c r="J946">
        <v>42.464700000000001</v>
      </c>
      <c r="K946">
        <v>2014</v>
      </c>
      <c r="L946">
        <v>8</v>
      </c>
      <c r="M946" t="s">
        <v>53</v>
      </c>
      <c r="N946">
        <v>22</v>
      </c>
      <c r="O946">
        <v>1</v>
      </c>
      <c r="P946">
        <v>36.25</v>
      </c>
      <c r="Q946">
        <v>13.016</v>
      </c>
      <c r="R946" t="s">
        <v>26</v>
      </c>
      <c r="S946" t="b">
        <v>0</v>
      </c>
      <c r="T946" t="b">
        <v>0</v>
      </c>
    </row>
    <row r="947" spans="1:20" x14ac:dyDescent="0.3">
      <c r="A947" t="s">
        <v>1742</v>
      </c>
      <c r="B947" s="1">
        <v>41873</v>
      </c>
      <c r="C947" s="1">
        <v>41874</v>
      </c>
      <c r="D947" t="s">
        <v>1743</v>
      </c>
      <c r="E947" t="s">
        <v>663</v>
      </c>
      <c r="F947" t="s">
        <v>35</v>
      </c>
      <c r="G947" t="s">
        <v>1748</v>
      </c>
      <c r="H947">
        <v>203.52</v>
      </c>
      <c r="I947">
        <v>3</v>
      </c>
      <c r="J947">
        <v>54.950400000000002</v>
      </c>
      <c r="K947">
        <v>2014</v>
      </c>
      <c r="L947">
        <v>8</v>
      </c>
      <c r="M947" t="s">
        <v>53</v>
      </c>
      <c r="N947">
        <v>22</v>
      </c>
      <c r="O947">
        <v>1</v>
      </c>
      <c r="P947">
        <v>27</v>
      </c>
      <c r="Q947">
        <v>67.84</v>
      </c>
      <c r="R947" t="s">
        <v>26</v>
      </c>
      <c r="S947" t="b">
        <v>0</v>
      </c>
      <c r="T947" t="b">
        <v>0</v>
      </c>
    </row>
    <row r="948" spans="1:20" x14ac:dyDescent="0.3">
      <c r="A948" t="s">
        <v>1742</v>
      </c>
      <c r="B948" s="1">
        <v>41873</v>
      </c>
      <c r="C948" s="1">
        <v>41874</v>
      </c>
      <c r="D948" t="s">
        <v>1743</v>
      </c>
      <c r="E948" t="s">
        <v>663</v>
      </c>
      <c r="F948" t="s">
        <v>23</v>
      </c>
      <c r="G948" t="s">
        <v>1749</v>
      </c>
      <c r="H948">
        <v>51.75</v>
      </c>
      <c r="I948">
        <v>5</v>
      </c>
      <c r="J948">
        <v>24.84</v>
      </c>
      <c r="K948">
        <v>2014</v>
      </c>
      <c r="L948">
        <v>8</v>
      </c>
      <c r="M948" t="s">
        <v>53</v>
      </c>
      <c r="N948">
        <v>22</v>
      </c>
      <c r="O948">
        <v>1</v>
      </c>
      <c r="P948">
        <v>48</v>
      </c>
      <c r="Q948">
        <v>10.35</v>
      </c>
      <c r="R948" t="s">
        <v>26</v>
      </c>
      <c r="S948" t="b">
        <v>0</v>
      </c>
      <c r="T948" t="b">
        <v>0</v>
      </c>
    </row>
    <row r="949" spans="1:20" x14ac:dyDescent="0.3">
      <c r="A949" t="s">
        <v>1750</v>
      </c>
      <c r="B949" s="1">
        <v>41134</v>
      </c>
      <c r="C949" s="1">
        <v>41141</v>
      </c>
      <c r="D949" t="s">
        <v>1751</v>
      </c>
      <c r="E949" t="s">
        <v>1752</v>
      </c>
      <c r="F949" t="s">
        <v>31</v>
      </c>
      <c r="G949" t="s">
        <v>1753</v>
      </c>
      <c r="H949">
        <v>50.8</v>
      </c>
      <c r="I949">
        <v>5</v>
      </c>
      <c r="J949">
        <v>13.208</v>
      </c>
      <c r="K949">
        <v>2012</v>
      </c>
      <c r="L949">
        <v>8</v>
      </c>
      <c r="M949" t="s">
        <v>53</v>
      </c>
      <c r="N949">
        <v>13</v>
      </c>
      <c r="O949">
        <v>7</v>
      </c>
      <c r="P949">
        <v>26</v>
      </c>
      <c r="Q949">
        <v>10.16</v>
      </c>
      <c r="R949" t="s">
        <v>26</v>
      </c>
      <c r="S949" t="b">
        <v>0</v>
      </c>
      <c r="T949" t="b">
        <v>0</v>
      </c>
    </row>
    <row r="950" spans="1:20" x14ac:dyDescent="0.3">
      <c r="A950" t="s">
        <v>1754</v>
      </c>
      <c r="B950" s="1">
        <v>41504</v>
      </c>
      <c r="C950" s="1">
        <v>41508</v>
      </c>
      <c r="D950" t="s">
        <v>680</v>
      </c>
      <c r="E950" t="s">
        <v>39</v>
      </c>
      <c r="F950" t="s">
        <v>33</v>
      </c>
      <c r="G950" t="s">
        <v>919</v>
      </c>
      <c r="H950">
        <v>15.712</v>
      </c>
      <c r="I950">
        <v>4</v>
      </c>
      <c r="J950">
        <v>5.6955999999999998</v>
      </c>
      <c r="K950">
        <v>2013</v>
      </c>
      <c r="L950">
        <v>8</v>
      </c>
      <c r="M950" t="s">
        <v>53</v>
      </c>
      <c r="N950">
        <v>18</v>
      </c>
      <c r="O950">
        <v>4</v>
      </c>
      <c r="P950">
        <v>36.25</v>
      </c>
      <c r="Q950">
        <v>3.9279999999999999</v>
      </c>
      <c r="R950" t="s">
        <v>26</v>
      </c>
      <c r="S950" t="b">
        <v>0</v>
      </c>
      <c r="T950" t="b">
        <v>0</v>
      </c>
    </row>
    <row r="951" spans="1:20" x14ac:dyDescent="0.3">
      <c r="A951" t="s">
        <v>1755</v>
      </c>
      <c r="B951" s="1">
        <v>40809</v>
      </c>
      <c r="C951" s="1">
        <v>40814</v>
      </c>
      <c r="D951" t="s">
        <v>1756</v>
      </c>
      <c r="E951" t="s">
        <v>194</v>
      </c>
      <c r="F951" t="s">
        <v>317</v>
      </c>
      <c r="G951" t="s">
        <v>1757</v>
      </c>
      <c r="H951">
        <v>435.99900000000002</v>
      </c>
      <c r="I951">
        <v>3</v>
      </c>
      <c r="J951">
        <v>20.517600000000002</v>
      </c>
      <c r="K951">
        <v>2011</v>
      </c>
      <c r="L951">
        <v>9</v>
      </c>
      <c r="M951" t="s">
        <v>87</v>
      </c>
      <c r="N951">
        <v>23</v>
      </c>
      <c r="O951">
        <v>5</v>
      </c>
      <c r="P951">
        <v>4.71</v>
      </c>
      <c r="Q951">
        <v>145.333</v>
      </c>
      <c r="R951" t="s">
        <v>26</v>
      </c>
      <c r="S951" t="b">
        <v>0</v>
      </c>
      <c r="T951" t="b">
        <v>1</v>
      </c>
    </row>
    <row r="952" spans="1:20" x14ac:dyDescent="0.3">
      <c r="A952" t="s">
        <v>1755</v>
      </c>
      <c r="B952" s="1">
        <v>40809</v>
      </c>
      <c r="C952" s="1">
        <v>40814</v>
      </c>
      <c r="D952" t="s">
        <v>1756</v>
      </c>
      <c r="E952" t="s">
        <v>194</v>
      </c>
      <c r="F952" t="s">
        <v>54</v>
      </c>
      <c r="G952" t="s">
        <v>78</v>
      </c>
      <c r="H952">
        <v>83.983999999999995</v>
      </c>
      <c r="I952">
        <v>2</v>
      </c>
      <c r="J952">
        <v>31.494</v>
      </c>
      <c r="K952">
        <v>2011</v>
      </c>
      <c r="L952">
        <v>9</v>
      </c>
      <c r="M952" t="s">
        <v>87</v>
      </c>
      <c r="N952">
        <v>23</v>
      </c>
      <c r="O952">
        <v>5</v>
      </c>
      <c r="P952">
        <v>37.5</v>
      </c>
      <c r="Q952">
        <v>41.991999999999997</v>
      </c>
      <c r="R952" t="s">
        <v>26</v>
      </c>
      <c r="S952" t="b">
        <v>0</v>
      </c>
      <c r="T952" t="b">
        <v>0</v>
      </c>
    </row>
    <row r="953" spans="1:20" x14ac:dyDescent="0.3">
      <c r="A953" t="s">
        <v>1758</v>
      </c>
      <c r="B953" s="1">
        <v>40575</v>
      </c>
      <c r="C953" s="1">
        <v>40577</v>
      </c>
      <c r="D953" t="s">
        <v>1759</v>
      </c>
      <c r="E953" t="s">
        <v>442</v>
      </c>
      <c r="F953" t="s">
        <v>317</v>
      </c>
      <c r="G953" t="s">
        <v>1760</v>
      </c>
      <c r="H953">
        <v>290.666</v>
      </c>
      <c r="I953">
        <v>2</v>
      </c>
      <c r="J953">
        <v>3.4196</v>
      </c>
      <c r="K953">
        <v>2011</v>
      </c>
      <c r="L953">
        <v>2</v>
      </c>
      <c r="M953" t="s">
        <v>303</v>
      </c>
      <c r="N953">
        <v>1</v>
      </c>
      <c r="O953">
        <v>2</v>
      </c>
      <c r="P953">
        <v>1.18</v>
      </c>
      <c r="Q953">
        <v>145.333</v>
      </c>
      <c r="R953" t="s">
        <v>26</v>
      </c>
      <c r="S953" t="b">
        <v>0</v>
      </c>
      <c r="T953" t="b">
        <v>1</v>
      </c>
    </row>
    <row r="954" spans="1:20" x14ac:dyDescent="0.3">
      <c r="A954" t="s">
        <v>1761</v>
      </c>
      <c r="B954" s="1">
        <v>41234</v>
      </c>
      <c r="C954" s="1">
        <v>41238</v>
      </c>
      <c r="D954" t="s">
        <v>955</v>
      </c>
      <c r="E954" t="s">
        <v>271</v>
      </c>
      <c r="F954" t="s">
        <v>317</v>
      </c>
      <c r="G954" t="s">
        <v>1762</v>
      </c>
      <c r="H954">
        <v>141.96</v>
      </c>
      <c r="I954">
        <v>2</v>
      </c>
      <c r="J954">
        <v>41.168399999999998</v>
      </c>
      <c r="K954">
        <v>2012</v>
      </c>
      <c r="L954">
        <v>11</v>
      </c>
      <c r="M954" t="s">
        <v>70</v>
      </c>
      <c r="N954">
        <v>21</v>
      </c>
      <c r="O954">
        <v>4</v>
      </c>
      <c r="P954">
        <v>29</v>
      </c>
      <c r="Q954">
        <v>70.98</v>
      </c>
      <c r="R954" t="s">
        <v>26</v>
      </c>
      <c r="S954" t="b">
        <v>0</v>
      </c>
      <c r="T954" t="b">
        <v>0</v>
      </c>
    </row>
    <row r="955" spans="1:20" x14ac:dyDescent="0.3">
      <c r="A955" t="s">
        <v>1761</v>
      </c>
      <c r="B955" s="1">
        <v>41234</v>
      </c>
      <c r="C955" s="1">
        <v>41238</v>
      </c>
      <c r="D955" t="s">
        <v>955</v>
      </c>
      <c r="E955" t="s">
        <v>271</v>
      </c>
      <c r="F955" t="s">
        <v>33</v>
      </c>
      <c r="G955" t="s">
        <v>264</v>
      </c>
      <c r="H955">
        <v>66.048000000000002</v>
      </c>
      <c r="I955">
        <v>4</v>
      </c>
      <c r="J955">
        <v>23.116800000000001</v>
      </c>
      <c r="K955">
        <v>2012</v>
      </c>
      <c r="L955">
        <v>11</v>
      </c>
      <c r="M955" t="s">
        <v>70</v>
      </c>
      <c r="N955">
        <v>21</v>
      </c>
      <c r="O955">
        <v>4</v>
      </c>
      <c r="P955">
        <v>35</v>
      </c>
      <c r="Q955">
        <v>16.512</v>
      </c>
      <c r="R955" t="s">
        <v>26</v>
      </c>
      <c r="S955" t="b">
        <v>0</v>
      </c>
      <c r="T955" t="b">
        <v>0</v>
      </c>
    </row>
    <row r="956" spans="1:20" x14ac:dyDescent="0.3">
      <c r="A956" t="s">
        <v>1763</v>
      </c>
      <c r="B956" s="1">
        <v>41906</v>
      </c>
      <c r="C956" s="1">
        <v>41913</v>
      </c>
      <c r="D956" t="s">
        <v>172</v>
      </c>
      <c r="E956" t="s">
        <v>51</v>
      </c>
      <c r="F956" t="s">
        <v>33</v>
      </c>
      <c r="G956" t="s">
        <v>1764</v>
      </c>
      <c r="H956">
        <v>25.824000000000002</v>
      </c>
      <c r="I956">
        <v>6</v>
      </c>
      <c r="J956">
        <v>9.0383999999999993</v>
      </c>
      <c r="K956">
        <v>2014</v>
      </c>
      <c r="L956">
        <v>9</v>
      </c>
      <c r="M956" t="s">
        <v>87</v>
      </c>
      <c r="N956">
        <v>24</v>
      </c>
      <c r="O956">
        <v>7</v>
      </c>
      <c r="P956">
        <v>35</v>
      </c>
      <c r="Q956">
        <v>4.3040000000000003</v>
      </c>
      <c r="R956" t="s">
        <v>26</v>
      </c>
      <c r="S956" t="b">
        <v>0</v>
      </c>
      <c r="T956" t="b">
        <v>0</v>
      </c>
    </row>
    <row r="957" spans="1:20" x14ac:dyDescent="0.3">
      <c r="A957" t="s">
        <v>1763</v>
      </c>
      <c r="B957" s="1">
        <v>41906</v>
      </c>
      <c r="C957" s="1">
        <v>41913</v>
      </c>
      <c r="D957" t="s">
        <v>172</v>
      </c>
      <c r="E957" t="s">
        <v>51</v>
      </c>
      <c r="F957" t="s">
        <v>35</v>
      </c>
      <c r="G957" t="s">
        <v>1724</v>
      </c>
      <c r="H957">
        <v>160.96</v>
      </c>
      <c r="I957">
        <v>2</v>
      </c>
      <c r="J957">
        <v>48.287999999999997</v>
      </c>
      <c r="K957">
        <v>2014</v>
      </c>
      <c r="L957">
        <v>9</v>
      </c>
      <c r="M957" t="s">
        <v>87</v>
      </c>
      <c r="N957">
        <v>24</v>
      </c>
      <c r="O957">
        <v>7</v>
      </c>
      <c r="P957">
        <v>30</v>
      </c>
      <c r="Q957">
        <v>80.48</v>
      </c>
      <c r="R957" t="s">
        <v>26</v>
      </c>
      <c r="S957" t="b">
        <v>0</v>
      </c>
      <c r="T957" t="b">
        <v>0</v>
      </c>
    </row>
    <row r="958" spans="1:20" x14ac:dyDescent="0.3">
      <c r="A958" t="s">
        <v>1765</v>
      </c>
      <c r="B958" s="1">
        <v>40764</v>
      </c>
      <c r="C958" s="1">
        <v>40768</v>
      </c>
      <c r="D958" t="s">
        <v>1766</v>
      </c>
      <c r="E958" t="s">
        <v>39</v>
      </c>
      <c r="F958" t="s">
        <v>54</v>
      </c>
      <c r="G958" t="s">
        <v>958</v>
      </c>
      <c r="H958">
        <v>219.16800000000001</v>
      </c>
      <c r="I958">
        <v>2</v>
      </c>
      <c r="J958">
        <v>-43.833599999999997</v>
      </c>
      <c r="K958">
        <v>2011</v>
      </c>
      <c r="L958">
        <v>8</v>
      </c>
      <c r="M958" t="s">
        <v>53</v>
      </c>
      <c r="N958">
        <v>9</v>
      </c>
      <c r="O958">
        <v>4</v>
      </c>
      <c r="P958">
        <v>-20</v>
      </c>
      <c r="Q958">
        <v>109.584</v>
      </c>
      <c r="R958" t="s">
        <v>26</v>
      </c>
      <c r="S958" t="b">
        <v>1</v>
      </c>
      <c r="T958" t="b">
        <v>1</v>
      </c>
    </row>
    <row r="959" spans="1:20" x14ac:dyDescent="0.3">
      <c r="A959" t="s">
        <v>1767</v>
      </c>
      <c r="B959" s="1">
        <v>41199</v>
      </c>
      <c r="C959" s="1">
        <v>41199</v>
      </c>
      <c r="D959" t="s">
        <v>1768</v>
      </c>
      <c r="E959" t="s">
        <v>22</v>
      </c>
      <c r="F959" t="s">
        <v>45</v>
      </c>
      <c r="G959" t="s">
        <v>65</v>
      </c>
      <c r="H959">
        <v>77.88</v>
      </c>
      <c r="I959">
        <v>2</v>
      </c>
      <c r="J959">
        <v>3.8940000000000001</v>
      </c>
      <c r="K959">
        <v>2012</v>
      </c>
      <c r="L959">
        <v>10</v>
      </c>
      <c r="M959" t="s">
        <v>82</v>
      </c>
      <c r="N959">
        <v>17</v>
      </c>
      <c r="O959">
        <v>0</v>
      </c>
      <c r="P959">
        <v>5</v>
      </c>
      <c r="Q959">
        <v>38.94</v>
      </c>
      <c r="R959" t="s">
        <v>26</v>
      </c>
      <c r="S959" t="b">
        <v>0</v>
      </c>
      <c r="T959" t="b">
        <v>0</v>
      </c>
    </row>
    <row r="960" spans="1:20" x14ac:dyDescent="0.3">
      <c r="A960" t="s">
        <v>1769</v>
      </c>
      <c r="B960" s="1">
        <v>41538</v>
      </c>
      <c r="C960" s="1">
        <v>41542</v>
      </c>
      <c r="D960" t="s">
        <v>1770</v>
      </c>
      <c r="E960" t="s">
        <v>51</v>
      </c>
      <c r="F960" t="s">
        <v>72</v>
      </c>
      <c r="G960" t="s">
        <v>1771</v>
      </c>
      <c r="H960">
        <v>65.790000000000006</v>
      </c>
      <c r="I960">
        <v>9</v>
      </c>
      <c r="J960">
        <v>30.263400000000001</v>
      </c>
      <c r="K960">
        <v>2013</v>
      </c>
      <c r="L960">
        <v>9</v>
      </c>
      <c r="M960" t="s">
        <v>87</v>
      </c>
      <c r="N960">
        <v>21</v>
      </c>
      <c r="O960">
        <v>4</v>
      </c>
      <c r="P960">
        <v>46</v>
      </c>
      <c r="Q960">
        <v>7.31</v>
      </c>
      <c r="R960" t="s">
        <v>26</v>
      </c>
      <c r="S960" t="b">
        <v>0</v>
      </c>
      <c r="T960" t="b">
        <v>0</v>
      </c>
    </row>
    <row r="961" spans="1:20" x14ac:dyDescent="0.3">
      <c r="A961" t="s">
        <v>1769</v>
      </c>
      <c r="B961" s="1">
        <v>41538</v>
      </c>
      <c r="C961" s="1">
        <v>41542</v>
      </c>
      <c r="D961" t="s">
        <v>1770</v>
      </c>
      <c r="E961" t="s">
        <v>51</v>
      </c>
      <c r="F961" t="s">
        <v>33</v>
      </c>
      <c r="G961" t="s">
        <v>40</v>
      </c>
      <c r="H961">
        <v>271.98399999999998</v>
      </c>
      <c r="I961">
        <v>2</v>
      </c>
      <c r="J961">
        <v>88.394800000000004</v>
      </c>
      <c r="K961">
        <v>2013</v>
      </c>
      <c r="L961">
        <v>9</v>
      </c>
      <c r="M961" t="s">
        <v>87</v>
      </c>
      <c r="N961">
        <v>21</v>
      </c>
      <c r="O961">
        <v>4</v>
      </c>
      <c r="P961">
        <v>32.5</v>
      </c>
      <c r="Q961">
        <v>135.99199999999999</v>
      </c>
      <c r="R961" t="s">
        <v>26</v>
      </c>
      <c r="S961" t="b">
        <v>0</v>
      </c>
      <c r="T961" t="b">
        <v>1</v>
      </c>
    </row>
    <row r="962" spans="1:20" x14ac:dyDescent="0.3">
      <c r="A962" t="s">
        <v>1769</v>
      </c>
      <c r="B962" s="1">
        <v>41538</v>
      </c>
      <c r="C962" s="1">
        <v>41542</v>
      </c>
      <c r="D962" t="s">
        <v>1770</v>
      </c>
      <c r="E962" t="s">
        <v>51</v>
      </c>
      <c r="F962" t="s">
        <v>31</v>
      </c>
      <c r="G962" t="s">
        <v>127</v>
      </c>
      <c r="H962">
        <v>11.76</v>
      </c>
      <c r="I962">
        <v>4</v>
      </c>
      <c r="J962">
        <v>3.1751999999999998</v>
      </c>
      <c r="K962">
        <v>2013</v>
      </c>
      <c r="L962">
        <v>9</v>
      </c>
      <c r="M962" t="s">
        <v>87</v>
      </c>
      <c r="N962">
        <v>21</v>
      </c>
      <c r="O962">
        <v>4</v>
      </c>
      <c r="P962">
        <v>27</v>
      </c>
      <c r="Q962">
        <v>2.94</v>
      </c>
      <c r="R962" t="s">
        <v>26</v>
      </c>
      <c r="S962" t="b">
        <v>0</v>
      </c>
      <c r="T962" t="b">
        <v>0</v>
      </c>
    </row>
    <row r="963" spans="1:20" x14ac:dyDescent="0.3">
      <c r="A963" t="s">
        <v>1769</v>
      </c>
      <c r="B963" s="1">
        <v>41538</v>
      </c>
      <c r="C963" s="1">
        <v>41542</v>
      </c>
      <c r="D963" t="s">
        <v>1770</v>
      </c>
      <c r="E963" t="s">
        <v>51</v>
      </c>
      <c r="F963" t="s">
        <v>72</v>
      </c>
      <c r="G963" t="s">
        <v>1772</v>
      </c>
      <c r="H963">
        <v>77.52</v>
      </c>
      <c r="I963">
        <v>2</v>
      </c>
      <c r="J963">
        <v>37.9848</v>
      </c>
      <c r="K963">
        <v>2013</v>
      </c>
      <c r="L963">
        <v>9</v>
      </c>
      <c r="M963" t="s">
        <v>87</v>
      </c>
      <c r="N963">
        <v>21</v>
      </c>
      <c r="O963">
        <v>4</v>
      </c>
      <c r="P963">
        <v>49</v>
      </c>
      <c r="Q963">
        <v>38.76</v>
      </c>
      <c r="R963" t="s">
        <v>26</v>
      </c>
      <c r="S963" t="b">
        <v>0</v>
      </c>
      <c r="T963" t="b">
        <v>0</v>
      </c>
    </row>
    <row r="964" spans="1:20" x14ac:dyDescent="0.3">
      <c r="A964" t="s">
        <v>1769</v>
      </c>
      <c r="B964" s="1">
        <v>41538</v>
      </c>
      <c r="C964" s="1">
        <v>41542</v>
      </c>
      <c r="D964" t="s">
        <v>1770</v>
      </c>
      <c r="E964" t="s">
        <v>51</v>
      </c>
      <c r="F964" t="s">
        <v>33</v>
      </c>
      <c r="G964" t="s">
        <v>1545</v>
      </c>
      <c r="H964">
        <v>48.64</v>
      </c>
      <c r="I964">
        <v>2</v>
      </c>
      <c r="J964">
        <v>15.808</v>
      </c>
      <c r="K964">
        <v>2013</v>
      </c>
      <c r="L964">
        <v>9</v>
      </c>
      <c r="M964" t="s">
        <v>87</v>
      </c>
      <c r="N964">
        <v>21</v>
      </c>
      <c r="O964">
        <v>4</v>
      </c>
      <c r="P964">
        <v>32.5</v>
      </c>
      <c r="Q964">
        <v>24.32</v>
      </c>
      <c r="R964" t="s">
        <v>26</v>
      </c>
      <c r="S964" t="b">
        <v>0</v>
      </c>
      <c r="T964" t="b">
        <v>0</v>
      </c>
    </row>
    <row r="965" spans="1:20" x14ac:dyDescent="0.3">
      <c r="A965" t="s">
        <v>1773</v>
      </c>
      <c r="B965" s="1">
        <v>41026</v>
      </c>
      <c r="C965" s="1">
        <v>41031</v>
      </c>
      <c r="D965" t="s">
        <v>1774</v>
      </c>
      <c r="E965" t="s">
        <v>99</v>
      </c>
      <c r="F965" t="s">
        <v>35</v>
      </c>
      <c r="G965" t="s">
        <v>765</v>
      </c>
      <c r="H965">
        <v>43.56</v>
      </c>
      <c r="I965">
        <v>5</v>
      </c>
      <c r="J965">
        <v>3.2669999999999999</v>
      </c>
      <c r="K965">
        <v>2012</v>
      </c>
      <c r="L965">
        <v>4</v>
      </c>
      <c r="M965" t="s">
        <v>236</v>
      </c>
      <c r="N965">
        <v>27</v>
      </c>
      <c r="O965">
        <v>5</v>
      </c>
      <c r="P965">
        <v>7.5</v>
      </c>
      <c r="Q965">
        <v>8.7119999999999997</v>
      </c>
      <c r="R965" t="s">
        <v>26</v>
      </c>
      <c r="S965" t="b">
        <v>0</v>
      </c>
      <c r="T965" t="b">
        <v>0</v>
      </c>
    </row>
    <row r="966" spans="1:20" x14ac:dyDescent="0.3">
      <c r="A966" t="s">
        <v>1773</v>
      </c>
      <c r="B966" s="1">
        <v>41026</v>
      </c>
      <c r="C966" s="1">
        <v>41031</v>
      </c>
      <c r="D966" t="s">
        <v>1774</v>
      </c>
      <c r="E966" t="s">
        <v>99</v>
      </c>
      <c r="F966" t="s">
        <v>122</v>
      </c>
      <c r="G966" t="s">
        <v>400</v>
      </c>
      <c r="H966">
        <v>5.84</v>
      </c>
      <c r="I966">
        <v>2</v>
      </c>
      <c r="J966">
        <v>0.73</v>
      </c>
      <c r="K966">
        <v>2012</v>
      </c>
      <c r="L966">
        <v>4</v>
      </c>
      <c r="M966" t="s">
        <v>236</v>
      </c>
      <c r="N966">
        <v>27</v>
      </c>
      <c r="O966">
        <v>5</v>
      </c>
      <c r="P966">
        <v>12.5</v>
      </c>
      <c r="Q966">
        <v>2.92</v>
      </c>
      <c r="R966" t="s">
        <v>26</v>
      </c>
      <c r="S966" t="b">
        <v>0</v>
      </c>
      <c r="T966" t="b">
        <v>0</v>
      </c>
    </row>
    <row r="967" spans="1:20" x14ac:dyDescent="0.3">
      <c r="A967" t="s">
        <v>1775</v>
      </c>
      <c r="B967" s="1">
        <v>41423</v>
      </c>
      <c r="C967" s="1">
        <v>41429</v>
      </c>
      <c r="D967" t="s">
        <v>497</v>
      </c>
      <c r="E967" t="s">
        <v>22</v>
      </c>
      <c r="F967" t="s">
        <v>35</v>
      </c>
      <c r="G967" t="s">
        <v>1776</v>
      </c>
      <c r="H967">
        <v>262.24</v>
      </c>
      <c r="I967">
        <v>2</v>
      </c>
      <c r="J967">
        <v>78.671999999999997</v>
      </c>
      <c r="K967">
        <v>2013</v>
      </c>
      <c r="L967">
        <v>5</v>
      </c>
      <c r="M967" t="s">
        <v>47</v>
      </c>
      <c r="N967">
        <v>29</v>
      </c>
      <c r="O967">
        <v>6</v>
      </c>
      <c r="P967">
        <v>30</v>
      </c>
      <c r="Q967">
        <v>131.12</v>
      </c>
      <c r="R967" t="s">
        <v>26</v>
      </c>
      <c r="S967" t="b">
        <v>0</v>
      </c>
      <c r="T967" t="b">
        <v>1</v>
      </c>
    </row>
    <row r="968" spans="1:20" x14ac:dyDescent="0.3">
      <c r="A968" t="s">
        <v>1775</v>
      </c>
      <c r="B968" s="1">
        <v>41423</v>
      </c>
      <c r="C968" s="1">
        <v>41429</v>
      </c>
      <c r="D968" t="s">
        <v>497</v>
      </c>
      <c r="E968" t="s">
        <v>22</v>
      </c>
      <c r="F968" t="s">
        <v>72</v>
      </c>
      <c r="G968" t="s">
        <v>1777</v>
      </c>
      <c r="H968">
        <v>182.72</v>
      </c>
      <c r="I968">
        <v>8</v>
      </c>
      <c r="J968">
        <v>84.051199999999994</v>
      </c>
      <c r="K968">
        <v>2013</v>
      </c>
      <c r="L968">
        <v>5</v>
      </c>
      <c r="M968" t="s">
        <v>47</v>
      </c>
      <c r="N968">
        <v>29</v>
      </c>
      <c r="O968">
        <v>6</v>
      </c>
      <c r="P968">
        <v>46</v>
      </c>
      <c r="Q968">
        <v>22.84</v>
      </c>
      <c r="R968" t="s">
        <v>26</v>
      </c>
      <c r="S968" t="b">
        <v>0</v>
      </c>
      <c r="T968" t="b">
        <v>0</v>
      </c>
    </row>
    <row r="969" spans="1:20" x14ac:dyDescent="0.3">
      <c r="A969" t="s">
        <v>1775</v>
      </c>
      <c r="B969" s="1">
        <v>41423</v>
      </c>
      <c r="C969" s="1">
        <v>41429</v>
      </c>
      <c r="D969" t="s">
        <v>497</v>
      </c>
      <c r="E969" t="s">
        <v>22</v>
      </c>
      <c r="F969" t="s">
        <v>61</v>
      </c>
      <c r="G969" t="s">
        <v>1778</v>
      </c>
      <c r="H969">
        <v>131.6</v>
      </c>
      <c r="I969">
        <v>7</v>
      </c>
      <c r="J969">
        <v>7.8959999999999999</v>
      </c>
      <c r="K969">
        <v>2013</v>
      </c>
      <c r="L969">
        <v>5</v>
      </c>
      <c r="M969" t="s">
        <v>47</v>
      </c>
      <c r="N969">
        <v>29</v>
      </c>
      <c r="O969">
        <v>6</v>
      </c>
      <c r="P969">
        <v>6</v>
      </c>
      <c r="Q969">
        <v>18.8</v>
      </c>
      <c r="R969" t="s">
        <v>26</v>
      </c>
      <c r="S969" t="b">
        <v>0</v>
      </c>
      <c r="T969" t="b">
        <v>0</v>
      </c>
    </row>
    <row r="970" spans="1:20" x14ac:dyDescent="0.3">
      <c r="A970" t="s">
        <v>1775</v>
      </c>
      <c r="B970" s="1">
        <v>41423</v>
      </c>
      <c r="C970" s="1">
        <v>41429</v>
      </c>
      <c r="D970" t="s">
        <v>497</v>
      </c>
      <c r="E970" t="s">
        <v>22</v>
      </c>
      <c r="F970" t="s">
        <v>33</v>
      </c>
      <c r="G970" t="s">
        <v>56</v>
      </c>
      <c r="H970">
        <v>22.72</v>
      </c>
      <c r="I970">
        <v>4</v>
      </c>
      <c r="J970">
        <v>7.3840000000000003</v>
      </c>
      <c r="K970">
        <v>2013</v>
      </c>
      <c r="L970">
        <v>5</v>
      </c>
      <c r="M970" t="s">
        <v>47</v>
      </c>
      <c r="N970">
        <v>29</v>
      </c>
      <c r="O970">
        <v>6</v>
      </c>
      <c r="P970">
        <v>32.5</v>
      </c>
      <c r="Q970">
        <v>5.68</v>
      </c>
      <c r="R970" t="s">
        <v>26</v>
      </c>
      <c r="S970" t="b">
        <v>0</v>
      </c>
      <c r="T970" t="b">
        <v>0</v>
      </c>
    </row>
    <row r="971" spans="1:20" x14ac:dyDescent="0.3">
      <c r="A971" t="s">
        <v>1779</v>
      </c>
      <c r="B971" s="1">
        <v>41982</v>
      </c>
      <c r="C971" s="1">
        <v>41983</v>
      </c>
      <c r="D971" t="s">
        <v>1780</v>
      </c>
      <c r="E971" t="s">
        <v>207</v>
      </c>
      <c r="F971" t="s">
        <v>45</v>
      </c>
      <c r="G971" t="s">
        <v>1781</v>
      </c>
      <c r="H971">
        <v>29.79</v>
      </c>
      <c r="I971">
        <v>3</v>
      </c>
      <c r="J971">
        <v>8.6390999999999991</v>
      </c>
      <c r="K971">
        <v>2014</v>
      </c>
      <c r="L971">
        <v>12</v>
      </c>
      <c r="M971" t="s">
        <v>41</v>
      </c>
      <c r="N971">
        <v>9</v>
      </c>
      <c r="O971">
        <v>1</v>
      </c>
      <c r="P971">
        <v>29</v>
      </c>
      <c r="Q971">
        <v>9.93</v>
      </c>
      <c r="R971" t="s">
        <v>26</v>
      </c>
      <c r="S971" t="b">
        <v>0</v>
      </c>
      <c r="T971" t="b">
        <v>0</v>
      </c>
    </row>
    <row r="972" spans="1:20" x14ac:dyDescent="0.3">
      <c r="A972" t="s">
        <v>1779</v>
      </c>
      <c r="B972" s="1">
        <v>41982</v>
      </c>
      <c r="C972" s="1">
        <v>41983</v>
      </c>
      <c r="D972" t="s">
        <v>1780</v>
      </c>
      <c r="E972" t="s">
        <v>207</v>
      </c>
      <c r="F972" t="s">
        <v>29</v>
      </c>
      <c r="G972" t="s">
        <v>1782</v>
      </c>
      <c r="H972">
        <v>128.9</v>
      </c>
      <c r="I972">
        <v>2</v>
      </c>
      <c r="J972">
        <v>15.468</v>
      </c>
      <c r="K972">
        <v>2014</v>
      </c>
      <c r="L972">
        <v>12</v>
      </c>
      <c r="M972" t="s">
        <v>41</v>
      </c>
      <c r="N972">
        <v>9</v>
      </c>
      <c r="O972">
        <v>1</v>
      </c>
      <c r="P972">
        <v>12</v>
      </c>
      <c r="Q972">
        <v>64.45</v>
      </c>
      <c r="R972" t="s">
        <v>26</v>
      </c>
      <c r="S972" t="b">
        <v>0</v>
      </c>
      <c r="T972" t="b">
        <v>0</v>
      </c>
    </row>
    <row r="973" spans="1:20" x14ac:dyDescent="0.3">
      <c r="A973" t="s">
        <v>1779</v>
      </c>
      <c r="B973" s="1">
        <v>41982</v>
      </c>
      <c r="C973" s="1">
        <v>41983</v>
      </c>
      <c r="D973" t="s">
        <v>1780</v>
      </c>
      <c r="E973" t="s">
        <v>207</v>
      </c>
      <c r="F973" t="s">
        <v>72</v>
      </c>
      <c r="G973" t="s">
        <v>1783</v>
      </c>
      <c r="H973">
        <v>60.12</v>
      </c>
      <c r="I973">
        <v>9</v>
      </c>
      <c r="J973">
        <v>28.857600000000001</v>
      </c>
      <c r="K973">
        <v>2014</v>
      </c>
      <c r="L973">
        <v>12</v>
      </c>
      <c r="M973" t="s">
        <v>41</v>
      </c>
      <c r="N973">
        <v>9</v>
      </c>
      <c r="O973">
        <v>1</v>
      </c>
      <c r="P973">
        <v>48</v>
      </c>
      <c r="Q973">
        <v>6.68</v>
      </c>
      <c r="R973" t="s">
        <v>26</v>
      </c>
      <c r="S973" t="b">
        <v>0</v>
      </c>
      <c r="T973" t="b">
        <v>0</v>
      </c>
    </row>
    <row r="974" spans="1:20" x14ac:dyDescent="0.3">
      <c r="A974" t="s">
        <v>1784</v>
      </c>
      <c r="B974" s="1">
        <v>41979</v>
      </c>
      <c r="C974" s="1">
        <v>41983</v>
      </c>
      <c r="D974" t="s">
        <v>455</v>
      </c>
      <c r="E974" t="s">
        <v>912</v>
      </c>
      <c r="F974" t="s">
        <v>33</v>
      </c>
      <c r="G974" t="s">
        <v>1785</v>
      </c>
      <c r="H974">
        <v>24.815999999999999</v>
      </c>
      <c r="I974">
        <v>3</v>
      </c>
      <c r="J974">
        <v>8.3754000000000008</v>
      </c>
      <c r="K974">
        <v>2014</v>
      </c>
      <c r="L974">
        <v>12</v>
      </c>
      <c r="M974" t="s">
        <v>41</v>
      </c>
      <c r="N974">
        <v>6</v>
      </c>
      <c r="O974">
        <v>4</v>
      </c>
      <c r="P974">
        <v>33.75</v>
      </c>
      <c r="Q974">
        <v>8.2720000000000002</v>
      </c>
      <c r="R974" t="s">
        <v>26</v>
      </c>
      <c r="S974" t="b">
        <v>0</v>
      </c>
      <c r="T974" t="b">
        <v>0</v>
      </c>
    </row>
    <row r="975" spans="1:20" x14ac:dyDescent="0.3">
      <c r="A975" t="s">
        <v>1784</v>
      </c>
      <c r="B975" s="1">
        <v>41979</v>
      </c>
      <c r="C975" s="1">
        <v>41983</v>
      </c>
      <c r="D975" t="s">
        <v>455</v>
      </c>
      <c r="E975" t="s">
        <v>912</v>
      </c>
      <c r="F975" t="s">
        <v>33</v>
      </c>
      <c r="G975" t="s">
        <v>1254</v>
      </c>
      <c r="H975">
        <v>14.976000000000001</v>
      </c>
      <c r="I975">
        <v>6</v>
      </c>
      <c r="J975">
        <v>5.4287999999999998</v>
      </c>
      <c r="K975">
        <v>2014</v>
      </c>
      <c r="L975">
        <v>12</v>
      </c>
      <c r="M975" t="s">
        <v>41</v>
      </c>
      <c r="N975">
        <v>6</v>
      </c>
      <c r="O975">
        <v>4</v>
      </c>
      <c r="P975">
        <v>36.25</v>
      </c>
      <c r="Q975">
        <v>2.496</v>
      </c>
      <c r="R975" t="s">
        <v>26</v>
      </c>
      <c r="S975" t="b">
        <v>0</v>
      </c>
      <c r="T975" t="b">
        <v>0</v>
      </c>
    </row>
    <row r="976" spans="1:20" x14ac:dyDescent="0.3">
      <c r="A976" t="s">
        <v>1786</v>
      </c>
      <c r="B976" s="1">
        <v>41242</v>
      </c>
      <c r="C976" s="1">
        <v>41243</v>
      </c>
      <c r="D976" t="s">
        <v>1787</v>
      </c>
      <c r="E976" t="s">
        <v>51</v>
      </c>
      <c r="F976" t="s">
        <v>33</v>
      </c>
      <c r="G976" t="s">
        <v>71</v>
      </c>
      <c r="H976">
        <v>4.3040000000000003</v>
      </c>
      <c r="I976">
        <v>1</v>
      </c>
      <c r="J976">
        <v>1.5602</v>
      </c>
      <c r="K976">
        <v>2012</v>
      </c>
      <c r="L976">
        <v>11</v>
      </c>
      <c r="M976" t="s">
        <v>70</v>
      </c>
      <c r="N976">
        <v>29</v>
      </c>
      <c r="O976">
        <v>1</v>
      </c>
      <c r="P976">
        <v>36.25</v>
      </c>
      <c r="Q976">
        <v>4.3040000000000003</v>
      </c>
      <c r="R976" t="s">
        <v>48</v>
      </c>
      <c r="S976" t="b">
        <v>0</v>
      </c>
      <c r="T976" t="b">
        <v>0</v>
      </c>
    </row>
    <row r="977" spans="1:20" x14ac:dyDescent="0.3">
      <c r="A977" t="s">
        <v>1788</v>
      </c>
      <c r="B977" s="1">
        <v>41555</v>
      </c>
      <c r="C977" s="1">
        <v>41561</v>
      </c>
      <c r="D977" t="s">
        <v>1789</v>
      </c>
      <c r="E977" t="s">
        <v>22</v>
      </c>
      <c r="F977" t="s">
        <v>33</v>
      </c>
      <c r="G977" t="s">
        <v>1790</v>
      </c>
      <c r="H977">
        <v>27.263999999999999</v>
      </c>
      <c r="I977">
        <v>2</v>
      </c>
      <c r="J977">
        <v>8.8607999999999993</v>
      </c>
      <c r="K977">
        <v>2013</v>
      </c>
      <c r="L977">
        <v>10</v>
      </c>
      <c r="M977" t="s">
        <v>82</v>
      </c>
      <c r="N977">
        <v>8</v>
      </c>
      <c r="O977">
        <v>6</v>
      </c>
      <c r="P977">
        <v>32.5</v>
      </c>
      <c r="Q977">
        <v>13.632</v>
      </c>
      <c r="R977" t="s">
        <v>26</v>
      </c>
      <c r="S977" t="b">
        <v>0</v>
      </c>
      <c r="T977" t="b">
        <v>0</v>
      </c>
    </row>
    <row r="978" spans="1:20" x14ac:dyDescent="0.3">
      <c r="A978" t="s">
        <v>1791</v>
      </c>
      <c r="B978" s="1">
        <v>40794</v>
      </c>
      <c r="C978" s="1">
        <v>40800</v>
      </c>
      <c r="D978" t="s">
        <v>1792</v>
      </c>
      <c r="E978" t="s">
        <v>51</v>
      </c>
      <c r="F978" t="s">
        <v>35</v>
      </c>
      <c r="G978" t="s">
        <v>1793</v>
      </c>
      <c r="H978">
        <v>56.65</v>
      </c>
      <c r="I978">
        <v>5</v>
      </c>
      <c r="J978">
        <v>24.359500000000001</v>
      </c>
      <c r="K978">
        <v>2011</v>
      </c>
      <c r="L978">
        <v>9</v>
      </c>
      <c r="M978" t="s">
        <v>87</v>
      </c>
      <c r="N978">
        <v>8</v>
      </c>
      <c r="O978">
        <v>6</v>
      </c>
      <c r="P978">
        <v>43</v>
      </c>
      <c r="Q978">
        <v>11.33</v>
      </c>
      <c r="R978" t="s">
        <v>26</v>
      </c>
      <c r="S978" t="b">
        <v>0</v>
      </c>
      <c r="T978" t="b">
        <v>0</v>
      </c>
    </row>
    <row r="979" spans="1:20" x14ac:dyDescent="0.3">
      <c r="A979" t="s">
        <v>1791</v>
      </c>
      <c r="B979" s="1">
        <v>40794</v>
      </c>
      <c r="C979" s="1">
        <v>40800</v>
      </c>
      <c r="D979" t="s">
        <v>1792</v>
      </c>
      <c r="E979" t="s">
        <v>51</v>
      </c>
      <c r="F979" t="s">
        <v>45</v>
      </c>
      <c r="G979" t="s">
        <v>1794</v>
      </c>
      <c r="H979">
        <v>14.97</v>
      </c>
      <c r="I979">
        <v>1</v>
      </c>
      <c r="J979">
        <v>4.1916000000000002</v>
      </c>
      <c r="K979">
        <v>2011</v>
      </c>
      <c r="L979">
        <v>9</v>
      </c>
      <c r="M979" t="s">
        <v>87</v>
      </c>
      <c r="N979">
        <v>8</v>
      </c>
      <c r="O979">
        <v>6</v>
      </c>
      <c r="P979">
        <v>28</v>
      </c>
      <c r="Q979">
        <v>14.97</v>
      </c>
      <c r="R979" t="s">
        <v>26</v>
      </c>
      <c r="S979" t="b">
        <v>0</v>
      </c>
      <c r="T979" t="b">
        <v>0</v>
      </c>
    </row>
    <row r="980" spans="1:20" x14ac:dyDescent="0.3">
      <c r="A980" t="s">
        <v>1791</v>
      </c>
      <c r="B980" s="1">
        <v>40794</v>
      </c>
      <c r="C980" s="1">
        <v>40800</v>
      </c>
      <c r="D980" t="s">
        <v>1792</v>
      </c>
      <c r="E980" t="s">
        <v>51</v>
      </c>
      <c r="F980" t="s">
        <v>119</v>
      </c>
      <c r="G980" t="s">
        <v>120</v>
      </c>
      <c r="H980">
        <v>4.0199999999999996</v>
      </c>
      <c r="I980">
        <v>2</v>
      </c>
      <c r="J980">
        <v>1.9698</v>
      </c>
      <c r="K980">
        <v>2011</v>
      </c>
      <c r="L980">
        <v>9</v>
      </c>
      <c r="M980" t="s">
        <v>87</v>
      </c>
      <c r="N980">
        <v>8</v>
      </c>
      <c r="O980">
        <v>6</v>
      </c>
      <c r="P980">
        <v>49</v>
      </c>
      <c r="Q980">
        <v>2.0099999999999998</v>
      </c>
      <c r="R980" t="s">
        <v>26</v>
      </c>
      <c r="S980" t="b">
        <v>0</v>
      </c>
      <c r="T980" t="b">
        <v>0</v>
      </c>
    </row>
    <row r="981" spans="1:20" x14ac:dyDescent="0.3">
      <c r="A981" t="s">
        <v>1795</v>
      </c>
      <c r="B981" s="1">
        <v>41610</v>
      </c>
      <c r="C981" s="1">
        <v>41614</v>
      </c>
      <c r="D981" t="s">
        <v>1796</v>
      </c>
      <c r="E981" t="s">
        <v>51</v>
      </c>
      <c r="F981" t="s">
        <v>29</v>
      </c>
      <c r="G981" t="s">
        <v>782</v>
      </c>
      <c r="H981">
        <v>16.739999999999998</v>
      </c>
      <c r="I981">
        <v>2</v>
      </c>
      <c r="J981">
        <v>4.3524000000000003</v>
      </c>
      <c r="K981">
        <v>2013</v>
      </c>
      <c r="L981">
        <v>12</v>
      </c>
      <c r="M981" t="s">
        <v>41</v>
      </c>
      <c r="N981">
        <v>2</v>
      </c>
      <c r="O981">
        <v>4</v>
      </c>
      <c r="P981">
        <v>26</v>
      </c>
      <c r="Q981">
        <v>8.3699999999999992</v>
      </c>
      <c r="R981" t="s">
        <v>48</v>
      </c>
      <c r="S981" t="b">
        <v>0</v>
      </c>
      <c r="T981" t="b">
        <v>0</v>
      </c>
    </row>
    <row r="982" spans="1:20" x14ac:dyDescent="0.3">
      <c r="A982" t="s">
        <v>1797</v>
      </c>
      <c r="B982" s="1">
        <v>40786</v>
      </c>
      <c r="C982" s="1">
        <v>40791</v>
      </c>
      <c r="D982" t="s">
        <v>1798</v>
      </c>
      <c r="E982" t="s">
        <v>1799</v>
      </c>
      <c r="F982" t="s">
        <v>61</v>
      </c>
      <c r="G982" t="s">
        <v>1800</v>
      </c>
      <c r="H982">
        <v>92.52</v>
      </c>
      <c r="I982">
        <v>9</v>
      </c>
      <c r="J982">
        <v>18.504000000000001</v>
      </c>
      <c r="K982">
        <v>2011</v>
      </c>
      <c r="L982">
        <v>8</v>
      </c>
      <c r="M982" t="s">
        <v>53</v>
      </c>
      <c r="N982">
        <v>31</v>
      </c>
      <c r="O982">
        <v>5</v>
      </c>
      <c r="P982">
        <v>20</v>
      </c>
      <c r="Q982">
        <v>10.28</v>
      </c>
      <c r="R982" t="s">
        <v>26</v>
      </c>
      <c r="S982" t="b">
        <v>0</v>
      </c>
      <c r="T982" t="b">
        <v>0</v>
      </c>
    </row>
    <row r="983" spans="1:20" x14ac:dyDescent="0.3">
      <c r="A983" t="s">
        <v>1801</v>
      </c>
      <c r="B983" s="1">
        <v>41617</v>
      </c>
      <c r="C983" s="1">
        <v>41623</v>
      </c>
      <c r="D983" t="s">
        <v>1034</v>
      </c>
      <c r="E983" t="s">
        <v>51</v>
      </c>
      <c r="F983" t="s">
        <v>31</v>
      </c>
      <c r="G983" t="s">
        <v>52</v>
      </c>
      <c r="H983">
        <v>8.56</v>
      </c>
      <c r="I983">
        <v>2</v>
      </c>
      <c r="J983">
        <v>2.4824000000000002</v>
      </c>
      <c r="K983">
        <v>2013</v>
      </c>
      <c r="L983">
        <v>12</v>
      </c>
      <c r="M983" t="s">
        <v>41</v>
      </c>
      <c r="N983">
        <v>9</v>
      </c>
      <c r="O983">
        <v>6</v>
      </c>
      <c r="P983">
        <v>29</v>
      </c>
      <c r="Q983">
        <v>4.28</v>
      </c>
      <c r="R983" t="s">
        <v>26</v>
      </c>
      <c r="S983" t="b">
        <v>0</v>
      </c>
      <c r="T983" t="b">
        <v>0</v>
      </c>
    </row>
    <row r="984" spans="1:20" x14ac:dyDescent="0.3">
      <c r="A984" t="s">
        <v>1801</v>
      </c>
      <c r="B984" s="1">
        <v>41617</v>
      </c>
      <c r="C984" s="1">
        <v>41623</v>
      </c>
      <c r="D984" t="s">
        <v>1034</v>
      </c>
      <c r="E984" t="s">
        <v>51</v>
      </c>
      <c r="F984" t="s">
        <v>72</v>
      </c>
      <c r="G984" t="s">
        <v>1802</v>
      </c>
      <c r="H984">
        <v>45.36</v>
      </c>
      <c r="I984">
        <v>7</v>
      </c>
      <c r="J984">
        <v>21.7728</v>
      </c>
      <c r="K984">
        <v>2013</v>
      </c>
      <c r="L984">
        <v>12</v>
      </c>
      <c r="M984" t="s">
        <v>41</v>
      </c>
      <c r="N984">
        <v>9</v>
      </c>
      <c r="O984">
        <v>6</v>
      </c>
      <c r="P984">
        <v>48</v>
      </c>
      <c r="Q984">
        <v>6.48</v>
      </c>
      <c r="R984" t="s">
        <v>26</v>
      </c>
      <c r="S984" t="b">
        <v>0</v>
      </c>
      <c r="T984" t="b">
        <v>0</v>
      </c>
    </row>
    <row r="985" spans="1:20" x14ac:dyDescent="0.3">
      <c r="A985" t="s">
        <v>1803</v>
      </c>
      <c r="B985" s="1">
        <v>41495</v>
      </c>
      <c r="C985" s="1">
        <v>41502</v>
      </c>
      <c r="D985" t="s">
        <v>1804</v>
      </c>
      <c r="E985" t="s">
        <v>22</v>
      </c>
      <c r="F985" t="s">
        <v>35</v>
      </c>
      <c r="G985" t="s">
        <v>1805</v>
      </c>
      <c r="H985">
        <v>487.92</v>
      </c>
      <c r="I985">
        <v>6</v>
      </c>
      <c r="J985">
        <v>136.61760000000001</v>
      </c>
      <c r="K985">
        <v>2013</v>
      </c>
      <c r="L985">
        <v>8</v>
      </c>
      <c r="M985" t="s">
        <v>53</v>
      </c>
      <c r="N985">
        <v>9</v>
      </c>
      <c r="O985">
        <v>7</v>
      </c>
      <c r="P985">
        <v>28</v>
      </c>
      <c r="Q985">
        <v>81.320000000000007</v>
      </c>
      <c r="R985" t="s">
        <v>26</v>
      </c>
      <c r="S985" t="b">
        <v>0</v>
      </c>
      <c r="T985" t="b">
        <v>1</v>
      </c>
    </row>
    <row r="986" spans="1:20" x14ac:dyDescent="0.3">
      <c r="A986" t="s">
        <v>1803</v>
      </c>
      <c r="B986" s="1">
        <v>41495</v>
      </c>
      <c r="C986" s="1">
        <v>41502</v>
      </c>
      <c r="D986" t="s">
        <v>1804</v>
      </c>
      <c r="E986" t="s">
        <v>22</v>
      </c>
      <c r="F986" t="s">
        <v>33</v>
      </c>
      <c r="G986" t="s">
        <v>1246</v>
      </c>
      <c r="H986">
        <v>15.24</v>
      </c>
      <c r="I986">
        <v>5</v>
      </c>
      <c r="J986">
        <v>5.3339999999999996</v>
      </c>
      <c r="K986">
        <v>2013</v>
      </c>
      <c r="L986">
        <v>8</v>
      </c>
      <c r="M986" t="s">
        <v>53</v>
      </c>
      <c r="N986">
        <v>9</v>
      </c>
      <c r="O986">
        <v>7</v>
      </c>
      <c r="P986">
        <v>35</v>
      </c>
      <c r="Q986">
        <v>3.048</v>
      </c>
      <c r="R986" t="s">
        <v>26</v>
      </c>
      <c r="S986" t="b">
        <v>0</v>
      </c>
      <c r="T986" t="b">
        <v>0</v>
      </c>
    </row>
    <row r="987" spans="1:20" x14ac:dyDescent="0.3">
      <c r="A987" t="s">
        <v>1806</v>
      </c>
      <c r="B987" s="1">
        <v>41009</v>
      </c>
      <c r="C987" s="1">
        <v>41014</v>
      </c>
      <c r="D987" t="s">
        <v>1807</v>
      </c>
      <c r="E987" t="s">
        <v>1331</v>
      </c>
      <c r="F987" t="s">
        <v>33</v>
      </c>
      <c r="G987" t="s">
        <v>1624</v>
      </c>
      <c r="H987">
        <v>12.832000000000001</v>
      </c>
      <c r="I987">
        <v>2</v>
      </c>
      <c r="J987">
        <v>4.3308</v>
      </c>
      <c r="K987">
        <v>2012</v>
      </c>
      <c r="L987">
        <v>4</v>
      </c>
      <c r="M987" t="s">
        <v>236</v>
      </c>
      <c r="N987">
        <v>10</v>
      </c>
      <c r="O987">
        <v>5</v>
      </c>
      <c r="P987">
        <v>33.75</v>
      </c>
      <c r="Q987">
        <v>6.4160000000000004</v>
      </c>
      <c r="R987" t="s">
        <v>26</v>
      </c>
      <c r="S987" t="b">
        <v>0</v>
      </c>
      <c r="T987" t="b">
        <v>0</v>
      </c>
    </row>
    <row r="988" spans="1:20" x14ac:dyDescent="0.3">
      <c r="A988" t="s">
        <v>1808</v>
      </c>
      <c r="B988" s="1">
        <v>41523</v>
      </c>
      <c r="C988" s="1">
        <v>41528</v>
      </c>
      <c r="D988" t="s">
        <v>946</v>
      </c>
      <c r="E988" t="s">
        <v>194</v>
      </c>
      <c r="F988" t="s">
        <v>61</v>
      </c>
      <c r="G988" t="s">
        <v>1809</v>
      </c>
      <c r="H988">
        <v>116</v>
      </c>
      <c r="I988">
        <v>8</v>
      </c>
      <c r="J988">
        <v>29</v>
      </c>
      <c r="K988">
        <v>2013</v>
      </c>
      <c r="L988">
        <v>9</v>
      </c>
      <c r="M988" t="s">
        <v>87</v>
      </c>
      <c r="N988">
        <v>6</v>
      </c>
      <c r="O988">
        <v>5</v>
      </c>
      <c r="P988">
        <v>25</v>
      </c>
      <c r="Q988">
        <v>14.5</v>
      </c>
      <c r="R988" t="s">
        <v>26</v>
      </c>
      <c r="S988" t="b">
        <v>0</v>
      </c>
      <c r="T988" t="b">
        <v>0</v>
      </c>
    </row>
    <row r="989" spans="1:20" x14ac:dyDescent="0.3">
      <c r="A989" t="s">
        <v>1810</v>
      </c>
      <c r="B989" s="1">
        <v>41450</v>
      </c>
      <c r="C989" s="1">
        <v>41455</v>
      </c>
      <c r="D989" t="s">
        <v>1811</v>
      </c>
      <c r="E989" t="s">
        <v>194</v>
      </c>
      <c r="F989" t="s">
        <v>54</v>
      </c>
      <c r="G989" t="s">
        <v>1812</v>
      </c>
      <c r="H989">
        <v>38.24</v>
      </c>
      <c r="I989">
        <v>4</v>
      </c>
      <c r="J989">
        <v>-9.56</v>
      </c>
      <c r="K989">
        <v>2013</v>
      </c>
      <c r="L989">
        <v>6</v>
      </c>
      <c r="M989" t="s">
        <v>25</v>
      </c>
      <c r="N989">
        <v>25</v>
      </c>
      <c r="O989">
        <v>5</v>
      </c>
      <c r="P989">
        <v>-25</v>
      </c>
      <c r="Q989">
        <v>9.56</v>
      </c>
      <c r="R989" t="s">
        <v>26</v>
      </c>
      <c r="S989" t="b">
        <v>1</v>
      </c>
      <c r="T989" t="b">
        <v>0</v>
      </c>
    </row>
    <row r="990" spans="1:20" x14ac:dyDescent="0.3">
      <c r="A990" t="s">
        <v>1813</v>
      </c>
      <c r="B990" s="1">
        <v>40651</v>
      </c>
      <c r="C990" s="1">
        <v>40656</v>
      </c>
      <c r="D990" t="s">
        <v>441</v>
      </c>
      <c r="E990" t="s">
        <v>22</v>
      </c>
      <c r="F990" t="s">
        <v>793</v>
      </c>
      <c r="G990" t="s">
        <v>1814</v>
      </c>
      <c r="H990">
        <v>287.96800000000002</v>
      </c>
      <c r="I990">
        <v>4</v>
      </c>
      <c r="J990">
        <v>97.1892</v>
      </c>
      <c r="K990">
        <v>2011</v>
      </c>
      <c r="L990">
        <v>4</v>
      </c>
      <c r="M990" t="s">
        <v>236</v>
      </c>
      <c r="N990">
        <v>18</v>
      </c>
      <c r="O990">
        <v>5</v>
      </c>
      <c r="P990">
        <v>33.75</v>
      </c>
      <c r="Q990">
        <v>71.992000000000004</v>
      </c>
      <c r="R990" t="s">
        <v>26</v>
      </c>
      <c r="S990" t="b">
        <v>0</v>
      </c>
      <c r="T990" t="b">
        <v>1</v>
      </c>
    </row>
    <row r="991" spans="1:20" x14ac:dyDescent="0.3">
      <c r="A991" t="s">
        <v>1813</v>
      </c>
      <c r="B991" s="1">
        <v>40651</v>
      </c>
      <c r="C991" s="1">
        <v>40656</v>
      </c>
      <c r="D991" t="s">
        <v>441</v>
      </c>
      <c r="E991" t="s">
        <v>22</v>
      </c>
      <c r="F991" t="s">
        <v>31</v>
      </c>
      <c r="G991" t="s">
        <v>1307</v>
      </c>
      <c r="H991">
        <v>13.12</v>
      </c>
      <c r="I991">
        <v>4</v>
      </c>
      <c r="J991">
        <v>3.8048000000000002</v>
      </c>
      <c r="K991">
        <v>2011</v>
      </c>
      <c r="L991">
        <v>4</v>
      </c>
      <c r="M991" t="s">
        <v>236</v>
      </c>
      <c r="N991">
        <v>18</v>
      </c>
      <c r="O991">
        <v>5</v>
      </c>
      <c r="P991">
        <v>29</v>
      </c>
      <c r="Q991">
        <v>3.28</v>
      </c>
      <c r="R991" t="s">
        <v>26</v>
      </c>
      <c r="S991" t="b">
        <v>0</v>
      </c>
      <c r="T991" t="b">
        <v>0</v>
      </c>
    </row>
    <row r="992" spans="1:20" x14ac:dyDescent="0.3">
      <c r="A992" t="s">
        <v>1813</v>
      </c>
      <c r="B992" s="1">
        <v>40651</v>
      </c>
      <c r="C992" s="1">
        <v>40656</v>
      </c>
      <c r="D992" t="s">
        <v>441</v>
      </c>
      <c r="E992" t="s">
        <v>22</v>
      </c>
      <c r="F992" t="s">
        <v>31</v>
      </c>
      <c r="G992" t="s">
        <v>1815</v>
      </c>
      <c r="H992">
        <v>10.75</v>
      </c>
      <c r="I992">
        <v>5</v>
      </c>
      <c r="J992">
        <v>3.5474999999999999</v>
      </c>
      <c r="K992">
        <v>2011</v>
      </c>
      <c r="L992">
        <v>4</v>
      </c>
      <c r="M992" t="s">
        <v>236</v>
      </c>
      <c r="N992">
        <v>18</v>
      </c>
      <c r="O992">
        <v>5</v>
      </c>
      <c r="P992">
        <v>33</v>
      </c>
      <c r="Q992">
        <v>2.15</v>
      </c>
      <c r="R992" t="s">
        <v>26</v>
      </c>
      <c r="S992" t="b">
        <v>0</v>
      </c>
      <c r="T992" t="b">
        <v>0</v>
      </c>
    </row>
    <row r="993" spans="1:20" x14ac:dyDescent="0.3">
      <c r="A993" t="s">
        <v>1813</v>
      </c>
      <c r="B993" s="1">
        <v>40651</v>
      </c>
      <c r="C993" s="1">
        <v>40656</v>
      </c>
      <c r="D993" t="s">
        <v>441</v>
      </c>
      <c r="E993" t="s">
        <v>22</v>
      </c>
      <c r="F993" t="s">
        <v>119</v>
      </c>
      <c r="G993" t="s">
        <v>1816</v>
      </c>
      <c r="H993">
        <v>11.62</v>
      </c>
      <c r="I993">
        <v>2</v>
      </c>
      <c r="J993">
        <v>3.6021999999999998</v>
      </c>
      <c r="K993">
        <v>2011</v>
      </c>
      <c r="L993">
        <v>4</v>
      </c>
      <c r="M993" t="s">
        <v>236</v>
      </c>
      <c r="N993">
        <v>18</v>
      </c>
      <c r="O993">
        <v>5</v>
      </c>
      <c r="P993">
        <v>31</v>
      </c>
      <c r="Q993">
        <v>5.81</v>
      </c>
      <c r="R993" t="s">
        <v>26</v>
      </c>
      <c r="S993" t="b">
        <v>0</v>
      </c>
      <c r="T993" t="b">
        <v>0</v>
      </c>
    </row>
    <row r="994" spans="1:20" x14ac:dyDescent="0.3">
      <c r="A994" t="s">
        <v>1817</v>
      </c>
      <c r="B994" s="1">
        <v>40625</v>
      </c>
      <c r="C994" s="1">
        <v>40628</v>
      </c>
      <c r="D994" t="s">
        <v>1818</v>
      </c>
      <c r="E994" t="s">
        <v>22</v>
      </c>
      <c r="F994" t="s">
        <v>45</v>
      </c>
      <c r="G994" t="s">
        <v>443</v>
      </c>
      <c r="H994">
        <v>330.4</v>
      </c>
      <c r="I994">
        <v>2</v>
      </c>
      <c r="J994">
        <v>85.903999999999996</v>
      </c>
      <c r="K994">
        <v>2011</v>
      </c>
      <c r="L994">
        <v>3</v>
      </c>
      <c r="M994" t="s">
        <v>135</v>
      </c>
      <c r="N994">
        <v>23</v>
      </c>
      <c r="O994">
        <v>3</v>
      </c>
      <c r="P994">
        <v>26</v>
      </c>
      <c r="Q994">
        <v>165.2</v>
      </c>
      <c r="R994" t="s">
        <v>26</v>
      </c>
      <c r="S994" t="b">
        <v>0</v>
      </c>
      <c r="T994" t="b">
        <v>1</v>
      </c>
    </row>
    <row r="995" spans="1:20" x14ac:dyDescent="0.3">
      <c r="A995" t="s">
        <v>1819</v>
      </c>
      <c r="B995" s="1">
        <v>41975</v>
      </c>
      <c r="C995" s="1">
        <v>41979</v>
      </c>
      <c r="D995" t="s">
        <v>250</v>
      </c>
      <c r="E995" t="s">
        <v>22</v>
      </c>
      <c r="F995" t="s">
        <v>72</v>
      </c>
      <c r="G995" t="s">
        <v>1820</v>
      </c>
      <c r="H995">
        <v>45.36</v>
      </c>
      <c r="I995">
        <v>7</v>
      </c>
      <c r="J995">
        <v>21.7728</v>
      </c>
      <c r="K995">
        <v>2014</v>
      </c>
      <c r="L995">
        <v>12</v>
      </c>
      <c r="M995" t="s">
        <v>41</v>
      </c>
      <c r="N995">
        <v>2</v>
      </c>
      <c r="O995">
        <v>4</v>
      </c>
      <c r="P995">
        <v>48</v>
      </c>
      <c r="Q995">
        <v>6.48</v>
      </c>
      <c r="R995" t="s">
        <v>26</v>
      </c>
      <c r="S995" t="b">
        <v>0</v>
      </c>
      <c r="T995" t="b">
        <v>0</v>
      </c>
    </row>
    <row r="996" spans="1:20" x14ac:dyDescent="0.3">
      <c r="A996" t="s">
        <v>1819</v>
      </c>
      <c r="B996" s="1">
        <v>41975</v>
      </c>
      <c r="C996" s="1">
        <v>41979</v>
      </c>
      <c r="D996" t="s">
        <v>250</v>
      </c>
      <c r="E996" t="s">
        <v>22</v>
      </c>
      <c r="F996" t="s">
        <v>33</v>
      </c>
      <c r="G996" t="s">
        <v>1821</v>
      </c>
      <c r="H996">
        <v>10.128</v>
      </c>
      <c r="I996">
        <v>2</v>
      </c>
      <c r="J996">
        <v>3.6714000000000002</v>
      </c>
      <c r="K996">
        <v>2014</v>
      </c>
      <c r="L996">
        <v>12</v>
      </c>
      <c r="M996" t="s">
        <v>41</v>
      </c>
      <c r="N996">
        <v>2</v>
      </c>
      <c r="O996">
        <v>4</v>
      </c>
      <c r="P996">
        <v>36.25</v>
      </c>
      <c r="Q996">
        <v>5.0640000000000001</v>
      </c>
      <c r="R996" t="s">
        <v>26</v>
      </c>
      <c r="S996" t="b">
        <v>0</v>
      </c>
      <c r="T996" t="b">
        <v>0</v>
      </c>
    </row>
    <row r="997" spans="1:20" x14ac:dyDescent="0.3">
      <c r="A997" t="s">
        <v>1822</v>
      </c>
      <c r="B997" s="1">
        <v>41951</v>
      </c>
      <c r="C997" s="1">
        <v>41956</v>
      </c>
      <c r="D997" t="s">
        <v>1823</v>
      </c>
      <c r="E997" t="s">
        <v>51</v>
      </c>
      <c r="F997" t="s">
        <v>33</v>
      </c>
      <c r="G997" t="s">
        <v>1271</v>
      </c>
      <c r="H997">
        <v>21.792000000000002</v>
      </c>
      <c r="I997">
        <v>4</v>
      </c>
      <c r="J997">
        <v>7.6272000000000002</v>
      </c>
      <c r="K997">
        <v>2014</v>
      </c>
      <c r="L997">
        <v>11</v>
      </c>
      <c r="M997" t="s">
        <v>70</v>
      </c>
      <c r="N997">
        <v>8</v>
      </c>
      <c r="O997">
        <v>5</v>
      </c>
      <c r="P997">
        <v>35</v>
      </c>
      <c r="Q997">
        <v>5.4480000000000004</v>
      </c>
      <c r="R997" t="s">
        <v>26</v>
      </c>
      <c r="S997" t="b">
        <v>0</v>
      </c>
      <c r="T997" t="b">
        <v>0</v>
      </c>
    </row>
    <row r="998" spans="1:20" x14ac:dyDescent="0.3">
      <c r="A998" t="s">
        <v>1822</v>
      </c>
      <c r="B998" s="1">
        <v>41951</v>
      </c>
      <c r="C998" s="1">
        <v>41956</v>
      </c>
      <c r="D998" t="s">
        <v>1823</v>
      </c>
      <c r="E998" t="s">
        <v>51</v>
      </c>
      <c r="F998" t="s">
        <v>61</v>
      </c>
      <c r="G998" t="s">
        <v>1824</v>
      </c>
      <c r="H998">
        <v>439.8</v>
      </c>
      <c r="I998">
        <v>4</v>
      </c>
      <c r="J998">
        <v>145.13399999999999</v>
      </c>
      <c r="K998">
        <v>2014</v>
      </c>
      <c r="L998">
        <v>11</v>
      </c>
      <c r="M998" t="s">
        <v>70</v>
      </c>
      <c r="N998">
        <v>8</v>
      </c>
      <c r="O998">
        <v>5</v>
      </c>
      <c r="P998">
        <v>33</v>
      </c>
      <c r="Q998">
        <v>109.95</v>
      </c>
      <c r="R998" t="s">
        <v>26</v>
      </c>
      <c r="S998" t="b">
        <v>0</v>
      </c>
      <c r="T998" t="b">
        <v>1</v>
      </c>
    </row>
    <row r="999" spans="1:20" x14ac:dyDescent="0.3">
      <c r="A999" t="s">
        <v>1825</v>
      </c>
      <c r="B999" s="1">
        <v>41459</v>
      </c>
      <c r="C999" s="1">
        <v>41462</v>
      </c>
      <c r="D999" t="s">
        <v>1826</v>
      </c>
      <c r="E999" t="s">
        <v>22</v>
      </c>
      <c r="F999" t="s">
        <v>72</v>
      </c>
      <c r="G999" t="s">
        <v>1827</v>
      </c>
      <c r="H999">
        <v>12.96</v>
      </c>
      <c r="I999">
        <v>2</v>
      </c>
      <c r="J999">
        <v>6.2207999999999997</v>
      </c>
      <c r="K999">
        <v>2013</v>
      </c>
      <c r="L999">
        <v>7</v>
      </c>
      <c r="M999" t="s">
        <v>66</v>
      </c>
      <c r="N999">
        <v>4</v>
      </c>
      <c r="O999">
        <v>3</v>
      </c>
      <c r="P999">
        <v>48</v>
      </c>
      <c r="Q999">
        <v>6.48</v>
      </c>
      <c r="R999" t="s">
        <v>26</v>
      </c>
      <c r="S999" t="b">
        <v>0</v>
      </c>
      <c r="T999" t="b">
        <v>0</v>
      </c>
    </row>
    <row r="1000" spans="1:20" x14ac:dyDescent="0.3">
      <c r="A1000" t="s">
        <v>1825</v>
      </c>
      <c r="B1000" s="1">
        <v>41459</v>
      </c>
      <c r="C1000" s="1">
        <v>41462</v>
      </c>
      <c r="D1000" t="s">
        <v>1826</v>
      </c>
      <c r="E1000" t="s">
        <v>22</v>
      </c>
      <c r="F1000" t="s">
        <v>119</v>
      </c>
      <c r="G1000" t="s">
        <v>1828</v>
      </c>
      <c r="H1000">
        <v>3.96</v>
      </c>
      <c r="I1000">
        <v>2</v>
      </c>
      <c r="J1000">
        <v>7.9200000000000007E-2</v>
      </c>
      <c r="K1000">
        <v>2013</v>
      </c>
      <c r="L1000">
        <v>7</v>
      </c>
      <c r="M1000" t="s">
        <v>66</v>
      </c>
      <c r="N1000">
        <v>4</v>
      </c>
      <c r="O1000">
        <v>3</v>
      </c>
      <c r="P1000">
        <v>2</v>
      </c>
      <c r="Q1000">
        <v>1.98</v>
      </c>
      <c r="R1000" t="s">
        <v>26</v>
      </c>
      <c r="S1000" t="b">
        <v>0</v>
      </c>
      <c r="T1000" t="b">
        <v>0</v>
      </c>
    </row>
    <row r="1001" spans="1:20" x14ac:dyDescent="0.3">
      <c r="A1001" t="s">
        <v>1829</v>
      </c>
      <c r="B1001" s="1">
        <v>41824</v>
      </c>
      <c r="C1001" s="1">
        <v>41824</v>
      </c>
      <c r="D1001" t="s">
        <v>1830</v>
      </c>
      <c r="E1001" t="s">
        <v>39</v>
      </c>
      <c r="F1001" t="s">
        <v>61</v>
      </c>
      <c r="G1001" t="s">
        <v>202</v>
      </c>
      <c r="H1001">
        <v>59.98</v>
      </c>
      <c r="I1001">
        <v>2</v>
      </c>
      <c r="J1001">
        <v>26.391200000000001</v>
      </c>
      <c r="K1001">
        <v>2014</v>
      </c>
      <c r="L1001">
        <v>7</v>
      </c>
      <c r="M1001" t="s">
        <v>66</v>
      </c>
      <c r="N1001">
        <v>4</v>
      </c>
      <c r="O1001">
        <v>0</v>
      </c>
      <c r="P1001">
        <v>44</v>
      </c>
      <c r="Q1001">
        <v>29.99</v>
      </c>
      <c r="R1001" t="s">
        <v>26</v>
      </c>
      <c r="S1001" t="b">
        <v>0</v>
      </c>
      <c r="T1001" t="b">
        <v>0</v>
      </c>
    </row>
    <row r="1002" spans="1:20" x14ac:dyDescent="0.3">
      <c r="A1002" t="s">
        <v>1829</v>
      </c>
      <c r="B1002" s="1">
        <v>41824</v>
      </c>
      <c r="C1002" s="1">
        <v>41824</v>
      </c>
      <c r="D1002" t="s">
        <v>1830</v>
      </c>
      <c r="E1002" t="s">
        <v>39</v>
      </c>
      <c r="F1002" t="s">
        <v>54</v>
      </c>
      <c r="G1002" t="s">
        <v>1352</v>
      </c>
      <c r="H1002">
        <v>7.992</v>
      </c>
      <c r="I1002">
        <v>1</v>
      </c>
      <c r="J1002">
        <v>2.6972999999999998</v>
      </c>
      <c r="K1002">
        <v>2014</v>
      </c>
      <c r="L1002">
        <v>7</v>
      </c>
      <c r="M1002" t="s">
        <v>66</v>
      </c>
      <c r="N1002">
        <v>4</v>
      </c>
      <c r="O1002">
        <v>0</v>
      </c>
      <c r="P1002">
        <v>33.75</v>
      </c>
      <c r="Q1002">
        <v>7.992</v>
      </c>
      <c r="R1002" t="s">
        <v>26</v>
      </c>
      <c r="S1002" t="b">
        <v>0</v>
      </c>
      <c r="T1002" t="b">
        <v>0</v>
      </c>
    </row>
    <row r="1003" spans="1:20" x14ac:dyDescent="0.3">
      <c r="A1003" t="s">
        <v>1831</v>
      </c>
      <c r="B1003" s="1">
        <v>41433</v>
      </c>
      <c r="C1003" s="1">
        <v>41437</v>
      </c>
      <c r="D1003" t="s">
        <v>165</v>
      </c>
      <c r="E1003" t="s">
        <v>1515</v>
      </c>
      <c r="F1003" t="s">
        <v>33</v>
      </c>
      <c r="G1003" t="s">
        <v>1832</v>
      </c>
      <c r="H1003">
        <v>4.7839999999999998</v>
      </c>
      <c r="I1003">
        <v>1</v>
      </c>
      <c r="J1003">
        <v>1.5548</v>
      </c>
      <c r="K1003">
        <v>2013</v>
      </c>
      <c r="L1003">
        <v>6</v>
      </c>
      <c r="M1003" t="s">
        <v>25</v>
      </c>
      <c r="N1003">
        <v>8</v>
      </c>
      <c r="O1003">
        <v>4</v>
      </c>
      <c r="P1003">
        <v>32.5</v>
      </c>
      <c r="Q1003">
        <v>4.7839999999999998</v>
      </c>
      <c r="R1003" t="s">
        <v>26</v>
      </c>
      <c r="S1003" t="b">
        <v>0</v>
      </c>
      <c r="T1003" t="b">
        <v>0</v>
      </c>
    </row>
    <row r="1004" spans="1:20" x14ac:dyDescent="0.3">
      <c r="A1004" t="s">
        <v>1831</v>
      </c>
      <c r="B1004" s="1">
        <v>41433</v>
      </c>
      <c r="C1004" s="1">
        <v>41437</v>
      </c>
      <c r="D1004" t="s">
        <v>165</v>
      </c>
      <c r="E1004" t="s">
        <v>1515</v>
      </c>
      <c r="F1004" t="s">
        <v>72</v>
      </c>
      <c r="G1004" t="s">
        <v>1833</v>
      </c>
      <c r="H1004">
        <v>4.7300000000000004</v>
      </c>
      <c r="I1004">
        <v>1</v>
      </c>
      <c r="J1004">
        <v>2.3176999999999999</v>
      </c>
      <c r="K1004">
        <v>2013</v>
      </c>
      <c r="L1004">
        <v>6</v>
      </c>
      <c r="M1004" t="s">
        <v>25</v>
      </c>
      <c r="N1004">
        <v>8</v>
      </c>
      <c r="O1004">
        <v>4</v>
      </c>
      <c r="P1004">
        <v>49</v>
      </c>
      <c r="Q1004">
        <v>4.7300000000000004</v>
      </c>
      <c r="R1004" t="s">
        <v>26</v>
      </c>
      <c r="S1004" t="b">
        <v>0</v>
      </c>
      <c r="T1004" t="b">
        <v>0</v>
      </c>
    </row>
    <row r="1005" spans="1:20" x14ac:dyDescent="0.3">
      <c r="A1005" t="s">
        <v>1834</v>
      </c>
      <c r="B1005" s="1">
        <v>41886</v>
      </c>
      <c r="C1005" s="1">
        <v>41891</v>
      </c>
      <c r="D1005" t="s">
        <v>1428</v>
      </c>
      <c r="E1005" t="s">
        <v>51</v>
      </c>
      <c r="F1005" t="s">
        <v>31</v>
      </c>
      <c r="G1005" t="s">
        <v>81</v>
      </c>
      <c r="H1005">
        <v>5.96</v>
      </c>
      <c r="I1005">
        <v>2</v>
      </c>
      <c r="J1005">
        <v>1.6688000000000001</v>
      </c>
      <c r="K1005">
        <v>2014</v>
      </c>
      <c r="L1005">
        <v>9</v>
      </c>
      <c r="M1005" t="s">
        <v>87</v>
      </c>
      <c r="N1005">
        <v>4</v>
      </c>
      <c r="O1005">
        <v>5</v>
      </c>
      <c r="P1005">
        <v>28</v>
      </c>
      <c r="Q1005">
        <v>2.98</v>
      </c>
      <c r="R1005" t="s">
        <v>26</v>
      </c>
      <c r="S1005" t="b">
        <v>0</v>
      </c>
      <c r="T1005" t="b">
        <v>0</v>
      </c>
    </row>
    <row r="1006" spans="1:20" x14ac:dyDescent="0.3">
      <c r="A1006" t="s">
        <v>1835</v>
      </c>
      <c r="B1006" s="1">
        <v>41817</v>
      </c>
      <c r="C1006" s="1">
        <v>41821</v>
      </c>
      <c r="D1006" t="s">
        <v>736</v>
      </c>
      <c r="E1006" t="s">
        <v>173</v>
      </c>
      <c r="F1006" t="s">
        <v>61</v>
      </c>
      <c r="G1006" t="s">
        <v>1836</v>
      </c>
      <c r="H1006">
        <v>431.928</v>
      </c>
      <c r="I1006">
        <v>9</v>
      </c>
      <c r="J1006">
        <v>64.789199999999994</v>
      </c>
      <c r="K1006">
        <v>2014</v>
      </c>
      <c r="L1006">
        <v>6</v>
      </c>
      <c r="M1006" t="s">
        <v>25</v>
      </c>
      <c r="N1006">
        <v>27</v>
      </c>
      <c r="O1006">
        <v>4</v>
      </c>
      <c r="P1006">
        <v>15</v>
      </c>
      <c r="Q1006">
        <v>47.991999999999997</v>
      </c>
      <c r="R1006" t="s">
        <v>26</v>
      </c>
      <c r="S1006" t="b">
        <v>0</v>
      </c>
      <c r="T1006" t="b">
        <v>1</v>
      </c>
    </row>
    <row r="1007" spans="1:20" x14ac:dyDescent="0.3">
      <c r="A1007" t="s">
        <v>1837</v>
      </c>
      <c r="B1007" s="1">
        <v>41887</v>
      </c>
      <c r="C1007" s="1">
        <v>41891</v>
      </c>
      <c r="D1007" t="s">
        <v>1838</v>
      </c>
      <c r="E1007" t="s">
        <v>22</v>
      </c>
      <c r="F1007" t="s">
        <v>33</v>
      </c>
      <c r="G1007" t="s">
        <v>1086</v>
      </c>
      <c r="H1007">
        <v>487.98399999999998</v>
      </c>
      <c r="I1007">
        <v>2</v>
      </c>
      <c r="J1007">
        <v>152.495</v>
      </c>
      <c r="K1007">
        <v>2014</v>
      </c>
      <c r="L1007">
        <v>9</v>
      </c>
      <c r="M1007" t="s">
        <v>87</v>
      </c>
      <c r="N1007">
        <v>5</v>
      </c>
      <c r="O1007">
        <v>4</v>
      </c>
      <c r="P1007">
        <v>31.25</v>
      </c>
      <c r="Q1007">
        <v>243.99199999999999</v>
      </c>
      <c r="R1007" t="s">
        <v>26</v>
      </c>
      <c r="S1007" t="b">
        <v>0</v>
      </c>
      <c r="T1007" t="b">
        <v>1</v>
      </c>
    </row>
    <row r="1008" spans="1:20" x14ac:dyDescent="0.3">
      <c r="A1008" t="s">
        <v>1837</v>
      </c>
      <c r="B1008" s="1">
        <v>41887</v>
      </c>
      <c r="C1008" s="1">
        <v>41891</v>
      </c>
      <c r="D1008" t="s">
        <v>1838</v>
      </c>
      <c r="E1008" t="s">
        <v>22</v>
      </c>
      <c r="F1008" t="s">
        <v>54</v>
      </c>
      <c r="G1008" t="s">
        <v>1839</v>
      </c>
      <c r="H1008">
        <v>5.56</v>
      </c>
      <c r="I1008">
        <v>1</v>
      </c>
      <c r="J1008">
        <v>1.7375</v>
      </c>
      <c r="K1008">
        <v>2014</v>
      </c>
      <c r="L1008">
        <v>9</v>
      </c>
      <c r="M1008" t="s">
        <v>87</v>
      </c>
      <c r="N1008">
        <v>5</v>
      </c>
      <c r="O1008">
        <v>4</v>
      </c>
      <c r="P1008">
        <v>31.25</v>
      </c>
      <c r="Q1008">
        <v>5.56</v>
      </c>
      <c r="R1008" t="s">
        <v>26</v>
      </c>
      <c r="S1008" t="b">
        <v>0</v>
      </c>
      <c r="T1008" t="b">
        <v>0</v>
      </c>
    </row>
    <row r="1009" spans="1:20" x14ac:dyDescent="0.3">
      <c r="A1009" t="s">
        <v>1837</v>
      </c>
      <c r="B1009" s="1">
        <v>41887</v>
      </c>
      <c r="C1009" s="1">
        <v>41891</v>
      </c>
      <c r="D1009" t="s">
        <v>1838</v>
      </c>
      <c r="E1009" t="s">
        <v>22</v>
      </c>
      <c r="F1009" t="s">
        <v>45</v>
      </c>
      <c r="G1009" t="s">
        <v>107</v>
      </c>
      <c r="H1009">
        <v>217.85</v>
      </c>
      <c r="I1009">
        <v>5</v>
      </c>
      <c r="J1009">
        <v>65.355000000000004</v>
      </c>
      <c r="K1009">
        <v>2014</v>
      </c>
      <c r="L1009">
        <v>9</v>
      </c>
      <c r="M1009" t="s">
        <v>87</v>
      </c>
      <c r="N1009">
        <v>5</v>
      </c>
      <c r="O1009">
        <v>4</v>
      </c>
      <c r="P1009">
        <v>30</v>
      </c>
      <c r="Q1009">
        <v>43.57</v>
      </c>
      <c r="R1009" t="s">
        <v>26</v>
      </c>
      <c r="S1009" t="b">
        <v>0</v>
      </c>
      <c r="T1009" t="b">
        <v>1</v>
      </c>
    </row>
    <row r="1010" spans="1:20" x14ac:dyDescent="0.3">
      <c r="A1010" t="s">
        <v>1840</v>
      </c>
      <c r="B1010" s="1">
        <v>41779</v>
      </c>
      <c r="C1010" s="1">
        <v>41781</v>
      </c>
      <c r="D1010" t="s">
        <v>1309</v>
      </c>
      <c r="E1010" t="s">
        <v>51</v>
      </c>
      <c r="F1010" t="s">
        <v>31</v>
      </c>
      <c r="G1010" t="s">
        <v>913</v>
      </c>
      <c r="H1010">
        <v>3.52</v>
      </c>
      <c r="I1010">
        <v>2</v>
      </c>
      <c r="J1010">
        <v>1.0207999999999999</v>
      </c>
      <c r="K1010">
        <v>2014</v>
      </c>
      <c r="L1010">
        <v>5</v>
      </c>
      <c r="M1010" t="s">
        <v>47</v>
      </c>
      <c r="N1010">
        <v>20</v>
      </c>
      <c r="O1010">
        <v>2</v>
      </c>
      <c r="P1010">
        <v>29</v>
      </c>
      <c r="Q1010">
        <v>1.76</v>
      </c>
      <c r="R1010" t="s">
        <v>26</v>
      </c>
      <c r="S1010" t="b">
        <v>0</v>
      </c>
      <c r="T1010" t="b">
        <v>0</v>
      </c>
    </row>
    <row r="1011" spans="1:20" x14ac:dyDescent="0.3">
      <c r="A1011" t="s">
        <v>1840</v>
      </c>
      <c r="B1011" s="1">
        <v>41779</v>
      </c>
      <c r="C1011" s="1">
        <v>41781</v>
      </c>
      <c r="D1011" t="s">
        <v>1309</v>
      </c>
      <c r="E1011" t="s">
        <v>51</v>
      </c>
      <c r="F1011" t="s">
        <v>31</v>
      </c>
      <c r="G1011" t="s">
        <v>1841</v>
      </c>
      <c r="H1011">
        <v>5.58</v>
      </c>
      <c r="I1011">
        <v>1</v>
      </c>
      <c r="J1011">
        <v>1.395</v>
      </c>
      <c r="K1011">
        <v>2014</v>
      </c>
      <c r="L1011">
        <v>5</v>
      </c>
      <c r="M1011" t="s">
        <v>47</v>
      </c>
      <c r="N1011">
        <v>20</v>
      </c>
      <c r="O1011">
        <v>2</v>
      </c>
      <c r="P1011">
        <v>25</v>
      </c>
      <c r="Q1011">
        <v>5.58</v>
      </c>
      <c r="R1011" t="s">
        <v>26</v>
      </c>
      <c r="S1011" t="b">
        <v>0</v>
      </c>
      <c r="T1011" t="b">
        <v>0</v>
      </c>
    </row>
    <row r="1012" spans="1:20" x14ac:dyDescent="0.3">
      <c r="A1012" t="s">
        <v>1840</v>
      </c>
      <c r="B1012" s="1">
        <v>41779</v>
      </c>
      <c r="C1012" s="1">
        <v>41781</v>
      </c>
      <c r="D1012" t="s">
        <v>1309</v>
      </c>
      <c r="E1012" t="s">
        <v>51</v>
      </c>
      <c r="F1012" t="s">
        <v>61</v>
      </c>
      <c r="G1012" t="s">
        <v>1032</v>
      </c>
      <c r="H1012">
        <v>36.32</v>
      </c>
      <c r="I1012">
        <v>1</v>
      </c>
      <c r="J1012">
        <v>10.896000000000001</v>
      </c>
      <c r="K1012">
        <v>2014</v>
      </c>
      <c r="L1012">
        <v>5</v>
      </c>
      <c r="M1012" t="s">
        <v>47</v>
      </c>
      <c r="N1012">
        <v>20</v>
      </c>
      <c r="O1012">
        <v>2</v>
      </c>
      <c r="P1012">
        <v>30</v>
      </c>
      <c r="Q1012">
        <v>36.32</v>
      </c>
      <c r="R1012" t="s">
        <v>26</v>
      </c>
      <c r="S1012" t="b">
        <v>0</v>
      </c>
      <c r="T1012" t="b">
        <v>0</v>
      </c>
    </row>
    <row r="1013" spans="1:20" x14ac:dyDescent="0.3">
      <c r="A1013" t="s">
        <v>1842</v>
      </c>
      <c r="B1013" s="1">
        <v>41763</v>
      </c>
      <c r="C1013" s="1">
        <v>41768</v>
      </c>
      <c r="D1013" t="s">
        <v>1843</v>
      </c>
      <c r="E1013" t="s">
        <v>22</v>
      </c>
      <c r="F1013" t="s">
        <v>45</v>
      </c>
      <c r="G1013" t="s">
        <v>1844</v>
      </c>
      <c r="H1013">
        <v>69.52</v>
      </c>
      <c r="I1013">
        <v>2</v>
      </c>
      <c r="J1013">
        <v>19.465599999999998</v>
      </c>
      <c r="K1013">
        <v>2014</v>
      </c>
      <c r="L1013">
        <v>5</v>
      </c>
      <c r="M1013" t="s">
        <v>47</v>
      </c>
      <c r="N1013">
        <v>4</v>
      </c>
      <c r="O1013">
        <v>5</v>
      </c>
      <c r="P1013">
        <v>28</v>
      </c>
      <c r="Q1013">
        <v>34.76</v>
      </c>
      <c r="R1013" t="s">
        <v>26</v>
      </c>
      <c r="S1013" t="b">
        <v>0</v>
      </c>
      <c r="T1013" t="b">
        <v>0</v>
      </c>
    </row>
    <row r="1014" spans="1:20" x14ac:dyDescent="0.3">
      <c r="A1014" t="s">
        <v>1845</v>
      </c>
      <c r="B1014" s="1">
        <v>40897</v>
      </c>
      <c r="C1014" s="1">
        <v>40900</v>
      </c>
      <c r="D1014" t="s">
        <v>1846</v>
      </c>
      <c r="E1014" t="s">
        <v>22</v>
      </c>
      <c r="F1014" t="s">
        <v>33</v>
      </c>
      <c r="G1014" t="s">
        <v>1086</v>
      </c>
      <c r="H1014">
        <v>487.98399999999998</v>
      </c>
      <c r="I1014">
        <v>2</v>
      </c>
      <c r="J1014">
        <v>152.495</v>
      </c>
      <c r="K1014">
        <v>2011</v>
      </c>
      <c r="L1014">
        <v>12</v>
      </c>
      <c r="M1014" t="s">
        <v>41</v>
      </c>
      <c r="N1014">
        <v>20</v>
      </c>
      <c r="O1014">
        <v>3</v>
      </c>
      <c r="P1014">
        <v>31.25</v>
      </c>
      <c r="Q1014">
        <v>243.99199999999999</v>
      </c>
      <c r="R1014" t="s">
        <v>26</v>
      </c>
      <c r="S1014" t="b">
        <v>0</v>
      </c>
      <c r="T1014" t="b">
        <v>1</v>
      </c>
    </row>
    <row r="1015" spans="1:20" x14ac:dyDescent="0.3">
      <c r="A1015" t="s">
        <v>1845</v>
      </c>
      <c r="B1015" s="1">
        <v>40897</v>
      </c>
      <c r="C1015" s="1">
        <v>40900</v>
      </c>
      <c r="D1015" t="s">
        <v>1846</v>
      </c>
      <c r="E1015" t="s">
        <v>22</v>
      </c>
      <c r="F1015" t="s">
        <v>31</v>
      </c>
      <c r="G1015" t="s">
        <v>1847</v>
      </c>
      <c r="H1015">
        <v>47.3</v>
      </c>
      <c r="I1015">
        <v>2</v>
      </c>
      <c r="J1015">
        <v>12.298</v>
      </c>
      <c r="K1015">
        <v>2011</v>
      </c>
      <c r="L1015">
        <v>12</v>
      </c>
      <c r="M1015" t="s">
        <v>41</v>
      </c>
      <c r="N1015">
        <v>20</v>
      </c>
      <c r="O1015">
        <v>3</v>
      </c>
      <c r="P1015">
        <v>26</v>
      </c>
      <c r="Q1015">
        <v>23.65</v>
      </c>
      <c r="R1015" t="s">
        <v>26</v>
      </c>
      <c r="S1015" t="b">
        <v>0</v>
      </c>
      <c r="T1015" t="b">
        <v>0</v>
      </c>
    </row>
    <row r="1016" spans="1:20" x14ac:dyDescent="0.3">
      <c r="A1016" t="s">
        <v>1845</v>
      </c>
      <c r="B1016" s="1">
        <v>40897</v>
      </c>
      <c r="C1016" s="1">
        <v>40900</v>
      </c>
      <c r="D1016" t="s">
        <v>1846</v>
      </c>
      <c r="E1016" t="s">
        <v>22</v>
      </c>
      <c r="F1016" t="s">
        <v>31</v>
      </c>
      <c r="G1016" t="s">
        <v>1848</v>
      </c>
      <c r="H1016">
        <v>4.13</v>
      </c>
      <c r="I1016">
        <v>1</v>
      </c>
      <c r="J1016">
        <v>1.1564000000000001</v>
      </c>
      <c r="K1016">
        <v>2011</v>
      </c>
      <c r="L1016">
        <v>12</v>
      </c>
      <c r="M1016" t="s">
        <v>41</v>
      </c>
      <c r="N1016">
        <v>20</v>
      </c>
      <c r="O1016">
        <v>3</v>
      </c>
      <c r="P1016">
        <v>28</v>
      </c>
      <c r="Q1016">
        <v>4.13</v>
      </c>
      <c r="R1016" t="s">
        <v>26</v>
      </c>
      <c r="S1016" t="b">
        <v>0</v>
      </c>
      <c r="T1016" t="b">
        <v>0</v>
      </c>
    </row>
    <row r="1017" spans="1:20" x14ac:dyDescent="0.3">
      <c r="A1017" t="s">
        <v>1845</v>
      </c>
      <c r="B1017" s="1">
        <v>40897</v>
      </c>
      <c r="C1017" s="1">
        <v>40900</v>
      </c>
      <c r="D1017" t="s">
        <v>1846</v>
      </c>
      <c r="E1017" t="s">
        <v>22</v>
      </c>
      <c r="F1017" t="s">
        <v>33</v>
      </c>
      <c r="G1017" t="s">
        <v>1849</v>
      </c>
      <c r="H1017">
        <v>155.12</v>
      </c>
      <c r="I1017">
        <v>5</v>
      </c>
      <c r="J1017">
        <v>50.414000000000001</v>
      </c>
      <c r="K1017">
        <v>2011</v>
      </c>
      <c r="L1017">
        <v>12</v>
      </c>
      <c r="M1017" t="s">
        <v>41</v>
      </c>
      <c r="N1017">
        <v>20</v>
      </c>
      <c r="O1017">
        <v>3</v>
      </c>
      <c r="P1017">
        <v>32.5</v>
      </c>
      <c r="Q1017">
        <v>31.024000000000001</v>
      </c>
      <c r="R1017" t="s">
        <v>26</v>
      </c>
      <c r="S1017" t="b">
        <v>0</v>
      </c>
      <c r="T1017" t="b">
        <v>0</v>
      </c>
    </row>
    <row r="1018" spans="1:20" x14ac:dyDescent="0.3">
      <c r="A1018" t="s">
        <v>1850</v>
      </c>
      <c r="B1018" s="1">
        <v>40749</v>
      </c>
      <c r="C1018" s="1">
        <v>40751</v>
      </c>
      <c r="D1018" t="s">
        <v>1851</v>
      </c>
      <c r="E1018" t="s">
        <v>22</v>
      </c>
      <c r="F1018" t="s">
        <v>72</v>
      </c>
      <c r="G1018" t="s">
        <v>1852</v>
      </c>
      <c r="H1018">
        <v>6.48</v>
      </c>
      <c r="I1018">
        <v>1</v>
      </c>
      <c r="J1018">
        <v>3.1751999999999998</v>
      </c>
      <c r="K1018">
        <v>2011</v>
      </c>
      <c r="L1018">
        <v>7</v>
      </c>
      <c r="M1018" t="s">
        <v>66</v>
      </c>
      <c r="N1018">
        <v>25</v>
      </c>
      <c r="O1018">
        <v>2</v>
      </c>
      <c r="P1018">
        <v>49</v>
      </c>
      <c r="Q1018">
        <v>6.48</v>
      </c>
      <c r="R1018" t="s">
        <v>26</v>
      </c>
      <c r="S1018" t="b">
        <v>0</v>
      </c>
      <c r="T1018" t="b">
        <v>0</v>
      </c>
    </row>
    <row r="1019" spans="1:20" x14ac:dyDescent="0.3">
      <c r="A1019" t="s">
        <v>1850</v>
      </c>
      <c r="B1019" s="1">
        <v>40749</v>
      </c>
      <c r="C1019" s="1">
        <v>40751</v>
      </c>
      <c r="D1019" t="s">
        <v>1851</v>
      </c>
      <c r="E1019" t="s">
        <v>22</v>
      </c>
      <c r="F1019" t="s">
        <v>122</v>
      </c>
      <c r="G1019" t="s">
        <v>1853</v>
      </c>
      <c r="H1019">
        <v>15.52</v>
      </c>
      <c r="I1019">
        <v>4</v>
      </c>
      <c r="J1019">
        <v>4.5007999999999999</v>
      </c>
      <c r="K1019">
        <v>2011</v>
      </c>
      <c r="L1019">
        <v>7</v>
      </c>
      <c r="M1019" t="s">
        <v>66</v>
      </c>
      <c r="N1019">
        <v>25</v>
      </c>
      <c r="O1019">
        <v>2</v>
      </c>
      <c r="P1019">
        <v>29</v>
      </c>
      <c r="Q1019">
        <v>3.88</v>
      </c>
      <c r="R1019" t="s">
        <v>26</v>
      </c>
      <c r="S1019" t="b">
        <v>0</v>
      </c>
      <c r="T1019" t="b">
        <v>0</v>
      </c>
    </row>
    <row r="1020" spans="1:20" x14ac:dyDescent="0.3">
      <c r="A1020" t="s">
        <v>1854</v>
      </c>
      <c r="B1020" s="1">
        <v>41474</v>
      </c>
      <c r="C1020" s="1">
        <v>41479</v>
      </c>
      <c r="D1020" t="s">
        <v>1855</v>
      </c>
      <c r="E1020" t="s">
        <v>849</v>
      </c>
      <c r="F1020" t="s">
        <v>122</v>
      </c>
      <c r="G1020" t="s">
        <v>1856</v>
      </c>
      <c r="H1020">
        <v>33.799999999999997</v>
      </c>
      <c r="I1020">
        <v>5</v>
      </c>
      <c r="J1020">
        <v>4.2249999999999996</v>
      </c>
      <c r="K1020">
        <v>2013</v>
      </c>
      <c r="L1020">
        <v>7</v>
      </c>
      <c r="M1020" t="s">
        <v>66</v>
      </c>
      <c r="N1020">
        <v>19</v>
      </c>
      <c r="O1020">
        <v>5</v>
      </c>
      <c r="P1020">
        <v>12.5</v>
      </c>
      <c r="Q1020">
        <v>6.76</v>
      </c>
      <c r="R1020" t="s">
        <v>48</v>
      </c>
      <c r="S1020" t="b">
        <v>0</v>
      </c>
      <c r="T1020" t="b">
        <v>0</v>
      </c>
    </row>
    <row r="1021" spans="1:20" x14ac:dyDescent="0.3">
      <c r="A1021" t="s">
        <v>1857</v>
      </c>
      <c r="B1021" s="1">
        <v>40885</v>
      </c>
      <c r="C1021" s="1">
        <v>40890</v>
      </c>
      <c r="D1021" t="s">
        <v>1789</v>
      </c>
      <c r="E1021" t="s">
        <v>412</v>
      </c>
      <c r="F1021" t="s">
        <v>23</v>
      </c>
      <c r="G1021" t="s">
        <v>505</v>
      </c>
      <c r="H1021">
        <v>27.888000000000002</v>
      </c>
      <c r="I1021">
        <v>7</v>
      </c>
      <c r="J1021">
        <v>9.0635999999999992</v>
      </c>
      <c r="K1021">
        <v>2011</v>
      </c>
      <c r="L1021">
        <v>12</v>
      </c>
      <c r="M1021" t="s">
        <v>41</v>
      </c>
      <c r="N1021">
        <v>8</v>
      </c>
      <c r="O1021">
        <v>5</v>
      </c>
      <c r="P1021">
        <v>32.5</v>
      </c>
      <c r="Q1021">
        <v>3.984</v>
      </c>
      <c r="R1021" t="s">
        <v>26</v>
      </c>
      <c r="S1021" t="b">
        <v>0</v>
      </c>
      <c r="T1021" t="b">
        <v>0</v>
      </c>
    </row>
    <row r="1022" spans="1:20" x14ac:dyDescent="0.3">
      <c r="A1022" t="s">
        <v>1857</v>
      </c>
      <c r="B1022" s="1">
        <v>40885</v>
      </c>
      <c r="C1022" s="1">
        <v>40890</v>
      </c>
      <c r="D1022" t="s">
        <v>1789</v>
      </c>
      <c r="E1022" t="s">
        <v>412</v>
      </c>
      <c r="F1022" t="s">
        <v>33</v>
      </c>
      <c r="G1022" t="s">
        <v>1858</v>
      </c>
      <c r="H1022">
        <v>6.4560000000000004</v>
      </c>
      <c r="I1022">
        <v>4</v>
      </c>
      <c r="J1022">
        <v>-4.5191999999999997</v>
      </c>
      <c r="K1022">
        <v>2011</v>
      </c>
      <c r="L1022">
        <v>12</v>
      </c>
      <c r="M1022" t="s">
        <v>41</v>
      </c>
      <c r="N1022">
        <v>8</v>
      </c>
      <c r="O1022">
        <v>5</v>
      </c>
      <c r="P1022">
        <v>-70</v>
      </c>
      <c r="Q1022">
        <v>1.6140000000000001</v>
      </c>
      <c r="R1022" t="s">
        <v>26</v>
      </c>
      <c r="S1022" t="b">
        <v>1</v>
      </c>
      <c r="T1022" t="b">
        <v>0</v>
      </c>
    </row>
    <row r="1023" spans="1:20" x14ac:dyDescent="0.3">
      <c r="A1023" t="s">
        <v>1857</v>
      </c>
      <c r="B1023" s="1">
        <v>40885</v>
      </c>
      <c r="C1023" s="1">
        <v>40890</v>
      </c>
      <c r="D1023" t="s">
        <v>1789</v>
      </c>
      <c r="E1023" t="s">
        <v>412</v>
      </c>
      <c r="F1023" t="s">
        <v>54</v>
      </c>
      <c r="G1023" t="s">
        <v>1859</v>
      </c>
      <c r="H1023">
        <v>52.68</v>
      </c>
      <c r="I1023">
        <v>3</v>
      </c>
      <c r="J1023">
        <v>19.754999999999999</v>
      </c>
      <c r="K1023">
        <v>2011</v>
      </c>
      <c r="L1023">
        <v>12</v>
      </c>
      <c r="M1023" t="s">
        <v>41</v>
      </c>
      <c r="N1023">
        <v>8</v>
      </c>
      <c r="O1023">
        <v>5</v>
      </c>
      <c r="P1023">
        <v>37.5</v>
      </c>
      <c r="Q1023">
        <v>17.559999999999999</v>
      </c>
      <c r="R1023" t="s">
        <v>26</v>
      </c>
      <c r="S1023" t="b">
        <v>0</v>
      </c>
      <c r="T1023" t="b">
        <v>0</v>
      </c>
    </row>
    <row r="1024" spans="1:20" x14ac:dyDescent="0.3">
      <c r="A1024" t="s">
        <v>1857</v>
      </c>
      <c r="B1024" s="1">
        <v>40885</v>
      </c>
      <c r="C1024" s="1">
        <v>40890</v>
      </c>
      <c r="D1024" t="s">
        <v>1789</v>
      </c>
      <c r="E1024" t="s">
        <v>412</v>
      </c>
      <c r="F1024" t="s">
        <v>122</v>
      </c>
      <c r="G1024" t="s">
        <v>1860</v>
      </c>
      <c r="H1024">
        <v>13.88</v>
      </c>
      <c r="I1024">
        <v>5</v>
      </c>
      <c r="J1024">
        <v>-2.6025</v>
      </c>
      <c r="K1024">
        <v>2011</v>
      </c>
      <c r="L1024">
        <v>12</v>
      </c>
      <c r="M1024" t="s">
        <v>41</v>
      </c>
      <c r="N1024">
        <v>8</v>
      </c>
      <c r="O1024">
        <v>5</v>
      </c>
      <c r="P1024">
        <v>-18.75</v>
      </c>
      <c r="Q1024">
        <v>2.7759999999999998</v>
      </c>
      <c r="R1024" t="s">
        <v>26</v>
      </c>
      <c r="S1024" t="b">
        <v>1</v>
      </c>
      <c r="T1024" t="b">
        <v>0</v>
      </c>
    </row>
    <row r="1025" spans="1:20" x14ac:dyDescent="0.3">
      <c r="A1025" t="s">
        <v>1857</v>
      </c>
      <c r="B1025" s="1">
        <v>40885</v>
      </c>
      <c r="C1025" s="1">
        <v>40890</v>
      </c>
      <c r="D1025" t="s">
        <v>1789</v>
      </c>
      <c r="E1025" t="s">
        <v>412</v>
      </c>
      <c r="F1025" t="s">
        <v>61</v>
      </c>
      <c r="G1025" t="s">
        <v>1614</v>
      </c>
      <c r="H1025">
        <v>103.92</v>
      </c>
      <c r="I1025">
        <v>10</v>
      </c>
      <c r="J1025">
        <v>-18.186</v>
      </c>
      <c r="K1025">
        <v>2011</v>
      </c>
      <c r="L1025">
        <v>12</v>
      </c>
      <c r="M1025" t="s">
        <v>41</v>
      </c>
      <c r="N1025">
        <v>8</v>
      </c>
      <c r="O1025">
        <v>5</v>
      </c>
      <c r="P1025">
        <v>-17.5</v>
      </c>
      <c r="Q1025">
        <v>10.391999999999999</v>
      </c>
      <c r="R1025" t="s">
        <v>26</v>
      </c>
      <c r="S1025" t="b">
        <v>1</v>
      </c>
      <c r="T1025" t="b">
        <v>0</v>
      </c>
    </row>
    <row r="1026" spans="1:20" x14ac:dyDescent="0.3">
      <c r="A1026" t="s">
        <v>1857</v>
      </c>
      <c r="B1026" s="1">
        <v>40885</v>
      </c>
      <c r="C1026" s="1">
        <v>40890</v>
      </c>
      <c r="D1026" t="s">
        <v>1789</v>
      </c>
      <c r="E1026" t="s">
        <v>412</v>
      </c>
      <c r="F1026" t="s">
        <v>23</v>
      </c>
      <c r="G1026" t="s">
        <v>1861</v>
      </c>
      <c r="H1026">
        <v>11.52</v>
      </c>
      <c r="I1026">
        <v>5</v>
      </c>
      <c r="J1026">
        <v>3.7440000000000002</v>
      </c>
      <c r="K1026">
        <v>2011</v>
      </c>
      <c r="L1026">
        <v>12</v>
      </c>
      <c r="M1026" t="s">
        <v>41</v>
      </c>
      <c r="N1026">
        <v>8</v>
      </c>
      <c r="O1026">
        <v>5</v>
      </c>
      <c r="P1026">
        <v>32.5</v>
      </c>
      <c r="Q1026">
        <v>2.3039999999999998</v>
      </c>
      <c r="R1026" t="s">
        <v>26</v>
      </c>
      <c r="S1026" t="b">
        <v>0</v>
      </c>
      <c r="T1026" t="b">
        <v>0</v>
      </c>
    </row>
    <row r="1027" spans="1:20" x14ac:dyDescent="0.3">
      <c r="A1027" t="s">
        <v>1857</v>
      </c>
      <c r="B1027" s="1">
        <v>40885</v>
      </c>
      <c r="C1027" s="1">
        <v>40890</v>
      </c>
      <c r="D1027" t="s">
        <v>1789</v>
      </c>
      <c r="E1027" t="s">
        <v>412</v>
      </c>
      <c r="F1027" t="s">
        <v>72</v>
      </c>
      <c r="G1027" t="s">
        <v>1862</v>
      </c>
      <c r="H1027">
        <v>10.368</v>
      </c>
      <c r="I1027">
        <v>2</v>
      </c>
      <c r="J1027">
        <v>3.6288</v>
      </c>
      <c r="K1027">
        <v>2011</v>
      </c>
      <c r="L1027">
        <v>12</v>
      </c>
      <c r="M1027" t="s">
        <v>41</v>
      </c>
      <c r="N1027">
        <v>8</v>
      </c>
      <c r="O1027">
        <v>5</v>
      </c>
      <c r="P1027">
        <v>35</v>
      </c>
      <c r="Q1027">
        <v>5.1840000000000002</v>
      </c>
      <c r="R1027" t="s">
        <v>26</v>
      </c>
      <c r="S1027" t="b">
        <v>0</v>
      </c>
      <c r="T1027" t="b">
        <v>0</v>
      </c>
    </row>
    <row r="1028" spans="1:20" x14ac:dyDescent="0.3">
      <c r="A1028" t="s">
        <v>1857</v>
      </c>
      <c r="B1028" s="1">
        <v>40885</v>
      </c>
      <c r="C1028" s="1">
        <v>40890</v>
      </c>
      <c r="D1028" t="s">
        <v>1789</v>
      </c>
      <c r="E1028" t="s">
        <v>412</v>
      </c>
      <c r="F1028" t="s">
        <v>45</v>
      </c>
      <c r="G1028" t="s">
        <v>1863</v>
      </c>
      <c r="H1028">
        <v>39.072000000000003</v>
      </c>
      <c r="I1028">
        <v>3</v>
      </c>
      <c r="J1028">
        <v>2.9304000000000001</v>
      </c>
      <c r="K1028">
        <v>2011</v>
      </c>
      <c r="L1028">
        <v>12</v>
      </c>
      <c r="M1028" t="s">
        <v>41</v>
      </c>
      <c r="N1028">
        <v>8</v>
      </c>
      <c r="O1028">
        <v>5</v>
      </c>
      <c r="P1028">
        <v>7.5</v>
      </c>
      <c r="Q1028">
        <v>13.023999999999999</v>
      </c>
      <c r="R1028" t="s">
        <v>26</v>
      </c>
      <c r="S1028" t="b">
        <v>0</v>
      </c>
      <c r="T1028" t="b">
        <v>0</v>
      </c>
    </row>
    <row r="1029" spans="1:20" x14ac:dyDescent="0.3">
      <c r="A1029" t="s">
        <v>1864</v>
      </c>
      <c r="B1029" s="1">
        <v>41248</v>
      </c>
      <c r="C1029" s="1">
        <v>41252</v>
      </c>
      <c r="D1029" t="s">
        <v>1253</v>
      </c>
      <c r="E1029" t="s">
        <v>194</v>
      </c>
      <c r="F1029" t="s">
        <v>29</v>
      </c>
      <c r="G1029" t="s">
        <v>512</v>
      </c>
      <c r="H1029">
        <v>44.46</v>
      </c>
      <c r="I1029">
        <v>2</v>
      </c>
      <c r="J1029">
        <v>14.671799999999999</v>
      </c>
      <c r="K1029">
        <v>2012</v>
      </c>
      <c r="L1029">
        <v>12</v>
      </c>
      <c r="M1029" t="s">
        <v>41</v>
      </c>
      <c r="N1029">
        <v>5</v>
      </c>
      <c r="O1029">
        <v>4</v>
      </c>
      <c r="P1029">
        <v>33</v>
      </c>
      <c r="Q1029">
        <v>22.23</v>
      </c>
      <c r="R1029" t="s">
        <v>26</v>
      </c>
      <c r="S1029" t="b">
        <v>0</v>
      </c>
      <c r="T1029" t="b">
        <v>0</v>
      </c>
    </row>
    <row r="1030" spans="1:20" x14ac:dyDescent="0.3">
      <c r="A1030" t="s">
        <v>1865</v>
      </c>
      <c r="B1030" s="1">
        <v>41622</v>
      </c>
      <c r="C1030" s="1">
        <v>41628</v>
      </c>
      <c r="D1030" t="s">
        <v>364</v>
      </c>
      <c r="E1030" t="s">
        <v>569</v>
      </c>
      <c r="F1030" t="s">
        <v>31</v>
      </c>
      <c r="G1030" t="s">
        <v>1866</v>
      </c>
      <c r="H1030">
        <v>9.84</v>
      </c>
      <c r="I1030">
        <v>3</v>
      </c>
      <c r="J1030">
        <v>3.2471999999999999</v>
      </c>
      <c r="K1030">
        <v>2013</v>
      </c>
      <c r="L1030">
        <v>12</v>
      </c>
      <c r="M1030" t="s">
        <v>41</v>
      </c>
      <c r="N1030">
        <v>14</v>
      </c>
      <c r="O1030">
        <v>6</v>
      </c>
      <c r="P1030">
        <v>33</v>
      </c>
      <c r="Q1030">
        <v>3.28</v>
      </c>
      <c r="R1030" t="s">
        <v>26</v>
      </c>
      <c r="S1030" t="b">
        <v>0</v>
      </c>
      <c r="T1030" t="b">
        <v>0</v>
      </c>
    </row>
    <row r="1031" spans="1:20" x14ac:dyDescent="0.3">
      <c r="A1031" t="s">
        <v>1867</v>
      </c>
      <c r="B1031" s="1">
        <v>41793</v>
      </c>
      <c r="C1031" s="1">
        <v>41796</v>
      </c>
      <c r="D1031" t="s">
        <v>1868</v>
      </c>
      <c r="E1031" t="s">
        <v>368</v>
      </c>
      <c r="F1031" t="s">
        <v>72</v>
      </c>
      <c r="G1031" t="s">
        <v>188</v>
      </c>
      <c r="H1031">
        <v>25.344000000000001</v>
      </c>
      <c r="I1031">
        <v>6</v>
      </c>
      <c r="J1031">
        <v>7.92</v>
      </c>
      <c r="K1031">
        <v>2014</v>
      </c>
      <c r="L1031">
        <v>6</v>
      </c>
      <c r="M1031" t="s">
        <v>25</v>
      </c>
      <c r="N1031">
        <v>3</v>
      </c>
      <c r="O1031">
        <v>3</v>
      </c>
      <c r="P1031">
        <v>31.25</v>
      </c>
      <c r="Q1031">
        <v>4.2240000000000002</v>
      </c>
      <c r="R1031" t="s">
        <v>26</v>
      </c>
      <c r="S1031" t="b">
        <v>0</v>
      </c>
      <c r="T1031" t="b">
        <v>0</v>
      </c>
    </row>
    <row r="1032" spans="1:20" x14ac:dyDescent="0.3">
      <c r="A1032" t="s">
        <v>1867</v>
      </c>
      <c r="B1032" s="1">
        <v>41793</v>
      </c>
      <c r="C1032" s="1">
        <v>41796</v>
      </c>
      <c r="D1032" t="s">
        <v>1868</v>
      </c>
      <c r="E1032" t="s">
        <v>368</v>
      </c>
      <c r="F1032" t="s">
        <v>128</v>
      </c>
      <c r="G1032" t="s">
        <v>1869</v>
      </c>
      <c r="H1032">
        <v>43.92</v>
      </c>
      <c r="I1032">
        <v>5</v>
      </c>
      <c r="J1032">
        <v>15.920999999999999</v>
      </c>
      <c r="K1032">
        <v>2014</v>
      </c>
      <c r="L1032">
        <v>6</v>
      </c>
      <c r="M1032" t="s">
        <v>25</v>
      </c>
      <c r="N1032">
        <v>3</v>
      </c>
      <c r="O1032">
        <v>3</v>
      </c>
      <c r="P1032">
        <v>36.25</v>
      </c>
      <c r="Q1032">
        <v>8.7840000000000007</v>
      </c>
      <c r="R1032" t="s">
        <v>26</v>
      </c>
      <c r="S1032" t="b">
        <v>0</v>
      </c>
      <c r="T1032" t="b">
        <v>0</v>
      </c>
    </row>
    <row r="1033" spans="1:20" x14ac:dyDescent="0.3">
      <c r="A1033" t="s">
        <v>1870</v>
      </c>
      <c r="B1033" s="1">
        <v>41212</v>
      </c>
      <c r="C1033" s="1">
        <v>41215</v>
      </c>
      <c r="D1033" t="s">
        <v>230</v>
      </c>
      <c r="E1033" t="s">
        <v>173</v>
      </c>
      <c r="F1033" t="s">
        <v>793</v>
      </c>
      <c r="G1033" t="s">
        <v>1328</v>
      </c>
      <c r="H1033">
        <v>59.994</v>
      </c>
      <c r="I1033">
        <v>2</v>
      </c>
      <c r="J1033">
        <v>-45.995399999999997</v>
      </c>
      <c r="K1033">
        <v>2012</v>
      </c>
      <c r="L1033">
        <v>10</v>
      </c>
      <c r="M1033" t="s">
        <v>82</v>
      </c>
      <c r="N1033">
        <v>30</v>
      </c>
      <c r="O1033">
        <v>3</v>
      </c>
      <c r="P1033">
        <v>-76.67</v>
      </c>
      <c r="Q1033">
        <v>29.997</v>
      </c>
      <c r="R1033" t="s">
        <v>26</v>
      </c>
      <c r="S1033" t="b">
        <v>1</v>
      </c>
      <c r="T1033" t="b">
        <v>0</v>
      </c>
    </row>
    <row r="1034" spans="1:20" x14ac:dyDescent="0.3">
      <c r="A1034" t="s">
        <v>1870</v>
      </c>
      <c r="B1034" s="1">
        <v>41212</v>
      </c>
      <c r="C1034" s="1">
        <v>41215</v>
      </c>
      <c r="D1034" t="s">
        <v>230</v>
      </c>
      <c r="E1034" t="s">
        <v>173</v>
      </c>
      <c r="F1034" t="s">
        <v>1342</v>
      </c>
      <c r="G1034" t="s">
        <v>1871</v>
      </c>
      <c r="H1034">
        <v>439.99200000000002</v>
      </c>
      <c r="I1034">
        <v>1</v>
      </c>
      <c r="J1034">
        <v>164.99700000000001</v>
      </c>
      <c r="K1034">
        <v>2012</v>
      </c>
      <c r="L1034">
        <v>10</v>
      </c>
      <c r="M1034" t="s">
        <v>82</v>
      </c>
      <c r="N1034">
        <v>30</v>
      </c>
      <c r="O1034">
        <v>3</v>
      </c>
      <c r="P1034">
        <v>37.5</v>
      </c>
      <c r="Q1034">
        <v>439.99200000000002</v>
      </c>
      <c r="R1034" t="s">
        <v>26</v>
      </c>
      <c r="S1034" t="b">
        <v>0</v>
      </c>
      <c r="T1034" t="b">
        <v>1</v>
      </c>
    </row>
    <row r="1035" spans="1:20" x14ac:dyDescent="0.3">
      <c r="A1035" t="s">
        <v>1870</v>
      </c>
      <c r="B1035" s="1">
        <v>41212</v>
      </c>
      <c r="C1035" s="1">
        <v>41215</v>
      </c>
      <c r="D1035" t="s">
        <v>230</v>
      </c>
      <c r="E1035" t="s">
        <v>173</v>
      </c>
      <c r="F1035" t="s">
        <v>54</v>
      </c>
      <c r="G1035" t="s">
        <v>1654</v>
      </c>
      <c r="H1035">
        <v>87.96</v>
      </c>
      <c r="I1035">
        <v>5</v>
      </c>
      <c r="J1035">
        <v>30.786000000000001</v>
      </c>
      <c r="K1035">
        <v>2012</v>
      </c>
      <c r="L1035">
        <v>10</v>
      </c>
      <c r="M1035" t="s">
        <v>82</v>
      </c>
      <c r="N1035">
        <v>30</v>
      </c>
      <c r="O1035">
        <v>3</v>
      </c>
      <c r="P1035">
        <v>35</v>
      </c>
      <c r="Q1035">
        <v>17.591999999999999</v>
      </c>
      <c r="R1035" t="s">
        <v>26</v>
      </c>
      <c r="S1035" t="b">
        <v>0</v>
      </c>
      <c r="T1035" t="b">
        <v>0</v>
      </c>
    </row>
    <row r="1036" spans="1:20" x14ac:dyDescent="0.3">
      <c r="A1036" t="s">
        <v>1870</v>
      </c>
      <c r="B1036" s="1">
        <v>41212</v>
      </c>
      <c r="C1036" s="1">
        <v>41215</v>
      </c>
      <c r="D1036" t="s">
        <v>230</v>
      </c>
      <c r="E1036" t="s">
        <v>173</v>
      </c>
      <c r="F1036" t="s">
        <v>29</v>
      </c>
      <c r="G1036" t="s">
        <v>1872</v>
      </c>
      <c r="H1036">
        <v>15.488</v>
      </c>
      <c r="I1036">
        <v>4</v>
      </c>
      <c r="J1036">
        <v>3.6783999999999999</v>
      </c>
      <c r="K1036">
        <v>2012</v>
      </c>
      <c r="L1036">
        <v>10</v>
      </c>
      <c r="M1036" t="s">
        <v>82</v>
      </c>
      <c r="N1036">
        <v>30</v>
      </c>
      <c r="O1036">
        <v>3</v>
      </c>
      <c r="P1036">
        <v>23.75</v>
      </c>
      <c r="Q1036">
        <v>3.8719999999999999</v>
      </c>
      <c r="R1036" t="s">
        <v>26</v>
      </c>
      <c r="S1036" t="b">
        <v>0</v>
      </c>
      <c r="T1036" t="b">
        <v>0</v>
      </c>
    </row>
    <row r="1037" spans="1:20" x14ac:dyDescent="0.3">
      <c r="A1037" t="s">
        <v>1873</v>
      </c>
      <c r="B1037" s="1">
        <v>41232</v>
      </c>
      <c r="C1037" s="1">
        <v>41234</v>
      </c>
      <c r="D1037" t="s">
        <v>1774</v>
      </c>
      <c r="E1037" t="s">
        <v>39</v>
      </c>
      <c r="F1037" t="s">
        <v>29</v>
      </c>
      <c r="G1037" t="s">
        <v>1597</v>
      </c>
      <c r="H1037">
        <v>141.96</v>
      </c>
      <c r="I1037">
        <v>2</v>
      </c>
      <c r="J1037">
        <v>22.7136</v>
      </c>
      <c r="K1037">
        <v>2012</v>
      </c>
      <c r="L1037">
        <v>11</v>
      </c>
      <c r="M1037" t="s">
        <v>70</v>
      </c>
      <c r="N1037">
        <v>19</v>
      </c>
      <c r="O1037">
        <v>2</v>
      </c>
      <c r="P1037">
        <v>16</v>
      </c>
      <c r="Q1037">
        <v>70.98</v>
      </c>
      <c r="R1037" t="s">
        <v>26</v>
      </c>
      <c r="S1037" t="b">
        <v>0</v>
      </c>
      <c r="T1037" t="b">
        <v>0</v>
      </c>
    </row>
    <row r="1038" spans="1:20" x14ac:dyDescent="0.3">
      <c r="A1038" t="s">
        <v>1874</v>
      </c>
      <c r="B1038" s="1">
        <v>40799</v>
      </c>
      <c r="C1038" s="1">
        <v>40803</v>
      </c>
      <c r="D1038" t="s">
        <v>1751</v>
      </c>
      <c r="E1038" t="s">
        <v>899</v>
      </c>
      <c r="F1038" t="s">
        <v>45</v>
      </c>
      <c r="G1038" t="s">
        <v>1875</v>
      </c>
      <c r="H1038">
        <v>79.400000000000006</v>
      </c>
      <c r="I1038">
        <v>5</v>
      </c>
      <c r="J1038">
        <v>5.9550000000000001</v>
      </c>
      <c r="K1038">
        <v>2011</v>
      </c>
      <c r="L1038">
        <v>9</v>
      </c>
      <c r="M1038" t="s">
        <v>87</v>
      </c>
      <c r="N1038">
        <v>13</v>
      </c>
      <c r="O1038">
        <v>4</v>
      </c>
      <c r="P1038">
        <v>7.5</v>
      </c>
      <c r="Q1038">
        <v>15.88</v>
      </c>
      <c r="R1038" t="s">
        <v>26</v>
      </c>
      <c r="S1038" t="b">
        <v>0</v>
      </c>
      <c r="T1038" t="b">
        <v>0</v>
      </c>
    </row>
    <row r="1039" spans="1:20" x14ac:dyDescent="0.3">
      <c r="A1039" t="s">
        <v>1876</v>
      </c>
      <c r="B1039" s="1">
        <v>41928</v>
      </c>
      <c r="C1039" s="1">
        <v>41930</v>
      </c>
      <c r="D1039" t="s">
        <v>1877</v>
      </c>
      <c r="E1039" t="s">
        <v>22</v>
      </c>
      <c r="F1039" t="s">
        <v>174</v>
      </c>
      <c r="G1039" t="s">
        <v>1878</v>
      </c>
      <c r="H1039">
        <v>510.24</v>
      </c>
      <c r="I1039">
        <v>3</v>
      </c>
      <c r="J1039">
        <v>6.3780000000000001</v>
      </c>
      <c r="K1039">
        <v>2014</v>
      </c>
      <c r="L1039">
        <v>10</v>
      </c>
      <c r="M1039" t="s">
        <v>82</v>
      </c>
      <c r="N1039">
        <v>16</v>
      </c>
      <c r="O1039">
        <v>2</v>
      </c>
      <c r="P1039">
        <v>1.25</v>
      </c>
      <c r="Q1039">
        <v>170.08</v>
      </c>
      <c r="R1039" t="s">
        <v>26</v>
      </c>
      <c r="S1039" t="b">
        <v>0</v>
      </c>
      <c r="T1039" t="b">
        <v>1</v>
      </c>
    </row>
    <row r="1040" spans="1:20" x14ac:dyDescent="0.3">
      <c r="A1040" t="s">
        <v>1876</v>
      </c>
      <c r="B1040" s="1">
        <v>41928</v>
      </c>
      <c r="C1040" s="1">
        <v>41930</v>
      </c>
      <c r="D1040" t="s">
        <v>1877</v>
      </c>
      <c r="E1040" t="s">
        <v>22</v>
      </c>
      <c r="F1040" t="s">
        <v>72</v>
      </c>
      <c r="G1040" t="s">
        <v>1023</v>
      </c>
      <c r="H1040">
        <v>204.95</v>
      </c>
      <c r="I1040">
        <v>5</v>
      </c>
      <c r="J1040">
        <v>100.4255</v>
      </c>
      <c r="K1040">
        <v>2014</v>
      </c>
      <c r="L1040">
        <v>10</v>
      </c>
      <c r="M1040" t="s">
        <v>82</v>
      </c>
      <c r="N1040">
        <v>16</v>
      </c>
      <c r="O1040">
        <v>2</v>
      </c>
      <c r="P1040">
        <v>49</v>
      </c>
      <c r="Q1040">
        <v>40.989999999999988</v>
      </c>
      <c r="R1040" t="s">
        <v>26</v>
      </c>
      <c r="S1040" t="b">
        <v>0</v>
      </c>
      <c r="T1040" t="b">
        <v>0</v>
      </c>
    </row>
    <row r="1041" spans="1:20" x14ac:dyDescent="0.3">
      <c r="A1041" t="s">
        <v>1879</v>
      </c>
      <c r="B1041" s="1">
        <v>41751</v>
      </c>
      <c r="C1041" s="1">
        <v>41754</v>
      </c>
      <c r="D1041" t="s">
        <v>1014</v>
      </c>
      <c r="E1041" t="s">
        <v>39</v>
      </c>
      <c r="F1041" t="s">
        <v>61</v>
      </c>
      <c r="G1041" t="s">
        <v>1880</v>
      </c>
      <c r="H1041">
        <v>11.54</v>
      </c>
      <c r="I1041">
        <v>1</v>
      </c>
      <c r="J1041">
        <v>3.4620000000000002</v>
      </c>
      <c r="K1041">
        <v>2014</v>
      </c>
      <c r="L1041">
        <v>4</v>
      </c>
      <c r="M1041" t="s">
        <v>236</v>
      </c>
      <c r="N1041">
        <v>22</v>
      </c>
      <c r="O1041">
        <v>3</v>
      </c>
      <c r="P1041">
        <v>30</v>
      </c>
      <c r="Q1041">
        <v>11.54</v>
      </c>
      <c r="R1041" t="s">
        <v>26</v>
      </c>
      <c r="S1041" t="b">
        <v>0</v>
      </c>
      <c r="T1041" t="b">
        <v>0</v>
      </c>
    </row>
    <row r="1042" spans="1:20" x14ac:dyDescent="0.3">
      <c r="A1042" t="s">
        <v>1879</v>
      </c>
      <c r="B1042" s="1">
        <v>41751</v>
      </c>
      <c r="C1042" s="1">
        <v>41754</v>
      </c>
      <c r="D1042" t="s">
        <v>1014</v>
      </c>
      <c r="E1042" t="s">
        <v>39</v>
      </c>
      <c r="F1042" t="s">
        <v>29</v>
      </c>
      <c r="G1042" t="s">
        <v>1881</v>
      </c>
      <c r="H1042">
        <v>162.6</v>
      </c>
      <c r="I1042">
        <v>3</v>
      </c>
      <c r="J1042">
        <v>34.146000000000001</v>
      </c>
      <c r="K1042">
        <v>2014</v>
      </c>
      <c r="L1042">
        <v>4</v>
      </c>
      <c r="M1042" t="s">
        <v>236</v>
      </c>
      <c r="N1042">
        <v>22</v>
      </c>
      <c r="O1042">
        <v>3</v>
      </c>
      <c r="P1042">
        <v>21</v>
      </c>
      <c r="Q1042">
        <v>54.2</v>
      </c>
      <c r="R1042" t="s">
        <v>26</v>
      </c>
      <c r="S1042" t="b">
        <v>0</v>
      </c>
      <c r="T1042" t="b">
        <v>0</v>
      </c>
    </row>
    <row r="1043" spans="1:20" x14ac:dyDescent="0.3">
      <c r="A1043" t="s">
        <v>1882</v>
      </c>
      <c r="B1043" s="1">
        <v>40885</v>
      </c>
      <c r="C1043" s="1">
        <v>40887</v>
      </c>
      <c r="D1043" t="s">
        <v>1304</v>
      </c>
      <c r="E1043" t="s">
        <v>624</v>
      </c>
      <c r="F1043" t="s">
        <v>72</v>
      </c>
      <c r="G1043" t="s">
        <v>1883</v>
      </c>
      <c r="H1043">
        <v>45.68</v>
      </c>
      <c r="I1043">
        <v>2</v>
      </c>
      <c r="J1043">
        <v>21.012799999999999</v>
      </c>
      <c r="K1043">
        <v>2011</v>
      </c>
      <c r="L1043">
        <v>12</v>
      </c>
      <c r="M1043" t="s">
        <v>41</v>
      </c>
      <c r="N1043">
        <v>8</v>
      </c>
      <c r="O1043">
        <v>2</v>
      </c>
      <c r="P1043">
        <v>46</v>
      </c>
      <c r="Q1043">
        <v>22.84</v>
      </c>
      <c r="R1043" t="s">
        <v>26</v>
      </c>
      <c r="S1043" t="b">
        <v>0</v>
      </c>
      <c r="T1043" t="b">
        <v>0</v>
      </c>
    </row>
    <row r="1044" spans="1:20" x14ac:dyDescent="0.3">
      <c r="A1044" t="s">
        <v>1884</v>
      </c>
      <c r="B1044" s="1">
        <v>41635</v>
      </c>
      <c r="C1044" s="1">
        <v>41642</v>
      </c>
      <c r="D1044" t="s">
        <v>126</v>
      </c>
      <c r="E1044" t="s">
        <v>173</v>
      </c>
      <c r="F1044" t="s">
        <v>35</v>
      </c>
      <c r="G1044" t="s">
        <v>1244</v>
      </c>
      <c r="H1044">
        <v>18.72</v>
      </c>
      <c r="I1044">
        <v>2</v>
      </c>
      <c r="J1044">
        <v>3.51</v>
      </c>
      <c r="K1044">
        <v>2013</v>
      </c>
      <c r="L1044">
        <v>12</v>
      </c>
      <c r="M1044" t="s">
        <v>41</v>
      </c>
      <c r="N1044">
        <v>27</v>
      </c>
      <c r="O1044">
        <v>7</v>
      </c>
      <c r="P1044">
        <v>18.75</v>
      </c>
      <c r="Q1044">
        <v>9.36</v>
      </c>
      <c r="R1044" t="s">
        <v>26</v>
      </c>
      <c r="S1044" t="b">
        <v>0</v>
      </c>
      <c r="T1044" t="b">
        <v>0</v>
      </c>
    </row>
    <row r="1045" spans="1:20" x14ac:dyDescent="0.3">
      <c r="A1045" t="s">
        <v>1885</v>
      </c>
      <c r="B1045" s="1">
        <v>41879</v>
      </c>
      <c r="C1045" s="1">
        <v>41881</v>
      </c>
      <c r="D1045" t="s">
        <v>1632</v>
      </c>
      <c r="E1045" t="s">
        <v>207</v>
      </c>
      <c r="F1045" t="s">
        <v>29</v>
      </c>
      <c r="G1045" t="s">
        <v>952</v>
      </c>
      <c r="H1045">
        <v>198.46</v>
      </c>
      <c r="I1045">
        <v>2</v>
      </c>
      <c r="J1045">
        <v>99.23</v>
      </c>
      <c r="K1045">
        <v>2014</v>
      </c>
      <c r="L1045">
        <v>8</v>
      </c>
      <c r="M1045" t="s">
        <v>53</v>
      </c>
      <c r="N1045">
        <v>28</v>
      </c>
      <c r="O1045">
        <v>2</v>
      </c>
      <c r="P1045">
        <v>50</v>
      </c>
      <c r="Q1045">
        <v>99.23</v>
      </c>
      <c r="R1045" t="s">
        <v>26</v>
      </c>
      <c r="S1045" t="b">
        <v>0</v>
      </c>
      <c r="T1045" t="b">
        <v>0</v>
      </c>
    </row>
    <row r="1046" spans="1:20" x14ac:dyDescent="0.3">
      <c r="A1046" t="s">
        <v>1885</v>
      </c>
      <c r="B1046" s="1">
        <v>41879</v>
      </c>
      <c r="C1046" s="1">
        <v>41881</v>
      </c>
      <c r="D1046" t="s">
        <v>1632</v>
      </c>
      <c r="E1046" t="s">
        <v>207</v>
      </c>
      <c r="F1046" t="s">
        <v>35</v>
      </c>
      <c r="G1046" t="s">
        <v>1724</v>
      </c>
      <c r="H1046">
        <v>321.92</v>
      </c>
      <c r="I1046">
        <v>4</v>
      </c>
      <c r="J1046">
        <v>96.575999999999993</v>
      </c>
      <c r="K1046">
        <v>2014</v>
      </c>
      <c r="L1046">
        <v>8</v>
      </c>
      <c r="M1046" t="s">
        <v>53</v>
      </c>
      <c r="N1046">
        <v>28</v>
      </c>
      <c r="O1046">
        <v>2</v>
      </c>
      <c r="P1046">
        <v>30</v>
      </c>
      <c r="Q1046">
        <v>80.48</v>
      </c>
      <c r="R1046" t="s">
        <v>26</v>
      </c>
      <c r="S1046" t="b">
        <v>0</v>
      </c>
      <c r="T1046" t="b">
        <v>1</v>
      </c>
    </row>
    <row r="1047" spans="1:20" x14ac:dyDescent="0.3">
      <c r="A1047" t="s">
        <v>1885</v>
      </c>
      <c r="B1047" s="1">
        <v>41879</v>
      </c>
      <c r="C1047" s="1">
        <v>41881</v>
      </c>
      <c r="D1047" t="s">
        <v>1632</v>
      </c>
      <c r="E1047" t="s">
        <v>207</v>
      </c>
      <c r="F1047" t="s">
        <v>122</v>
      </c>
      <c r="G1047" t="s">
        <v>536</v>
      </c>
      <c r="H1047">
        <v>28.4</v>
      </c>
      <c r="I1047">
        <v>5</v>
      </c>
      <c r="J1047">
        <v>8.2360000000000007</v>
      </c>
      <c r="K1047">
        <v>2014</v>
      </c>
      <c r="L1047">
        <v>8</v>
      </c>
      <c r="M1047" t="s">
        <v>53</v>
      </c>
      <c r="N1047">
        <v>28</v>
      </c>
      <c r="O1047">
        <v>2</v>
      </c>
      <c r="P1047">
        <v>29</v>
      </c>
      <c r="Q1047">
        <v>5.68</v>
      </c>
      <c r="R1047" t="s">
        <v>26</v>
      </c>
      <c r="S1047" t="b">
        <v>0</v>
      </c>
      <c r="T1047" t="b">
        <v>0</v>
      </c>
    </row>
    <row r="1048" spans="1:20" x14ac:dyDescent="0.3">
      <c r="A1048" t="s">
        <v>1885</v>
      </c>
      <c r="B1048" s="1">
        <v>41879</v>
      </c>
      <c r="C1048" s="1">
        <v>41881</v>
      </c>
      <c r="D1048" t="s">
        <v>1632</v>
      </c>
      <c r="E1048" t="s">
        <v>207</v>
      </c>
      <c r="F1048" t="s">
        <v>110</v>
      </c>
      <c r="G1048" t="s">
        <v>290</v>
      </c>
      <c r="H1048">
        <v>230.28</v>
      </c>
      <c r="I1048">
        <v>3</v>
      </c>
      <c r="J1048">
        <v>23.027999999999999</v>
      </c>
      <c r="K1048">
        <v>2014</v>
      </c>
      <c r="L1048">
        <v>8</v>
      </c>
      <c r="M1048" t="s">
        <v>53</v>
      </c>
      <c r="N1048">
        <v>28</v>
      </c>
      <c r="O1048">
        <v>2</v>
      </c>
      <c r="P1048">
        <v>10</v>
      </c>
      <c r="Q1048">
        <v>76.760000000000005</v>
      </c>
      <c r="R1048" t="s">
        <v>26</v>
      </c>
      <c r="S1048" t="b">
        <v>0</v>
      </c>
      <c r="T1048" t="b">
        <v>1</v>
      </c>
    </row>
    <row r="1049" spans="1:20" x14ac:dyDescent="0.3">
      <c r="A1049" t="s">
        <v>1885</v>
      </c>
      <c r="B1049" s="1">
        <v>41879</v>
      </c>
      <c r="C1049" s="1">
        <v>41881</v>
      </c>
      <c r="D1049" t="s">
        <v>1632</v>
      </c>
      <c r="E1049" t="s">
        <v>207</v>
      </c>
      <c r="F1049" t="s">
        <v>72</v>
      </c>
      <c r="G1049" t="s">
        <v>1679</v>
      </c>
      <c r="H1049">
        <v>116.28</v>
      </c>
      <c r="I1049">
        <v>3</v>
      </c>
      <c r="J1049">
        <v>56.977200000000003</v>
      </c>
      <c r="K1049">
        <v>2014</v>
      </c>
      <c r="L1049">
        <v>8</v>
      </c>
      <c r="M1049" t="s">
        <v>53</v>
      </c>
      <c r="N1049">
        <v>28</v>
      </c>
      <c r="O1049">
        <v>2</v>
      </c>
      <c r="P1049">
        <v>49</v>
      </c>
      <c r="Q1049">
        <v>38.76</v>
      </c>
      <c r="R1049" t="s">
        <v>26</v>
      </c>
      <c r="S1049" t="b">
        <v>0</v>
      </c>
      <c r="T1049" t="b">
        <v>0</v>
      </c>
    </row>
    <row r="1050" spans="1:20" x14ac:dyDescent="0.3">
      <c r="A1050" t="s">
        <v>1885</v>
      </c>
      <c r="B1050" s="1">
        <v>41879</v>
      </c>
      <c r="C1050" s="1">
        <v>41881</v>
      </c>
      <c r="D1050" t="s">
        <v>1632</v>
      </c>
      <c r="E1050" t="s">
        <v>207</v>
      </c>
      <c r="F1050" t="s">
        <v>45</v>
      </c>
      <c r="G1050" t="s">
        <v>1886</v>
      </c>
      <c r="H1050">
        <v>354.9</v>
      </c>
      <c r="I1050">
        <v>5</v>
      </c>
      <c r="J1050">
        <v>17.745000000000001</v>
      </c>
      <c r="K1050">
        <v>2014</v>
      </c>
      <c r="L1050">
        <v>8</v>
      </c>
      <c r="M1050" t="s">
        <v>53</v>
      </c>
      <c r="N1050">
        <v>28</v>
      </c>
      <c r="O1050">
        <v>2</v>
      </c>
      <c r="P1050">
        <v>5</v>
      </c>
      <c r="Q1050">
        <v>70.97999999999999</v>
      </c>
      <c r="R1050" t="s">
        <v>26</v>
      </c>
      <c r="S1050" t="b">
        <v>0</v>
      </c>
      <c r="T1050" t="b">
        <v>1</v>
      </c>
    </row>
    <row r="1051" spans="1:20" x14ac:dyDescent="0.3">
      <c r="A1051" t="s">
        <v>1887</v>
      </c>
      <c r="B1051" s="1">
        <v>41170</v>
      </c>
      <c r="C1051" s="1">
        <v>41175</v>
      </c>
      <c r="D1051" t="s">
        <v>700</v>
      </c>
      <c r="E1051" t="s">
        <v>22</v>
      </c>
      <c r="F1051" t="s">
        <v>31</v>
      </c>
      <c r="G1051" t="s">
        <v>1888</v>
      </c>
      <c r="H1051">
        <v>11.68</v>
      </c>
      <c r="I1051">
        <v>2</v>
      </c>
      <c r="J1051">
        <v>5.4896000000000003</v>
      </c>
      <c r="K1051">
        <v>2012</v>
      </c>
      <c r="L1051">
        <v>9</v>
      </c>
      <c r="M1051" t="s">
        <v>87</v>
      </c>
      <c r="N1051">
        <v>18</v>
      </c>
      <c r="O1051">
        <v>5</v>
      </c>
      <c r="P1051">
        <v>47</v>
      </c>
      <c r="Q1051">
        <v>5.84</v>
      </c>
      <c r="R1051" t="s">
        <v>26</v>
      </c>
      <c r="S1051" t="b">
        <v>0</v>
      </c>
      <c r="T1051" t="b">
        <v>0</v>
      </c>
    </row>
    <row r="1052" spans="1:20" x14ac:dyDescent="0.3">
      <c r="A1052" t="s">
        <v>1887</v>
      </c>
      <c r="B1052" s="1">
        <v>41170</v>
      </c>
      <c r="C1052" s="1">
        <v>41175</v>
      </c>
      <c r="D1052" t="s">
        <v>700</v>
      </c>
      <c r="E1052" t="s">
        <v>22</v>
      </c>
      <c r="F1052" t="s">
        <v>122</v>
      </c>
      <c r="G1052" t="s">
        <v>1856</v>
      </c>
      <c r="H1052">
        <v>16.899999999999999</v>
      </c>
      <c r="I1052">
        <v>2</v>
      </c>
      <c r="J1052">
        <v>5.07</v>
      </c>
      <c r="K1052">
        <v>2012</v>
      </c>
      <c r="L1052">
        <v>9</v>
      </c>
      <c r="M1052" t="s">
        <v>87</v>
      </c>
      <c r="N1052">
        <v>18</v>
      </c>
      <c r="O1052">
        <v>5</v>
      </c>
      <c r="P1052">
        <v>30</v>
      </c>
      <c r="Q1052">
        <v>8.4499999999999993</v>
      </c>
      <c r="R1052" t="s">
        <v>26</v>
      </c>
      <c r="S1052" t="b">
        <v>0</v>
      </c>
      <c r="T1052" t="b">
        <v>0</v>
      </c>
    </row>
    <row r="1053" spans="1:20" x14ac:dyDescent="0.3">
      <c r="A1053" t="s">
        <v>1887</v>
      </c>
      <c r="B1053" s="1">
        <v>41170</v>
      </c>
      <c r="C1053" s="1">
        <v>41175</v>
      </c>
      <c r="D1053" t="s">
        <v>700</v>
      </c>
      <c r="E1053" t="s">
        <v>22</v>
      </c>
      <c r="F1053" t="s">
        <v>29</v>
      </c>
      <c r="G1053" t="s">
        <v>1889</v>
      </c>
      <c r="H1053">
        <v>24.4</v>
      </c>
      <c r="I1053">
        <v>2</v>
      </c>
      <c r="J1053">
        <v>10.247999999999999</v>
      </c>
      <c r="K1053">
        <v>2012</v>
      </c>
      <c r="L1053">
        <v>9</v>
      </c>
      <c r="M1053" t="s">
        <v>87</v>
      </c>
      <c r="N1053">
        <v>18</v>
      </c>
      <c r="O1053">
        <v>5</v>
      </c>
      <c r="P1053">
        <v>42</v>
      </c>
      <c r="Q1053">
        <v>12.2</v>
      </c>
      <c r="R1053" t="s">
        <v>26</v>
      </c>
      <c r="S1053" t="b">
        <v>0</v>
      </c>
      <c r="T1053" t="b">
        <v>0</v>
      </c>
    </row>
    <row r="1054" spans="1:20" x14ac:dyDescent="0.3">
      <c r="A1054" t="s">
        <v>1890</v>
      </c>
      <c r="B1054" s="1">
        <v>40729</v>
      </c>
      <c r="C1054" s="1">
        <v>40735</v>
      </c>
      <c r="D1054" t="s">
        <v>1792</v>
      </c>
      <c r="E1054" t="s">
        <v>22</v>
      </c>
      <c r="F1054" t="s">
        <v>33</v>
      </c>
      <c r="G1054" t="s">
        <v>344</v>
      </c>
      <c r="H1054">
        <v>180.96</v>
      </c>
      <c r="I1054">
        <v>6</v>
      </c>
      <c r="J1054">
        <v>67.86</v>
      </c>
      <c r="K1054">
        <v>2011</v>
      </c>
      <c r="L1054">
        <v>7</v>
      </c>
      <c r="M1054" t="s">
        <v>66</v>
      </c>
      <c r="N1054">
        <v>5</v>
      </c>
      <c r="O1054">
        <v>6</v>
      </c>
      <c r="P1054">
        <v>37.5</v>
      </c>
      <c r="Q1054">
        <v>30.16</v>
      </c>
      <c r="R1054" t="s">
        <v>26</v>
      </c>
      <c r="S1054" t="b">
        <v>0</v>
      </c>
      <c r="T1054" t="b">
        <v>0</v>
      </c>
    </row>
    <row r="1055" spans="1:20" x14ac:dyDescent="0.3">
      <c r="A1055" t="s">
        <v>1891</v>
      </c>
      <c r="B1055" s="1">
        <v>40571</v>
      </c>
      <c r="C1055" s="1">
        <v>40577</v>
      </c>
      <c r="D1055" t="s">
        <v>1892</v>
      </c>
      <c r="E1055" t="s">
        <v>194</v>
      </c>
      <c r="F1055" t="s">
        <v>45</v>
      </c>
      <c r="G1055" t="s">
        <v>1658</v>
      </c>
      <c r="H1055">
        <v>57.23</v>
      </c>
      <c r="I1055">
        <v>1</v>
      </c>
      <c r="J1055">
        <v>14.307499999999999</v>
      </c>
      <c r="K1055">
        <v>2011</v>
      </c>
      <c r="L1055">
        <v>1</v>
      </c>
      <c r="M1055" t="s">
        <v>60</v>
      </c>
      <c r="N1055">
        <v>28</v>
      </c>
      <c r="O1055">
        <v>6</v>
      </c>
      <c r="P1055">
        <v>25</v>
      </c>
      <c r="Q1055">
        <v>57.23</v>
      </c>
      <c r="R1055" t="s">
        <v>26</v>
      </c>
      <c r="S1055" t="b">
        <v>0</v>
      </c>
      <c r="T1055" t="b">
        <v>0</v>
      </c>
    </row>
    <row r="1056" spans="1:20" x14ac:dyDescent="0.3">
      <c r="A1056" t="s">
        <v>1891</v>
      </c>
      <c r="B1056" s="1">
        <v>40571</v>
      </c>
      <c r="C1056" s="1">
        <v>40577</v>
      </c>
      <c r="D1056" t="s">
        <v>1892</v>
      </c>
      <c r="E1056" t="s">
        <v>194</v>
      </c>
      <c r="F1056" t="s">
        <v>174</v>
      </c>
      <c r="G1056" t="s">
        <v>1893</v>
      </c>
      <c r="H1056">
        <v>333</v>
      </c>
      <c r="I1056">
        <v>3</v>
      </c>
      <c r="J1056">
        <v>-16.649999999999999</v>
      </c>
      <c r="K1056">
        <v>2011</v>
      </c>
      <c r="L1056">
        <v>1</v>
      </c>
      <c r="M1056" t="s">
        <v>60</v>
      </c>
      <c r="N1056">
        <v>28</v>
      </c>
      <c r="O1056">
        <v>6</v>
      </c>
      <c r="P1056">
        <v>-5</v>
      </c>
      <c r="Q1056">
        <v>111</v>
      </c>
      <c r="R1056" t="s">
        <v>26</v>
      </c>
      <c r="S1056" t="b">
        <v>1</v>
      </c>
      <c r="T1056" t="b">
        <v>1</v>
      </c>
    </row>
    <row r="1057" spans="1:20" x14ac:dyDescent="0.3">
      <c r="A1057" t="s">
        <v>1891</v>
      </c>
      <c r="B1057" s="1">
        <v>40571</v>
      </c>
      <c r="C1057" s="1">
        <v>40577</v>
      </c>
      <c r="D1057" t="s">
        <v>1892</v>
      </c>
      <c r="E1057" t="s">
        <v>194</v>
      </c>
      <c r="F1057" t="s">
        <v>31</v>
      </c>
      <c r="G1057" t="s">
        <v>1894</v>
      </c>
      <c r="H1057">
        <v>36.44</v>
      </c>
      <c r="I1057">
        <v>4</v>
      </c>
      <c r="J1057">
        <v>12.0252</v>
      </c>
      <c r="K1057">
        <v>2011</v>
      </c>
      <c r="L1057">
        <v>1</v>
      </c>
      <c r="M1057" t="s">
        <v>60</v>
      </c>
      <c r="N1057">
        <v>28</v>
      </c>
      <c r="O1057">
        <v>6</v>
      </c>
      <c r="P1057">
        <v>33</v>
      </c>
      <c r="Q1057">
        <v>9.11</v>
      </c>
      <c r="R1057" t="s">
        <v>26</v>
      </c>
      <c r="S1057" t="b">
        <v>0</v>
      </c>
      <c r="T1057" t="b">
        <v>0</v>
      </c>
    </row>
    <row r="1058" spans="1:20" x14ac:dyDescent="0.3">
      <c r="A1058" t="s">
        <v>1895</v>
      </c>
      <c r="B1058" s="1">
        <v>40641</v>
      </c>
      <c r="C1058" s="1">
        <v>40648</v>
      </c>
      <c r="D1058" t="s">
        <v>1433</v>
      </c>
      <c r="E1058" t="s">
        <v>849</v>
      </c>
      <c r="F1058" t="s">
        <v>119</v>
      </c>
      <c r="G1058" t="s">
        <v>969</v>
      </c>
      <c r="H1058">
        <v>2.3679999999999999</v>
      </c>
      <c r="I1058">
        <v>2</v>
      </c>
      <c r="J1058">
        <v>0.82879999999999998</v>
      </c>
      <c r="K1058">
        <v>2011</v>
      </c>
      <c r="L1058">
        <v>4</v>
      </c>
      <c r="M1058" t="s">
        <v>236</v>
      </c>
      <c r="N1058">
        <v>8</v>
      </c>
      <c r="O1058">
        <v>7</v>
      </c>
      <c r="P1058">
        <v>35</v>
      </c>
      <c r="Q1058">
        <v>1.1839999999999999</v>
      </c>
      <c r="R1058" t="s">
        <v>26</v>
      </c>
      <c r="S1058" t="b">
        <v>0</v>
      </c>
      <c r="T1058" t="b">
        <v>0</v>
      </c>
    </row>
    <row r="1059" spans="1:20" x14ac:dyDescent="0.3">
      <c r="A1059" t="s">
        <v>1895</v>
      </c>
      <c r="B1059" s="1">
        <v>40641</v>
      </c>
      <c r="C1059" s="1">
        <v>40648</v>
      </c>
      <c r="D1059" t="s">
        <v>1433</v>
      </c>
      <c r="E1059" t="s">
        <v>849</v>
      </c>
      <c r="F1059" t="s">
        <v>72</v>
      </c>
      <c r="G1059" t="s">
        <v>1896</v>
      </c>
      <c r="H1059">
        <v>19.007999999999999</v>
      </c>
      <c r="I1059">
        <v>3</v>
      </c>
      <c r="J1059">
        <v>6.8903999999999996</v>
      </c>
      <c r="K1059">
        <v>2011</v>
      </c>
      <c r="L1059">
        <v>4</v>
      </c>
      <c r="M1059" t="s">
        <v>236</v>
      </c>
      <c r="N1059">
        <v>8</v>
      </c>
      <c r="O1059">
        <v>7</v>
      </c>
      <c r="P1059">
        <v>36.25</v>
      </c>
      <c r="Q1059">
        <v>6.3359999999999994</v>
      </c>
      <c r="R1059" t="s">
        <v>26</v>
      </c>
      <c r="S1059" t="b">
        <v>0</v>
      </c>
      <c r="T1059" t="b">
        <v>0</v>
      </c>
    </row>
    <row r="1060" spans="1:20" x14ac:dyDescent="0.3">
      <c r="A1060" t="s">
        <v>1897</v>
      </c>
      <c r="B1060" s="1">
        <v>40750</v>
      </c>
      <c r="C1060" s="1">
        <v>40757</v>
      </c>
      <c r="D1060" t="s">
        <v>68</v>
      </c>
      <c r="E1060" t="s">
        <v>981</v>
      </c>
      <c r="F1060" t="s">
        <v>29</v>
      </c>
      <c r="G1060" t="s">
        <v>1898</v>
      </c>
      <c r="H1060">
        <v>134.01</v>
      </c>
      <c r="I1060">
        <v>9</v>
      </c>
      <c r="J1060">
        <v>36.182699999999997</v>
      </c>
      <c r="K1060">
        <v>2011</v>
      </c>
      <c r="L1060">
        <v>7</v>
      </c>
      <c r="M1060" t="s">
        <v>66</v>
      </c>
      <c r="N1060">
        <v>26</v>
      </c>
      <c r="O1060">
        <v>7</v>
      </c>
      <c r="P1060">
        <v>27</v>
      </c>
      <c r="Q1060">
        <v>14.89</v>
      </c>
      <c r="R1060" t="s">
        <v>26</v>
      </c>
      <c r="S1060" t="b">
        <v>0</v>
      </c>
      <c r="T1060" t="b">
        <v>0</v>
      </c>
    </row>
    <row r="1061" spans="1:20" x14ac:dyDescent="0.3">
      <c r="A1061" t="s">
        <v>1897</v>
      </c>
      <c r="B1061" s="1">
        <v>40750</v>
      </c>
      <c r="C1061" s="1">
        <v>40757</v>
      </c>
      <c r="D1061" t="s">
        <v>68</v>
      </c>
      <c r="E1061" t="s">
        <v>981</v>
      </c>
      <c r="F1061" t="s">
        <v>61</v>
      </c>
      <c r="G1061" t="s">
        <v>1899</v>
      </c>
      <c r="H1061">
        <v>170.97</v>
      </c>
      <c r="I1061">
        <v>3</v>
      </c>
      <c r="J1061">
        <v>70.097700000000003</v>
      </c>
      <c r="K1061">
        <v>2011</v>
      </c>
      <c r="L1061">
        <v>7</v>
      </c>
      <c r="M1061" t="s">
        <v>66</v>
      </c>
      <c r="N1061">
        <v>26</v>
      </c>
      <c r="O1061">
        <v>7</v>
      </c>
      <c r="P1061">
        <v>41</v>
      </c>
      <c r="Q1061">
        <v>56.99</v>
      </c>
      <c r="R1061" t="s">
        <v>26</v>
      </c>
      <c r="S1061" t="b">
        <v>0</v>
      </c>
      <c r="T1061" t="b">
        <v>0</v>
      </c>
    </row>
    <row r="1062" spans="1:20" x14ac:dyDescent="0.3">
      <c r="A1062" t="s">
        <v>1900</v>
      </c>
      <c r="B1062" s="1">
        <v>40844</v>
      </c>
      <c r="C1062" s="1">
        <v>40847</v>
      </c>
      <c r="D1062" t="s">
        <v>1901</v>
      </c>
      <c r="E1062" t="s">
        <v>22</v>
      </c>
      <c r="F1062" t="s">
        <v>33</v>
      </c>
      <c r="G1062" t="s">
        <v>241</v>
      </c>
      <c r="H1062">
        <v>7.1840000000000002</v>
      </c>
      <c r="I1062">
        <v>2</v>
      </c>
      <c r="J1062">
        <v>2.2450000000000001</v>
      </c>
      <c r="K1062">
        <v>2011</v>
      </c>
      <c r="L1062">
        <v>10</v>
      </c>
      <c r="M1062" t="s">
        <v>82</v>
      </c>
      <c r="N1062">
        <v>28</v>
      </c>
      <c r="O1062">
        <v>3</v>
      </c>
      <c r="P1062">
        <v>31.25</v>
      </c>
      <c r="Q1062">
        <v>3.5920000000000001</v>
      </c>
      <c r="R1062" t="s">
        <v>26</v>
      </c>
      <c r="S1062" t="b">
        <v>0</v>
      </c>
      <c r="T1062" t="b">
        <v>0</v>
      </c>
    </row>
    <row r="1063" spans="1:20" x14ac:dyDescent="0.3">
      <c r="A1063" t="s">
        <v>1900</v>
      </c>
      <c r="B1063" s="1">
        <v>40844</v>
      </c>
      <c r="C1063" s="1">
        <v>40847</v>
      </c>
      <c r="D1063" t="s">
        <v>1901</v>
      </c>
      <c r="E1063" t="s">
        <v>22</v>
      </c>
      <c r="F1063" t="s">
        <v>122</v>
      </c>
      <c r="G1063" t="s">
        <v>1902</v>
      </c>
      <c r="H1063">
        <v>6.28</v>
      </c>
      <c r="I1063">
        <v>2</v>
      </c>
      <c r="J1063">
        <v>6.2799999999999995E-2</v>
      </c>
      <c r="K1063">
        <v>2011</v>
      </c>
      <c r="L1063">
        <v>10</v>
      </c>
      <c r="M1063" t="s">
        <v>82</v>
      </c>
      <c r="N1063">
        <v>28</v>
      </c>
      <c r="O1063">
        <v>3</v>
      </c>
      <c r="P1063">
        <v>1</v>
      </c>
      <c r="Q1063">
        <v>3.14</v>
      </c>
      <c r="R1063" t="s">
        <v>26</v>
      </c>
      <c r="S1063" t="b">
        <v>0</v>
      </c>
      <c r="T1063" t="b">
        <v>0</v>
      </c>
    </row>
    <row r="1064" spans="1:20" x14ac:dyDescent="0.3">
      <c r="A1064" t="s">
        <v>1900</v>
      </c>
      <c r="B1064" s="1">
        <v>40844</v>
      </c>
      <c r="C1064" s="1">
        <v>40847</v>
      </c>
      <c r="D1064" t="s">
        <v>1901</v>
      </c>
      <c r="E1064" t="s">
        <v>22</v>
      </c>
      <c r="F1064" t="s">
        <v>122</v>
      </c>
      <c r="G1064" t="s">
        <v>1903</v>
      </c>
      <c r="H1064">
        <v>480.74</v>
      </c>
      <c r="I1064">
        <v>2</v>
      </c>
      <c r="J1064">
        <v>14.4222</v>
      </c>
      <c r="K1064">
        <v>2011</v>
      </c>
      <c r="L1064">
        <v>10</v>
      </c>
      <c r="M1064" t="s">
        <v>82</v>
      </c>
      <c r="N1064">
        <v>28</v>
      </c>
      <c r="O1064">
        <v>3</v>
      </c>
      <c r="P1064">
        <v>3</v>
      </c>
      <c r="Q1064">
        <v>240.37</v>
      </c>
      <c r="R1064" t="s">
        <v>26</v>
      </c>
      <c r="S1064" t="b">
        <v>0</v>
      </c>
      <c r="T1064" t="b">
        <v>1</v>
      </c>
    </row>
    <row r="1065" spans="1:20" x14ac:dyDescent="0.3">
      <c r="A1065" t="s">
        <v>1900</v>
      </c>
      <c r="B1065" s="1">
        <v>40844</v>
      </c>
      <c r="C1065" s="1">
        <v>40847</v>
      </c>
      <c r="D1065" t="s">
        <v>1901</v>
      </c>
      <c r="E1065" t="s">
        <v>22</v>
      </c>
      <c r="F1065" t="s">
        <v>45</v>
      </c>
      <c r="G1065" t="s">
        <v>968</v>
      </c>
      <c r="H1065">
        <v>141.4</v>
      </c>
      <c r="I1065">
        <v>5</v>
      </c>
      <c r="J1065">
        <v>38.177999999999997</v>
      </c>
      <c r="K1065">
        <v>2011</v>
      </c>
      <c r="L1065">
        <v>10</v>
      </c>
      <c r="M1065" t="s">
        <v>82</v>
      </c>
      <c r="N1065">
        <v>28</v>
      </c>
      <c r="O1065">
        <v>3</v>
      </c>
      <c r="P1065">
        <v>27</v>
      </c>
      <c r="Q1065">
        <v>28.28</v>
      </c>
      <c r="R1065" t="s">
        <v>26</v>
      </c>
      <c r="S1065" t="b">
        <v>0</v>
      </c>
      <c r="T1065" t="b">
        <v>0</v>
      </c>
    </row>
    <row r="1066" spans="1:20" x14ac:dyDescent="0.3">
      <c r="A1066" t="s">
        <v>1904</v>
      </c>
      <c r="B1066" s="1">
        <v>41797</v>
      </c>
      <c r="C1066" s="1">
        <v>41801</v>
      </c>
      <c r="D1066" t="s">
        <v>1678</v>
      </c>
      <c r="E1066" t="s">
        <v>51</v>
      </c>
      <c r="F1066" t="s">
        <v>29</v>
      </c>
      <c r="G1066" t="s">
        <v>1905</v>
      </c>
      <c r="H1066">
        <v>4.95</v>
      </c>
      <c r="I1066">
        <v>1</v>
      </c>
      <c r="J1066">
        <v>2.1779999999999999</v>
      </c>
      <c r="K1066">
        <v>2014</v>
      </c>
      <c r="L1066">
        <v>6</v>
      </c>
      <c r="M1066" t="s">
        <v>25</v>
      </c>
      <c r="N1066">
        <v>7</v>
      </c>
      <c r="O1066">
        <v>4</v>
      </c>
      <c r="P1066">
        <v>44</v>
      </c>
      <c r="Q1066">
        <v>4.95</v>
      </c>
      <c r="R1066" t="s">
        <v>26</v>
      </c>
      <c r="S1066" t="b">
        <v>0</v>
      </c>
      <c r="T1066" t="b">
        <v>0</v>
      </c>
    </row>
    <row r="1067" spans="1:20" x14ac:dyDescent="0.3">
      <c r="A1067" t="s">
        <v>1904</v>
      </c>
      <c r="B1067" s="1">
        <v>41797</v>
      </c>
      <c r="C1067" s="1">
        <v>41801</v>
      </c>
      <c r="D1067" t="s">
        <v>1678</v>
      </c>
      <c r="E1067" t="s">
        <v>51</v>
      </c>
      <c r="F1067" t="s">
        <v>45</v>
      </c>
      <c r="G1067" t="s">
        <v>1906</v>
      </c>
      <c r="H1067">
        <v>26.4</v>
      </c>
      <c r="I1067">
        <v>5</v>
      </c>
      <c r="J1067">
        <v>0</v>
      </c>
      <c r="K1067">
        <v>2014</v>
      </c>
      <c r="L1067">
        <v>6</v>
      </c>
      <c r="M1067" t="s">
        <v>25</v>
      </c>
      <c r="N1067">
        <v>7</v>
      </c>
      <c r="O1067">
        <v>4</v>
      </c>
      <c r="P1067">
        <v>0</v>
      </c>
      <c r="Q1067">
        <v>5.2799999999999994</v>
      </c>
      <c r="R1067" t="s">
        <v>26</v>
      </c>
      <c r="S1067" t="b">
        <v>0</v>
      </c>
      <c r="T1067" t="b">
        <v>0</v>
      </c>
    </row>
    <row r="1068" spans="1:20" x14ac:dyDescent="0.3">
      <c r="A1068" t="s">
        <v>1907</v>
      </c>
      <c r="B1068" s="1">
        <v>40897</v>
      </c>
      <c r="C1068" s="1">
        <v>40897</v>
      </c>
      <c r="D1068" t="s">
        <v>1456</v>
      </c>
      <c r="E1068" t="s">
        <v>1908</v>
      </c>
      <c r="F1068" t="s">
        <v>61</v>
      </c>
      <c r="G1068" t="s">
        <v>1909</v>
      </c>
      <c r="H1068">
        <v>447.94400000000002</v>
      </c>
      <c r="I1068">
        <v>7</v>
      </c>
      <c r="J1068">
        <v>89.588800000000006</v>
      </c>
      <c r="K1068">
        <v>2011</v>
      </c>
      <c r="L1068">
        <v>12</v>
      </c>
      <c r="M1068" t="s">
        <v>41</v>
      </c>
      <c r="N1068">
        <v>20</v>
      </c>
      <c r="O1068">
        <v>0</v>
      </c>
      <c r="P1068">
        <v>20</v>
      </c>
      <c r="Q1068">
        <v>63.991999999999997</v>
      </c>
      <c r="R1068" t="s">
        <v>26</v>
      </c>
      <c r="S1068" t="b">
        <v>0</v>
      </c>
      <c r="T1068" t="b">
        <v>1</v>
      </c>
    </row>
    <row r="1069" spans="1:20" x14ac:dyDescent="0.3">
      <c r="A1069" t="s">
        <v>1910</v>
      </c>
      <c r="B1069" s="1">
        <v>41930</v>
      </c>
      <c r="C1069" s="1">
        <v>41932</v>
      </c>
      <c r="D1069" t="s">
        <v>1911</v>
      </c>
      <c r="E1069" t="s">
        <v>194</v>
      </c>
      <c r="F1069" t="s">
        <v>31</v>
      </c>
      <c r="G1069" t="s">
        <v>1912</v>
      </c>
      <c r="H1069">
        <v>10.64</v>
      </c>
      <c r="I1069">
        <v>4</v>
      </c>
      <c r="J1069">
        <v>2.7664</v>
      </c>
      <c r="K1069">
        <v>2014</v>
      </c>
      <c r="L1069">
        <v>10</v>
      </c>
      <c r="M1069" t="s">
        <v>82</v>
      </c>
      <c r="N1069">
        <v>18</v>
      </c>
      <c r="O1069">
        <v>2</v>
      </c>
      <c r="P1069">
        <v>26</v>
      </c>
      <c r="Q1069">
        <v>2.66</v>
      </c>
      <c r="R1069" t="s">
        <v>48</v>
      </c>
      <c r="S1069" t="b">
        <v>0</v>
      </c>
      <c r="T1069" t="b">
        <v>0</v>
      </c>
    </row>
    <row r="1070" spans="1:20" x14ac:dyDescent="0.3">
      <c r="A1070" t="s">
        <v>1913</v>
      </c>
      <c r="B1070" s="1">
        <v>40751</v>
      </c>
      <c r="C1070" s="1">
        <v>40753</v>
      </c>
      <c r="D1070" t="s">
        <v>1049</v>
      </c>
      <c r="E1070" t="s">
        <v>51</v>
      </c>
      <c r="F1070" t="s">
        <v>61</v>
      </c>
      <c r="G1070" t="s">
        <v>1914</v>
      </c>
      <c r="H1070">
        <v>238</v>
      </c>
      <c r="I1070">
        <v>2</v>
      </c>
      <c r="J1070">
        <v>38.08</v>
      </c>
      <c r="K1070">
        <v>2011</v>
      </c>
      <c r="L1070">
        <v>7</v>
      </c>
      <c r="M1070" t="s">
        <v>66</v>
      </c>
      <c r="N1070">
        <v>27</v>
      </c>
      <c r="O1070">
        <v>2</v>
      </c>
      <c r="P1070">
        <v>16</v>
      </c>
      <c r="Q1070">
        <v>119</v>
      </c>
      <c r="R1070" t="s">
        <v>26</v>
      </c>
      <c r="S1070" t="b">
        <v>0</v>
      </c>
      <c r="T1070" t="b">
        <v>1</v>
      </c>
    </row>
    <row r="1071" spans="1:20" x14ac:dyDescent="0.3">
      <c r="A1071" t="s">
        <v>1915</v>
      </c>
      <c r="B1071" s="1">
        <v>41205</v>
      </c>
      <c r="C1071" s="1">
        <v>41209</v>
      </c>
      <c r="D1071" t="s">
        <v>1916</v>
      </c>
      <c r="E1071" t="s">
        <v>194</v>
      </c>
      <c r="F1071" t="s">
        <v>61</v>
      </c>
      <c r="G1071" t="s">
        <v>1917</v>
      </c>
      <c r="H1071">
        <v>148.32</v>
      </c>
      <c r="I1071">
        <v>9</v>
      </c>
      <c r="J1071">
        <v>63.7776</v>
      </c>
      <c r="K1071">
        <v>2012</v>
      </c>
      <c r="L1071">
        <v>10</v>
      </c>
      <c r="M1071" t="s">
        <v>82</v>
      </c>
      <c r="N1071">
        <v>23</v>
      </c>
      <c r="O1071">
        <v>4</v>
      </c>
      <c r="P1071">
        <v>43</v>
      </c>
      <c r="Q1071">
        <v>16.48</v>
      </c>
      <c r="R1071" t="s">
        <v>26</v>
      </c>
      <c r="S1071" t="b">
        <v>0</v>
      </c>
      <c r="T1071" t="b">
        <v>0</v>
      </c>
    </row>
    <row r="1072" spans="1:20" x14ac:dyDescent="0.3">
      <c r="A1072" t="s">
        <v>1915</v>
      </c>
      <c r="B1072" s="1">
        <v>41205</v>
      </c>
      <c r="C1072" s="1">
        <v>41209</v>
      </c>
      <c r="D1072" t="s">
        <v>1916</v>
      </c>
      <c r="E1072" t="s">
        <v>194</v>
      </c>
      <c r="F1072" t="s">
        <v>110</v>
      </c>
      <c r="G1072" t="s">
        <v>1918</v>
      </c>
      <c r="H1072">
        <v>240.78399999999999</v>
      </c>
      <c r="I1072">
        <v>1</v>
      </c>
      <c r="J1072">
        <v>27.088200000000001</v>
      </c>
      <c r="K1072">
        <v>2012</v>
      </c>
      <c r="L1072">
        <v>10</v>
      </c>
      <c r="M1072" t="s">
        <v>82</v>
      </c>
      <c r="N1072">
        <v>23</v>
      </c>
      <c r="O1072">
        <v>4</v>
      </c>
      <c r="P1072">
        <v>11.25</v>
      </c>
      <c r="Q1072">
        <v>240.78399999999999</v>
      </c>
      <c r="R1072" t="s">
        <v>26</v>
      </c>
      <c r="S1072" t="b">
        <v>0</v>
      </c>
      <c r="T1072" t="b">
        <v>1</v>
      </c>
    </row>
    <row r="1073" spans="1:20" x14ac:dyDescent="0.3">
      <c r="A1073" t="s">
        <v>1915</v>
      </c>
      <c r="B1073" s="1">
        <v>41205</v>
      </c>
      <c r="C1073" s="1">
        <v>41209</v>
      </c>
      <c r="D1073" t="s">
        <v>1916</v>
      </c>
      <c r="E1073" t="s">
        <v>194</v>
      </c>
      <c r="F1073" t="s">
        <v>110</v>
      </c>
      <c r="G1073" t="s">
        <v>1919</v>
      </c>
      <c r="H1073">
        <v>191.96799999999999</v>
      </c>
      <c r="I1073">
        <v>7</v>
      </c>
      <c r="J1073">
        <v>16.7972</v>
      </c>
      <c r="K1073">
        <v>2012</v>
      </c>
      <c r="L1073">
        <v>10</v>
      </c>
      <c r="M1073" t="s">
        <v>82</v>
      </c>
      <c r="N1073">
        <v>23</v>
      </c>
      <c r="O1073">
        <v>4</v>
      </c>
      <c r="P1073">
        <v>8.75</v>
      </c>
      <c r="Q1073">
        <v>27.423999999999999</v>
      </c>
      <c r="R1073" t="s">
        <v>26</v>
      </c>
      <c r="S1073" t="b">
        <v>0</v>
      </c>
      <c r="T1073" t="b">
        <v>0</v>
      </c>
    </row>
    <row r="1074" spans="1:20" x14ac:dyDescent="0.3">
      <c r="A1074" t="s">
        <v>1915</v>
      </c>
      <c r="B1074" s="1">
        <v>41205</v>
      </c>
      <c r="C1074" s="1">
        <v>41209</v>
      </c>
      <c r="D1074" t="s">
        <v>1916</v>
      </c>
      <c r="E1074" t="s">
        <v>194</v>
      </c>
      <c r="F1074" t="s">
        <v>72</v>
      </c>
      <c r="G1074" t="s">
        <v>1920</v>
      </c>
      <c r="H1074">
        <v>11.56</v>
      </c>
      <c r="I1074">
        <v>2</v>
      </c>
      <c r="J1074">
        <v>5.6643999999999997</v>
      </c>
      <c r="K1074">
        <v>2012</v>
      </c>
      <c r="L1074">
        <v>10</v>
      </c>
      <c r="M1074" t="s">
        <v>82</v>
      </c>
      <c r="N1074">
        <v>23</v>
      </c>
      <c r="O1074">
        <v>4</v>
      </c>
      <c r="P1074">
        <v>49</v>
      </c>
      <c r="Q1074">
        <v>5.78</v>
      </c>
      <c r="R1074" t="s">
        <v>26</v>
      </c>
      <c r="S1074" t="b">
        <v>0</v>
      </c>
      <c r="T1074" t="b">
        <v>0</v>
      </c>
    </row>
    <row r="1075" spans="1:20" x14ac:dyDescent="0.3">
      <c r="A1075" t="s">
        <v>1915</v>
      </c>
      <c r="B1075" s="1">
        <v>41205</v>
      </c>
      <c r="C1075" s="1">
        <v>41209</v>
      </c>
      <c r="D1075" t="s">
        <v>1916</v>
      </c>
      <c r="E1075" t="s">
        <v>194</v>
      </c>
      <c r="F1075" t="s">
        <v>128</v>
      </c>
      <c r="G1075" t="s">
        <v>617</v>
      </c>
      <c r="H1075">
        <v>11.8</v>
      </c>
      <c r="I1075">
        <v>4</v>
      </c>
      <c r="J1075">
        <v>5.6639999999999997</v>
      </c>
      <c r="K1075">
        <v>2012</v>
      </c>
      <c r="L1075">
        <v>10</v>
      </c>
      <c r="M1075" t="s">
        <v>82</v>
      </c>
      <c r="N1075">
        <v>23</v>
      </c>
      <c r="O1075">
        <v>4</v>
      </c>
      <c r="P1075">
        <v>48</v>
      </c>
      <c r="Q1075">
        <v>2.95</v>
      </c>
      <c r="R1075" t="s">
        <v>26</v>
      </c>
      <c r="S1075" t="b">
        <v>0</v>
      </c>
      <c r="T1075" t="b">
        <v>0</v>
      </c>
    </row>
    <row r="1076" spans="1:20" x14ac:dyDescent="0.3">
      <c r="A1076" t="s">
        <v>1921</v>
      </c>
      <c r="B1076" s="1">
        <v>41075</v>
      </c>
      <c r="C1076" s="1">
        <v>41080</v>
      </c>
      <c r="D1076" t="s">
        <v>1922</v>
      </c>
      <c r="E1076" t="s">
        <v>77</v>
      </c>
      <c r="F1076" t="s">
        <v>72</v>
      </c>
      <c r="G1076" t="s">
        <v>1923</v>
      </c>
      <c r="H1076">
        <v>9.5679999999999996</v>
      </c>
      <c r="I1076">
        <v>2</v>
      </c>
      <c r="J1076">
        <v>2.99</v>
      </c>
      <c r="K1076">
        <v>2012</v>
      </c>
      <c r="L1076">
        <v>6</v>
      </c>
      <c r="M1076" t="s">
        <v>25</v>
      </c>
      <c r="N1076">
        <v>15</v>
      </c>
      <c r="O1076">
        <v>5</v>
      </c>
      <c r="P1076">
        <v>31.25</v>
      </c>
      <c r="Q1076">
        <v>4.7839999999999998</v>
      </c>
      <c r="R1076" t="s">
        <v>26</v>
      </c>
      <c r="S1076" t="b">
        <v>0</v>
      </c>
      <c r="T1076" t="b">
        <v>0</v>
      </c>
    </row>
    <row r="1077" spans="1:20" x14ac:dyDescent="0.3">
      <c r="A1077" t="s">
        <v>1921</v>
      </c>
      <c r="B1077" s="1">
        <v>41075</v>
      </c>
      <c r="C1077" s="1">
        <v>41080</v>
      </c>
      <c r="D1077" t="s">
        <v>1922</v>
      </c>
      <c r="E1077" t="s">
        <v>77</v>
      </c>
      <c r="F1077" t="s">
        <v>45</v>
      </c>
      <c r="G1077" t="s">
        <v>897</v>
      </c>
      <c r="H1077">
        <v>82.367999999999995</v>
      </c>
      <c r="I1077">
        <v>2</v>
      </c>
      <c r="J1077">
        <v>-19.5624</v>
      </c>
      <c r="K1077">
        <v>2012</v>
      </c>
      <c r="L1077">
        <v>6</v>
      </c>
      <c r="M1077" t="s">
        <v>25</v>
      </c>
      <c r="N1077">
        <v>15</v>
      </c>
      <c r="O1077">
        <v>5</v>
      </c>
      <c r="P1077">
        <v>-23.75</v>
      </c>
      <c r="Q1077">
        <v>41.183999999999997</v>
      </c>
      <c r="R1077" t="s">
        <v>26</v>
      </c>
      <c r="S1077" t="b">
        <v>1</v>
      </c>
      <c r="T1077" t="b">
        <v>0</v>
      </c>
    </row>
    <row r="1078" spans="1:20" x14ac:dyDescent="0.3">
      <c r="A1078" t="s">
        <v>1921</v>
      </c>
      <c r="B1078" s="1">
        <v>41075</v>
      </c>
      <c r="C1078" s="1">
        <v>41080</v>
      </c>
      <c r="D1078" t="s">
        <v>1922</v>
      </c>
      <c r="E1078" t="s">
        <v>77</v>
      </c>
      <c r="F1078" t="s">
        <v>29</v>
      </c>
      <c r="G1078" t="s">
        <v>1924</v>
      </c>
      <c r="H1078">
        <v>364.70400000000001</v>
      </c>
      <c r="I1078">
        <v>6</v>
      </c>
      <c r="J1078">
        <v>-36.470399999999998</v>
      </c>
      <c r="K1078">
        <v>2012</v>
      </c>
      <c r="L1078">
        <v>6</v>
      </c>
      <c r="M1078" t="s">
        <v>25</v>
      </c>
      <c r="N1078">
        <v>15</v>
      </c>
      <c r="O1078">
        <v>5</v>
      </c>
      <c r="P1078">
        <v>-10</v>
      </c>
      <c r="Q1078">
        <v>60.783999999999999</v>
      </c>
      <c r="R1078" t="s">
        <v>26</v>
      </c>
      <c r="S1078" t="b">
        <v>1</v>
      </c>
      <c r="T1078" t="b">
        <v>1</v>
      </c>
    </row>
    <row r="1079" spans="1:20" x14ac:dyDescent="0.3">
      <c r="A1079" t="s">
        <v>1921</v>
      </c>
      <c r="B1079" s="1">
        <v>41075</v>
      </c>
      <c r="C1079" s="1">
        <v>41080</v>
      </c>
      <c r="D1079" t="s">
        <v>1922</v>
      </c>
      <c r="E1079" t="s">
        <v>77</v>
      </c>
      <c r="F1079" t="s">
        <v>29</v>
      </c>
      <c r="G1079" t="s">
        <v>1925</v>
      </c>
      <c r="H1079">
        <v>40.256</v>
      </c>
      <c r="I1079">
        <v>4</v>
      </c>
      <c r="J1079">
        <v>11.070399999999999</v>
      </c>
      <c r="K1079">
        <v>2012</v>
      </c>
      <c r="L1079">
        <v>6</v>
      </c>
      <c r="M1079" t="s">
        <v>25</v>
      </c>
      <c r="N1079">
        <v>15</v>
      </c>
      <c r="O1079">
        <v>5</v>
      </c>
      <c r="P1079">
        <v>27.5</v>
      </c>
      <c r="Q1079">
        <v>10.064</v>
      </c>
      <c r="R1079" t="s">
        <v>26</v>
      </c>
      <c r="S1079" t="b">
        <v>0</v>
      </c>
      <c r="T1079" t="b">
        <v>0</v>
      </c>
    </row>
    <row r="1080" spans="1:20" x14ac:dyDescent="0.3">
      <c r="A1080" t="s">
        <v>1926</v>
      </c>
      <c r="B1080" s="1">
        <v>41184</v>
      </c>
      <c r="C1080" s="1">
        <v>41189</v>
      </c>
      <c r="D1080" t="s">
        <v>924</v>
      </c>
      <c r="E1080" t="s">
        <v>22</v>
      </c>
      <c r="F1080" t="s">
        <v>45</v>
      </c>
      <c r="G1080" t="s">
        <v>1927</v>
      </c>
      <c r="H1080">
        <v>270.33999999999997</v>
      </c>
      <c r="I1080">
        <v>14</v>
      </c>
      <c r="J1080">
        <v>75.6952</v>
      </c>
      <c r="K1080">
        <v>2012</v>
      </c>
      <c r="L1080">
        <v>10</v>
      </c>
      <c r="M1080" t="s">
        <v>82</v>
      </c>
      <c r="N1080">
        <v>2</v>
      </c>
      <c r="O1080">
        <v>5</v>
      </c>
      <c r="P1080">
        <v>28</v>
      </c>
      <c r="Q1080">
        <v>19.309999999999999</v>
      </c>
      <c r="R1080" t="s">
        <v>26</v>
      </c>
      <c r="S1080" t="b">
        <v>0</v>
      </c>
      <c r="T1080" t="b">
        <v>1</v>
      </c>
    </row>
    <row r="1081" spans="1:20" x14ac:dyDescent="0.3">
      <c r="A1081" t="s">
        <v>1928</v>
      </c>
      <c r="B1081" s="1">
        <v>41839</v>
      </c>
      <c r="C1081" s="1">
        <v>41844</v>
      </c>
      <c r="D1081" t="s">
        <v>1929</v>
      </c>
      <c r="E1081" t="s">
        <v>105</v>
      </c>
      <c r="F1081" t="s">
        <v>110</v>
      </c>
      <c r="G1081" t="s">
        <v>1204</v>
      </c>
      <c r="H1081">
        <v>161.56800000000001</v>
      </c>
      <c r="I1081">
        <v>2</v>
      </c>
      <c r="J1081">
        <v>10.098000000000001</v>
      </c>
      <c r="K1081">
        <v>2014</v>
      </c>
      <c r="L1081">
        <v>7</v>
      </c>
      <c r="M1081" t="s">
        <v>66</v>
      </c>
      <c r="N1081">
        <v>19</v>
      </c>
      <c r="O1081">
        <v>5</v>
      </c>
      <c r="P1081">
        <v>6.25</v>
      </c>
      <c r="Q1081">
        <v>80.784000000000006</v>
      </c>
      <c r="R1081" t="s">
        <v>26</v>
      </c>
      <c r="S1081" t="b">
        <v>0</v>
      </c>
      <c r="T1081" t="b">
        <v>0</v>
      </c>
    </row>
    <row r="1082" spans="1:20" x14ac:dyDescent="0.3">
      <c r="A1082" t="s">
        <v>1928</v>
      </c>
      <c r="B1082" s="1">
        <v>41839</v>
      </c>
      <c r="C1082" s="1">
        <v>41844</v>
      </c>
      <c r="D1082" t="s">
        <v>1929</v>
      </c>
      <c r="E1082" t="s">
        <v>105</v>
      </c>
      <c r="F1082" t="s">
        <v>72</v>
      </c>
      <c r="G1082" t="s">
        <v>1930</v>
      </c>
      <c r="H1082">
        <v>16.096</v>
      </c>
      <c r="I1082">
        <v>2</v>
      </c>
      <c r="J1082">
        <v>5.2312000000000003</v>
      </c>
      <c r="K1082">
        <v>2014</v>
      </c>
      <c r="L1082">
        <v>7</v>
      </c>
      <c r="M1082" t="s">
        <v>66</v>
      </c>
      <c r="N1082">
        <v>19</v>
      </c>
      <c r="O1082">
        <v>5</v>
      </c>
      <c r="P1082">
        <v>32.5</v>
      </c>
      <c r="Q1082">
        <v>8.048</v>
      </c>
      <c r="R1082" t="s">
        <v>26</v>
      </c>
      <c r="S1082" t="b">
        <v>0</v>
      </c>
      <c r="T1082" t="b">
        <v>0</v>
      </c>
    </row>
    <row r="1083" spans="1:20" x14ac:dyDescent="0.3">
      <c r="A1083" t="s">
        <v>1928</v>
      </c>
      <c r="B1083" s="1">
        <v>41839</v>
      </c>
      <c r="C1083" s="1">
        <v>41844</v>
      </c>
      <c r="D1083" t="s">
        <v>1929</v>
      </c>
      <c r="E1083" t="s">
        <v>105</v>
      </c>
      <c r="F1083" t="s">
        <v>33</v>
      </c>
      <c r="G1083" t="s">
        <v>1931</v>
      </c>
      <c r="H1083">
        <v>7.6559999999999997</v>
      </c>
      <c r="I1083">
        <v>4</v>
      </c>
      <c r="J1083">
        <v>-6.1247999999999996</v>
      </c>
      <c r="K1083">
        <v>2014</v>
      </c>
      <c r="L1083">
        <v>7</v>
      </c>
      <c r="M1083" t="s">
        <v>66</v>
      </c>
      <c r="N1083">
        <v>19</v>
      </c>
      <c r="O1083">
        <v>5</v>
      </c>
      <c r="P1083">
        <v>-80</v>
      </c>
      <c r="Q1083">
        <v>1.9139999999999999</v>
      </c>
      <c r="R1083" t="s">
        <v>26</v>
      </c>
      <c r="S1083" t="b">
        <v>1</v>
      </c>
      <c r="T1083" t="b">
        <v>0</v>
      </c>
    </row>
    <row r="1084" spans="1:20" x14ac:dyDescent="0.3">
      <c r="A1084" t="s">
        <v>1928</v>
      </c>
      <c r="B1084" s="1">
        <v>41839</v>
      </c>
      <c r="C1084" s="1">
        <v>41844</v>
      </c>
      <c r="D1084" t="s">
        <v>1929</v>
      </c>
      <c r="E1084" t="s">
        <v>105</v>
      </c>
      <c r="F1084" t="s">
        <v>110</v>
      </c>
      <c r="G1084" t="s">
        <v>1932</v>
      </c>
      <c r="H1084">
        <v>311.976</v>
      </c>
      <c r="I1084">
        <v>3</v>
      </c>
      <c r="J1084">
        <v>-42.896700000000003</v>
      </c>
      <c r="K1084">
        <v>2014</v>
      </c>
      <c r="L1084">
        <v>7</v>
      </c>
      <c r="M1084" t="s">
        <v>66</v>
      </c>
      <c r="N1084">
        <v>19</v>
      </c>
      <c r="O1084">
        <v>5</v>
      </c>
      <c r="P1084">
        <v>-13.75</v>
      </c>
      <c r="Q1084">
        <v>103.992</v>
      </c>
      <c r="R1084" t="s">
        <v>26</v>
      </c>
      <c r="S1084" t="b">
        <v>1</v>
      </c>
      <c r="T1084" t="b">
        <v>1</v>
      </c>
    </row>
    <row r="1085" spans="1:20" x14ac:dyDescent="0.3">
      <c r="A1085" t="s">
        <v>1933</v>
      </c>
      <c r="B1085" s="1">
        <v>40803</v>
      </c>
      <c r="C1085" s="1">
        <v>40807</v>
      </c>
      <c r="D1085" t="s">
        <v>349</v>
      </c>
      <c r="E1085" t="s">
        <v>39</v>
      </c>
      <c r="F1085" t="s">
        <v>45</v>
      </c>
      <c r="G1085" t="s">
        <v>1934</v>
      </c>
      <c r="H1085">
        <v>30.28</v>
      </c>
      <c r="I1085">
        <v>2</v>
      </c>
      <c r="J1085">
        <v>1.2112000000000001</v>
      </c>
      <c r="K1085">
        <v>2011</v>
      </c>
      <c r="L1085">
        <v>9</v>
      </c>
      <c r="M1085" t="s">
        <v>87</v>
      </c>
      <c r="N1085">
        <v>17</v>
      </c>
      <c r="O1085">
        <v>4</v>
      </c>
      <c r="P1085">
        <v>4</v>
      </c>
      <c r="Q1085">
        <v>15.14</v>
      </c>
      <c r="R1085" t="s">
        <v>26</v>
      </c>
      <c r="S1085" t="b">
        <v>0</v>
      </c>
      <c r="T1085" t="b">
        <v>0</v>
      </c>
    </row>
    <row r="1086" spans="1:20" x14ac:dyDescent="0.3">
      <c r="A1086" t="s">
        <v>1933</v>
      </c>
      <c r="B1086" s="1">
        <v>40803</v>
      </c>
      <c r="C1086" s="1">
        <v>40807</v>
      </c>
      <c r="D1086" t="s">
        <v>349</v>
      </c>
      <c r="E1086" t="s">
        <v>39</v>
      </c>
      <c r="F1086" t="s">
        <v>45</v>
      </c>
      <c r="G1086" t="s">
        <v>1927</v>
      </c>
      <c r="H1086">
        <v>57.93</v>
      </c>
      <c r="I1086">
        <v>3</v>
      </c>
      <c r="J1086">
        <v>16.220400000000001</v>
      </c>
      <c r="K1086">
        <v>2011</v>
      </c>
      <c r="L1086">
        <v>9</v>
      </c>
      <c r="M1086" t="s">
        <v>87</v>
      </c>
      <c r="N1086">
        <v>17</v>
      </c>
      <c r="O1086">
        <v>4</v>
      </c>
      <c r="P1086">
        <v>28</v>
      </c>
      <c r="Q1086">
        <v>19.309999999999999</v>
      </c>
      <c r="R1086" t="s">
        <v>26</v>
      </c>
      <c r="S1086" t="b">
        <v>0</v>
      </c>
      <c r="T1086" t="b">
        <v>0</v>
      </c>
    </row>
    <row r="1087" spans="1:20" x14ac:dyDescent="0.3">
      <c r="A1087" t="s">
        <v>1933</v>
      </c>
      <c r="B1087" s="1">
        <v>40803</v>
      </c>
      <c r="C1087" s="1">
        <v>40807</v>
      </c>
      <c r="D1087" t="s">
        <v>349</v>
      </c>
      <c r="E1087" t="s">
        <v>39</v>
      </c>
      <c r="F1087" t="s">
        <v>29</v>
      </c>
      <c r="G1087" t="s">
        <v>1493</v>
      </c>
      <c r="H1087">
        <v>35.340000000000003</v>
      </c>
      <c r="I1087">
        <v>2</v>
      </c>
      <c r="J1087">
        <v>13.4292</v>
      </c>
      <c r="K1087">
        <v>2011</v>
      </c>
      <c r="L1087">
        <v>9</v>
      </c>
      <c r="M1087" t="s">
        <v>87</v>
      </c>
      <c r="N1087">
        <v>17</v>
      </c>
      <c r="O1087">
        <v>4</v>
      </c>
      <c r="P1087">
        <v>38</v>
      </c>
      <c r="Q1087">
        <v>17.670000000000002</v>
      </c>
      <c r="R1087" t="s">
        <v>26</v>
      </c>
      <c r="S1087" t="b">
        <v>0</v>
      </c>
      <c r="T1087" t="b">
        <v>0</v>
      </c>
    </row>
    <row r="1088" spans="1:20" x14ac:dyDescent="0.3">
      <c r="A1088" t="s">
        <v>1933</v>
      </c>
      <c r="B1088" s="1">
        <v>40803</v>
      </c>
      <c r="C1088" s="1">
        <v>40807</v>
      </c>
      <c r="D1088" t="s">
        <v>349</v>
      </c>
      <c r="E1088" t="s">
        <v>39</v>
      </c>
      <c r="F1088" t="s">
        <v>33</v>
      </c>
      <c r="G1088" t="s">
        <v>1236</v>
      </c>
      <c r="H1088">
        <v>137.24</v>
      </c>
      <c r="I1088">
        <v>5</v>
      </c>
      <c r="J1088">
        <v>46.3185</v>
      </c>
      <c r="K1088">
        <v>2011</v>
      </c>
      <c r="L1088">
        <v>9</v>
      </c>
      <c r="M1088" t="s">
        <v>87</v>
      </c>
      <c r="N1088">
        <v>17</v>
      </c>
      <c r="O1088">
        <v>4</v>
      </c>
      <c r="P1088">
        <v>33.75</v>
      </c>
      <c r="Q1088">
        <v>27.448</v>
      </c>
      <c r="R1088" t="s">
        <v>26</v>
      </c>
      <c r="S1088" t="b">
        <v>0</v>
      </c>
      <c r="T1088" t="b">
        <v>0</v>
      </c>
    </row>
    <row r="1089" spans="1:20" x14ac:dyDescent="0.3">
      <c r="A1089" t="s">
        <v>1935</v>
      </c>
      <c r="B1089" s="1">
        <v>41885</v>
      </c>
      <c r="C1089" s="1">
        <v>41891</v>
      </c>
      <c r="D1089" t="s">
        <v>1190</v>
      </c>
      <c r="E1089" t="s">
        <v>1515</v>
      </c>
      <c r="F1089" t="s">
        <v>31</v>
      </c>
      <c r="G1089" t="s">
        <v>1936</v>
      </c>
      <c r="H1089">
        <v>9.4</v>
      </c>
      <c r="I1089">
        <v>5</v>
      </c>
      <c r="J1089">
        <v>2.726</v>
      </c>
      <c r="K1089">
        <v>2014</v>
      </c>
      <c r="L1089">
        <v>9</v>
      </c>
      <c r="M1089" t="s">
        <v>87</v>
      </c>
      <c r="N1089">
        <v>3</v>
      </c>
      <c r="O1089">
        <v>6</v>
      </c>
      <c r="P1089">
        <v>29</v>
      </c>
      <c r="Q1089">
        <v>1.88</v>
      </c>
      <c r="R1089" t="s">
        <v>26</v>
      </c>
      <c r="S1089" t="b">
        <v>0</v>
      </c>
      <c r="T1089" t="b">
        <v>0</v>
      </c>
    </row>
    <row r="1090" spans="1:20" x14ac:dyDescent="0.3">
      <c r="A1090" t="s">
        <v>1935</v>
      </c>
      <c r="B1090" s="1">
        <v>41885</v>
      </c>
      <c r="C1090" s="1">
        <v>41891</v>
      </c>
      <c r="D1090" t="s">
        <v>1190</v>
      </c>
      <c r="E1090" t="s">
        <v>1515</v>
      </c>
      <c r="F1090" t="s">
        <v>23</v>
      </c>
      <c r="G1090" t="s">
        <v>1937</v>
      </c>
      <c r="H1090">
        <v>74</v>
      </c>
      <c r="I1090">
        <v>5</v>
      </c>
      <c r="J1090">
        <v>37</v>
      </c>
      <c r="K1090">
        <v>2014</v>
      </c>
      <c r="L1090">
        <v>9</v>
      </c>
      <c r="M1090" t="s">
        <v>87</v>
      </c>
      <c r="N1090">
        <v>3</v>
      </c>
      <c r="O1090">
        <v>6</v>
      </c>
      <c r="P1090">
        <v>50</v>
      </c>
      <c r="Q1090">
        <v>14.8</v>
      </c>
      <c r="R1090" t="s">
        <v>26</v>
      </c>
      <c r="S1090" t="b">
        <v>0</v>
      </c>
      <c r="T1090" t="b">
        <v>0</v>
      </c>
    </row>
    <row r="1091" spans="1:20" x14ac:dyDescent="0.3">
      <c r="A1091" t="s">
        <v>1935</v>
      </c>
      <c r="B1091" s="1">
        <v>41885</v>
      </c>
      <c r="C1091" s="1">
        <v>41891</v>
      </c>
      <c r="D1091" t="s">
        <v>1190</v>
      </c>
      <c r="E1091" t="s">
        <v>1515</v>
      </c>
      <c r="F1091" t="s">
        <v>54</v>
      </c>
      <c r="G1091" t="s">
        <v>1938</v>
      </c>
      <c r="H1091">
        <v>201.584</v>
      </c>
      <c r="I1091">
        <v>2</v>
      </c>
      <c r="J1091">
        <v>12.599</v>
      </c>
      <c r="K1091">
        <v>2014</v>
      </c>
      <c r="L1091">
        <v>9</v>
      </c>
      <c r="M1091" t="s">
        <v>87</v>
      </c>
      <c r="N1091">
        <v>3</v>
      </c>
      <c r="O1091">
        <v>6</v>
      </c>
      <c r="P1091">
        <v>6.25</v>
      </c>
      <c r="Q1091">
        <v>100.792</v>
      </c>
      <c r="R1091" t="s">
        <v>26</v>
      </c>
      <c r="S1091" t="b">
        <v>0</v>
      </c>
      <c r="T1091" t="b">
        <v>0</v>
      </c>
    </row>
    <row r="1092" spans="1:20" x14ac:dyDescent="0.3">
      <c r="A1092" t="s">
        <v>1939</v>
      </c>
      <c r="B1092" s="1">
        <v>41411</v>
      </c>
      <c r="C1092" s="1">
        <v>41416</v>
      </c>
      <c r="D1092" t="s">
        <v>1868</v>
      </c>
      <c r="E1092" t="s">
        <v>22</v>
      </c>
      <c r="F1092" t="s">
        <v>72</v>
      </c>
      <c r="G1092" t="s">
        <v>1920</v>
      </c>
      <c r="H1092">
        <v>17.34</v>
      </c>
      <c r="I1092">
        <v>3</v>
      </c>
      <c r="J1092">
        <v>8.4966000000000008</v>
      </c>
      <c r="K1092">
        <v>2013</v>
      </c>
      <c r="L1092">
        <v>5</v>
      </c>
      <c r="M1092" t="s">
        <v>47</v>
      </c>
      <c r="N1092">
        <v>17</v>
      </c>
      <c r="O1092">
        <v>5</v>
      </c>
      <c r="P1092">
        <v>49</v>
      </c>
      <c r="Q1092">
        <v>5.78</v>
      </c>
      <c r="R1092" t="s">
        <v>26</v>
      </c>
      <c r="S1092" t="b">
        <v>0</v>
      </c>
      <c r="T1092" t="b">
        <v>0</v>
      </c>
    </row>
    <row r="1093" spans="1:20" x14ac:dyDescent="0.3">
      <c r="A1093" t="s">
        <v>1940</v>
      </c>
      <c r="B1093" s="1">
        <v>41335</v>
      </c>
      <c r="C1093" s="1">
        <v>41342</v>
      </c>
      <c r="D1093" t="s">
        <v>1751</v>
      </c>
      <c r="E1093" t="s">
        <v>173</v>
      </c>
      <c r="F1093" t="s">
        <v>54</v>
      </c>
      <c r="G1093" t="s">
        <v>1941</v>
      </c>
      <c r="H1093">
        <v>159.98400000000001</v>
      </c>
      <c r="I1093">
        <v>2</v>
      </c>
      <c r="J1093">
        <v>13.9986</v>
      </c>
      <c r="K1093">
        <v>2013</v>
      </c>
      <c r="L1093">
        <v>3</v>
      </c>
      <c r="M1093" t="s">
        <v>135</v>
      </c>
      <c r="N1093">
        <v>2</v>
      </c>
      <c r="O1093">
        <v>7</v>
      </c>
      <c r="P1093">
        <v>8.75</v>
      </c>
      <c r="Q1093">
        <v>79.992000000000004</v>
      </c>
      <c r="R1093" t="s">
        <v>26</v>
      </c>
      <c r="S1093" t="b">
        <v>0</v>
      </c>
      <c r="T1093" t="b">
        <v>0</v>
      </c>
    </row>
    <row r="1094" spans="1:20" x14ac:dyDescent="0.3">
      <c r="A1094" t="s">
        <v>1942</v>
      </c>
      <c r="B1094" s="1">
        <v>41452</v>
      </c>
      <c r="C1094" s="1">
        <v>41459</v>
      </c>
      <c r="D1094" t="s">
        <v>80</v>
      </c>
      <c r="E1094" t="s">
        <v>51</v>
      </c>
      <c r="F1094" t="s">
        <v>29</v>
      </c>
      <c r="G1094" t="s">
        <v>1943</v>
      </c>
      <c r="H1094">
        <v>22.14</v>
      </c>
      <c r="I1094">
        <v>3</v>
      </c>
      <c r="J1094">
        <v>6.4206000000000003</v>
      </c>
      <c r="K1094">
        <v>2013</v>
      </c>
      <c r="L1094">
        <v>6</v>
      </c>
      <c r="M1094" t="s">
        <v>25</v>
      </c>
      <c r="N1094">
        <v>27</v>
      </c>
      <c r="O1094">
        <v>7</v>
      </c>
      <c r="P1094">
        <v>29</v>
      </c>
      <c r="Q1094">
        <v>7.38</v>
      </c>
      <c r="R1094" t="s">
        <v>26</v>
      </c>
      <c r="S1094" t="b">
        <v>0</v>
      </c>
      <c r="T1094" t="b">
        <v>0</v>
      </c>
    </row>
    <row r="1095" spans="1:20" x14ac:dyDescent="0.3">
      <c r="A1095" t="s">
        <v>1944</v>
      </c>
      <c r="B1095" s="1">
        <v>41690</v>
      </c>
      <c r="C1095" s="1">
        <v>41691</v>
      </c>
      <c r="D1095" t="s">
        <v>1011</v>
      </c>
      <c r="E1095" t="s">
        <v>22</v>
      </c>
      <c r="F1095" t="s">
        <v>31</v>
      </c>
      <c r="G1095" t="s">
        <v>1945</v>
      </c>
      <c r="H1095">
        <v>12.84</v>
      </c>
      <c r="I1095">
        <v>3</v>
      </c>
      <c r="J1095">
        <v>3.4668000000000001</v>
      </c>
      <c r="K1095">
        <v>2014</v>
      </c>
      <c r="L1095">
        <v>2</v>
      </c>
      <c r="M1095" t="s">
        <v>303</v>
      </c>
      <c r="N1095">
        <v>20</v>
      </c>
      <c r="O1095">
        <v>1</v>
      </c>
      <c r="P1095">
        <v>27</v>
      </c>
      <c r="Q1095">
        <v>4.28</v>
      </c>
      <c r="R1095" t="s">
        <v>26</v>
      </c>
      <c r="S1095" t="b">
        <v>0</v>
      </c>
      <c r="T1095" t="b">
        <v>0</v>
      </c>
    </row>
    <row r="1096" spans="1:20" x14ac:dyDescent="0.3">
      <c r="A1096" t="s">
        <v>1944</v>
      </c>
      <c r="B1096" s="1">
        <v>41690</v>
      </c>
      <c r="C1096" s="1">
        <v>41691</v>
      </c>
      <c r="D1096" t="s">
        <v>1011</v>
      </c>
      <c r="E1096" t="s">
        <v>22</v>
      </c>
      <c r="F1096" t="s">
        <v>29</v>
      </c>
      <c r="G1096" t="s">
        <v>1898</v>
      </c>
      <c r="H1096">
        <v>44.67</v>
      </c>
      <c r="I1096">
        <v>3</v>
      </c>
      <c r="J1096">
        <v>12.0609</v>
      </c>
      <c r="K1096">
        <v>2014</v>
      </c>
      <c r="L1096">
        <v>2</v>
      </c>
      <c r="M1096" t="s">
        <v>303</v>
      </c>
      <c r="N1096">
        <v>20</v>
      </c>
      <c r="O1096">
        <v>1</v>
      </c>
      <c r="P1096">
        <v>27</v>
      </c>
      <c r="Q1096">
        <v>14.89</v>
      </c>
      <c r="R1096" t="s">
        <v>26</v>
      </c>
      <c r="S1096" t="b">
        <v>0</v>
      </c>
      <c r="T1096" t="b">
        <v>0</v>
      </c>
    </row>
    <row r="1097" spans="1:20" x14ac:dyDescent="0.3">
      <c r="A1097" t="s">
        <v>1946</v>
      </c>
      <c r="B1097" s="1">
        <v>41415</v>
      </c>
      <c r="C1097" s="1">
        <v>41418</v>
      </c>
      <c r="D1097" t="s">
        <v>1947</v>
      </c>
      <c r="E1097" t="s">
        <v>216</v>
      </c>
      <c r="F1097" t="s">
        <v>33</v>
      </c>
      <c r="G1097" t="s">
        <v>1948</v>
      </c>
      <c r="H1097">
        <v>40.634999999999998</v>
      </c>
      <c r="I1097">
        <v>7</v>
      </c>
      <c r="J1097">
        <v>-32.508000000000003</v>
      </c>
      <c r="K1097">
        <v>2013</v>
      </c>
      <c r="L1097">
        <v>5</v>
      </c>
      <c r="M1097" t="s">
        <v>47</v>
      </c>
      <c r="N1097">
        <v>21</v>
      </c>
      <c r="O1097">
        <v>3</v>
      </c>
      <c r="P1097">
        <v>-80</v>
      </c>
      <c r="Q1097">
        <v>5.8049999999999997</v>
      </c>
      <c r="R1097" t="s">
        <v>26</v>
      </c>
      <c r="S1097" t="b">
        <v>1</v>
      </c>
      <c r="T1097" t="b">
        <v>0</v>
      </c>
    </row>
    <row r="1098" spans="1:20" x14ac:dyDescent="0.3">
      <c r="A1098" t="s">
        <v>1949</v>
      </c>
      <c r="B1098" s="1">
        <v>40869</v>
      </c>
      <c r="C1098" s="1">
        <v>40873</v>
      </c>
      <c r="D1098" t="s">
        <v>1950</v>
      </c>
      <c r="E1098" t="s">
        <v>22</v>
      </c>
      <c r="F1098" t="s">
        <v>72</v>
      </c>
      <c r="G1098" t="s">
        <v>1923</v>
      </c>
      <c r="H1098">
        <v>53.82</v>
      </c>
      <c r="I1098">
        <v>9</v>
      </c>
      <c r="J1098">
        <v>24.219000000000001</v>
      </c>
      <c r="K1098">
        <v>2011</v>
      </c>
      <c r="L1098">
        <v>11</v>
      </c>
      <c r="M1098" t="s">
        <v>70</v>
      </c>
      <c r="N1098">
        <v>22</v>
      </c>
      <c r="O1098">
        <v>4</v>
      </c>
      <c r="P1098">
        <v>45</v>
      </c>
      <c r="Q1098">
        <v>5.98</v>
      </c>
      <c r="R1098" t="s">
        <v>26</v>
      </c>
      <c r="S1098" t="b">
        <v>0</v>
      </c>
      <c r="T1098" t="b">
        <v>0</v>
      </c>
    </row>
    <row r="1099" spans="1:20" x14ac:dyDescent="0.3">
      <c r="A1099" t="s">
        <v>1951</v>
      </c>
      <c r="B1099" s="1">
        <v>41915</v>
      </c>
      <c r="C1099" s="1">
        <v>41920</v>
      </c>
      <c r="D1099" t="s">
        <v>773</v>
      </c>
      <c r="E1099" t="s">
        <v>39</v>
      </c>
      <c r="F1099" t="s">
        <v>119</v>
      </c>
      <c r="G1099" t="s">
        <v>155</v>
      </c>
      <c r="H1099">
        <v>8.94</v>
      </c>
      <c r="I1099">
        <v>3</v>
      </c>
      <c r="J1099">
        <v>4.1124000000000001</v>
      </c>
      <c r="K1099">
        <v>2014</v>
      </c>
      <c r="L1099">
        <v>10</v>
      </c>
      <c r="M1099" t="s">
        <v>82</v>
      </c>
      <c r="N1099">
        <v>3</v>
      </c>
      <c r="O1099">
        <v>5</v>
      </c>
      <c r="P1099">
        <v>46</v>
      </c>
      <c r="Q1099">
        <v>2.98</v>
      </c>
      <c r="R1099" t="s">
        <v>26</v>
      </c>
      <c r="S1099" t="b">
        <v>0</v>
      </c>
      <c r="T1099" t="b">
        <v>0</v>
      </c>
    </row>
    <row r="1100" spans="1:20" x14ac:dyDescent="0.3">
      <c r="A1100" t="s">
        <v>1951</v>
      </c>
      <c r="B1100" s="1">
        <v>41915</v>
      </c>
      <c r="C1100" s="1">
        <v>41920</v>
      </c>
      <c r="D1100" t="s">
        <v>773</v>
      </c>
      <c r="E1100" t="s">
        <v>39</v>
      </c>
      <c r="F1100" t="s">
        <v>54</v>
      </c>
      <c r="G1100" t="s">
        <v>413</v>
      </c>
      <c r="H1100">
        <v>84.784000000000006</v>
      </c>
      <c r="I1100">
        <v>2</v>
      </c>
      <c r="J1100">
        <v>-20.136199999999999</v>
      </c>
      <c r="K1100">
        <v>2014</v>
      </c>
      <c r="L1100">
        <v>10</v>
      </c>
      <c r="M1100" t="s">
        <v>82</v>
      </c>
      <c r="N1100">
        <v>3</v>
      </c>
      <c r="O1100">
        <v>5</v>
      </c>
      <c r="P1100">
        <v>-23.75</v>
      </c>
      <c r="Q1100">
        <v>42.392000000000003</v>
      </c>
      <c r="R1100" t="s">
        <v>26</v>
      </c>
      <c r="S1100" t="b">
        <v>1</v>
      </c>
      <c r="T1100" t="b">
        <v>0</v>
      </c>
    </row>
    <row r="1101" spans="1:20" x14ac:dyDescent="0.3">
      <c r="A1101" t="s">
        <v>1952</v>
      </c>
      <c r="B1101" s="1">
        <v>41989</v>
      </c>
      <c r="C1101" s="1">
        <v>41994</v>
      </c>
      <c r="D1101" t="s">
        <v>1953</v>
      </c>
      <c r="E1101" t="s">
        <v>39</v>
      </c>
      <c r="F1101" t="s">
        <v>29</v>
      </c>
      <c r="G1101" t="s">
        <v>1954</v>
      </c>
      <c r="H1101">
        <v>22.77</v>
      </c>
      <c r="I1101">
        <v>3</v>
      </c>
      <c r="J1101">
        <v>9.7911000000000001</v>
      </c>
      <c r="K1101">
        <v>2014</v>
      </c>
      <c r="L1101">
        <v>12</v>
      </c>
      <c r="M1101" t="s">
        <v>41</v>
      </c>
      <c r="N1101">
        <v>16</v>
      </c>
      <c r="O1101">
        <v>5</v>
      </c>
      <c r="P1101">
        <v>43</v>
      </c>
      <c r="Q1101">
        <v>7.59</v>
      </c>
      <c r="R1101" t="s">
        <v>26</v>
      </c>
      <c r="S1101" t="b">
        <v>0</v>
      </c>
      <c r="T1101" t="b">
        <v>0</v>
      </c>
    </row>
    <row r="1102" spans="1:20" x14ac:dyDescent="0.3">
      <c r="A1102" t="s">
        <v>1955</v>
      </c>
      <c r="B1102" s="1">
        <v>41463</v>
      </c>
      <c r="C1102" s="1">
        <v>41465</v>
      </c>
      <c r="D1102" t="s">
        <v>1956</v>
      </c>
      <c r="E1102" t="s">
        <v>22</v>
      </c>
      <c r="F1102" t="s">
        <v>110</v>
      </c>
      <c r="G1102" t="s">
        <v>1003</v>
      </c>
      <c r="H1102">
        <v>287.96800000000002</v>
      </c>
      <c r="I1102">
        <v>4</v>
      </c>
      <c r="J1102">
        <v>-3.5996000000000001</v>
      </c>
      <c r="K1102">
        <v>2013</v>
      </c>
      <c r="L1102">
        <v>7</v>
      </c>
      <c r="M1102" t="s">
        <v>66</v>
      </c>
      <c r="N1102">
        <v>8</v>
      </c>
      <c r="O1102">
        <v>2</v>
      </c>
      <c r="P1102">
        <v>-1.25</v>
      </c>
      <c r="Q1102">
        <v>71.992000000000004</v>
      </c>
      <c r="R1102" t="s">
        <v>26</v>
      </c>
      <c r="S1102" t="b">
        <v>1</v>
      </c>
      <c r="T1102" t="b">
        <v>1</v>
      </c>
    </row>
    <row r="1103" spans="1:20" x14ac:dyDescent="0.3">
      <c r="A1103" t="s">
        <v>1955</v>
      </c>
      <c r="B1103" s="1">
        <v>41463</v>
      </c>
      <c r="C1103" s="1">
        <v>41465</v>
      </c>
      <c r="D1103" t="s">
        <v>1956</v>
      </c>
      <c r="E1103" t="s">
        <v>22</v>
      </c>
      <c r="F1103" t="s">
        <v>72</v>
      </c>
      <c r="G1103" t="s">
        <v>1957</v>
      </c>
      <c r="H1103">
        <v>48.94</v>
      </c>
      <c r="I1103">
        <v>1</v>
      </c>
      <c r="J1103">
        <v>24.47</v>
      </c>
      <c r="K1103">
        <v>2013</v>
      </c>
      <c r="L1103">
        <v>7</v>
      </c>
      <c r="M1103" t="s">
        <v>66</v>
      </c>
      <c r="N1103">
        <v>8</v>
      </c>
      <c r="O1103">
        <v>2</v>
      </c>
      <c r="P1103">
        <v>50</v>
      </c>
      <c r="Q1103">
        <v>48.94</v>
      </c>
      <c r="R1103" t="s">
        <v>26</v>
      </c>
      <c r="S1103" t="b">
        <v>0</v>
      </c>
      <c r="T1103" t="b">
        <v>0</v>
      </c>
    </row>
    <row r="1104" spans="1:20" x14ac:dyDescent="0.3">
      <c r="A1104" t="s">
        <v>1958</v>
      </c>
      <c r="B1104" s="1">
        <v>41382</v>
      </c>
      <c r="C1104" s="1">
        <v>41386</v>
      </c>
      <c r="D1104" t="s">
        <v>880</v>
      </c>
      <c r="E1104" t="s">
        <v>1959</v>
      </c>
      <c r="F1104" t="s">
        <v>317</v>
      </c>
      <c r="G1104" t="s">
        <v>1960</v>
      </c>
      <c r="H1104">
        <v>257.49900000000002</v>
      </c>
      <c r="I1104">
        <v>3</v>
      </c>
      <c r="J1104">
        <v>24.235199999999999</v>
      </c>
      <c r="K1104">
        <v>2013</v>
      </c>
      <c r="L1104">
        <v>4</v>
      </c>
      <c r="M1104" t="s">
        <v>236</v>
      </c>
      <c r="N1104">
        <v>18</v>
      </c>
      <c r="O1104">
        <v>4</v>
      </c>
      <c r="P1104">
        <v>9.41</v>
      </c>
      <c r="Q1104">
        <v>85.833000000000013</v>
      </c>
      <c r="R1104" t="s">
        <v>26</v>
      </c>
      <c r="S1104" t="b">
        <v>0</v>
      </c>
      <c r="T1104" t="b">
        <v>1</v>
      </c>
    </row>
    <row r="1105" spans="1:20" x14ac:dyDescent="0.3">
      <c r="A1105" t="s">
        <v>1961</v>
      </c>
      <c r="B1105" s="1">
        <v>40827</v>
      </c>
      <c r="C1105" s="1">
        <v>40832</v>
      </c>
      <c r="D1105" t="s">
        <v>1506</v>
      </c>
      <c r="E1105" t="s">
        <v>39</v>
      </c>
      <c r="F1105" t="s">
        <v>29</v>
      </c>
      <c r="G1105" t="s">
        <v>1962</v>
      </c>
      <c r="H1105">
        <v>63.47</v>
      </c>
      <c r="I1105">
        <v>11</v>
      </c>
      <c r="J1105">
        <v>19.041</v>
      </c>
      <c r="K1105">
        <v>2011</v>
      </c>
      <c r="L1105">
        <v>10</v>
      </c>
      <c r="M1105" t="s">
        <v>82</v>
      </c>
      <c r="N1105">
        <v>11</v>
      </c>
      <c r="O1105">
        <v>5</v>
      </c>
      <c r="P1105">
        <v>30</v>
      </c>
      <c r="Q1105">
        <v>5.77</v>
      </c>
      <c r="R1105" t="s">
        <v>26</v>
      </c>
      <c r="S1105" t="b">
        <v>0</v>
      </c>
      <c r="T1105" t="b">
        <v>0</v>
      </c>
    </row>
    <row r="1106" spans="1:20" x14ac:dyDescent="0.3">
      <c r="A1106" t="s">
        <v>1961</v>
      </c>
      <c r="B1106" s="1">
        <v>40827</v>
      </c>
      <c r="C1106" s="1">
        <v>40832</v>
      </c>
      <c r="D1106" t="s">
        <v>1506</v>
      </c>
      <c r="E1106" t="s">
        <v>39</v>
      </c>
      <c r="F1106" t="s">
        <v>61</v>
      </c>
      <c r="G1106" t="s">
        <v>1963</v>
      </c>
      <c r="H1106">
        <v>345</v>
      </c>
      <c r="I1106">
        <v>5</v>
      </c>
      <c r="J1106">
        <v>58.65</v>
      </c>
      <c r="K1106">
        <v>2011</v>
      </c>
      <c r="L1106">
        <v>10</v>
      </c>
      <c r="M1106" t="s">
        <v>82</v>
      </c>
      <c r="N1106">
        <v>11</v>
      </c>
      <c r="O1106">
        <v>5</v>
      </c>
      <c r="P1106">
        <v>17</v>
      </c>
      <c r="Q1106">
        <v>69</v>
      </c>
      <c r="R1106" t="s">
        <v>26</v>
      </c>
      <c r="S1106" t="b">
        <v>0</v>
      </c>
      <c r="T1106" t="b">
        <v>1</v>
      </c>
    </row>
    <row r="1107" spans="1:20" x14ac:dyDescent="0.3">
      <c r="A1107" t="s">
        <v>1964</v>
      </c>
      <c r="B1107" s="1">
        <v>41261</v>
      </c>
      <c r="C1107" s="1">
        <v>41265</v>
      </c>
      <c r="D1107" t="s">
        <v>1965</v>
      </c>
      <c r="E1107" t="s">
        <v>297</v>
      </c>
      <c r="F1107" t="s">
        <v>31</v>
      </c>
      <c r="G1107" t="s">
        <v>1945</v>
      </c>
      <c r="H1107">
        <v>6.8479999999999999</v>
      </c>
      <c r="I1107">
        <v>2</v>
      </c>
      <c r="J1107">
        <v>0.59919999999999995</v>
      </c>
      <c r="K1107">
        <v>2012</v>
      </c>
      <c r="L1107">
        <v>12</v>
      </c>
      <c r="M1107" t="s">
        <v>41</v>
      </c>
      <c r="N1107">
        <v>18</v>
      </c>
      <c r="O1107">
        <v>4</v>
      </c>
      <c r="P1107">
        <v>8.75</v>
      </c>
      <c r="Q1107">
        <v>3.4239999999999999</v>
      </c>
      <c r="R1107" t="s">
        <v>26</v>
      </c>
      <c r="S1107" t="b">
        <v>0</v>
      </c>
      <c r="T1107" t="b">
        <v>0</v>
      </c>
    </row>
    <row r="1108" spans="1:20" x14ac:dyDescent="0.3">
      <c r="A1108" t="s">
        <v>1966</v>
      </c>
      <c r="B1108" s="1">
        <v>41641</v>
      </c>
      <c r="C1108" s="1">
        <v>41645</v>
      </c>
      <c r="D1108" t="s">
        <v>1739</v>
      </c>
      <c r="E1108" t="s">
        <v>22</v>
      </c>
      <c r="F1108" t="s">
        <v>29</v>
      </c>
      <c r="G1108" t="s">
        <v>1967</v>
      </c>
      <c r="H1108">
        <v>474.43</v>
      </c>
      <c r="I1108">
        <v>11</v>
      </c>
      <c r="J1108">
        <v>199.26060000000001</v>
      </c>
      <c r="K1108">
        <v>2014</v>
      </c>
      <c r="L1108">
        <v>1</v>
      </c>
      <c r="M1108" t="s">
        <v>60</v>
      </c>
      <c r="N1108">
        <v>2</v>
      </c>
      <c r="O1108">
        <v>4</v>
      </c>
      <c r="P1108">
        <v>42</v>
      </c>
      <c r="Q1108">
        <v>43.13</v>
      </c>
      <c r="R1108" t="s">
        <v>26</v>
      </c>
      <c r="S1108" t="b">
        <v>0</v>
      </c>
      <c r="T1108" t="b">
        <v>1</v>
      </c>
    </row>
    <row r="1109" spans="1:20" x14ac:dyDescent="0.3">
      <c r="A1109" t="s">
        <v>1968</v>
      </c>
      <c r="B1109" s="1">
        <v>41940</v>
      </c>
      <c r="C1109" s="1">
        <v>41941</v>
      </c>
      <c r="D1109" t="s">
        <v>1969</v>
      </c>
      <c r="E1109" t="s">
        <v>51</v>
      </c>
      <c r="F1109" t="s">
        <v>54</v>
      </c>
      <c r="G1109" t="s">
        <v>1970</v>
      </c>
      <c r="H1109">
        <v>95.84</v>
      </c>
      <c r="I1109">
        <v>4</v>
      </c>
      <c r="J1109">
        <v>34.741999999999997</v>
      </c>
      <c r="K1109">
        <v>2014</v>
      </c>
      <c r="L1109">
        <v>10</v>
      </c>
      <c r="M1109" t="s">
        <v>82</v>
      </c>
      <c r="N1109">
        <v>28</v>
      </c>
      <c r="O1109">
        <v>1</v>
      </c>
      <c r="P1109">
        <v>36.25</v>
      </c>
      <c r="Q1109">
        <v>23.96</v>
      </c>
      <c r="R1109" t="s">
        <v>26</v>
      </c>
      <c r="S1109" t="b">
        <v>0</v>
      </c>
      <c r="T1109" t="b">
        <v>0</v>
      </c>
    </row>
    <row r="1110" spans="1:20" x14ac:dyDescent="0.3">
      <c r="A1110" t="s">
        <v>1971</v>
      </c>
      <c r="B1110" s="1">
        <v>41544</v>
      </c>
      <c r="C1110" s="1">
        <v>41548</v>
      </c>
      <c r="D1110" t="s">
        <v>1972</v>
      </c>
      <c r="E1110" t="s">
        <v>1973</v>
      </c>
      <c r="F1110" t="s">
        <v>35</v>
      </c>
      <c r="G1110" t="s">
        <v>1974</v>
      </c>
      <c r="H1110">
        <v>236.88</v>
      </c>
      <c r="I1110">
        <v>6</v>
      </c>
      <c r="J1110">
        <v>66.326400000000007</v>
      </c>
      <c r="K1110">
        <v>2013</v>
      </c>
      <c r="L1110">
        <v>9</v>
      </c>
      <c r="M1110" t="s">
        <v>87</v>
      </c>
      <c r="N1110">
        <v>27</v>
      </c>
      <c r="O1110">
        <v>4</v>
      </c>
      <c r="P1110">
        <v>28</v>
      </c>
      <c r="Q1110">
        <v>39.479999999999997</v>
      </c>
      <c r="R1110" t="s">
        <v>26</v>
      </c>
      <c r="S1110" t="b">
        <v>0</v>
      </c>
      <c r="T1110" t="b">
        <v>1</v>
      </c>
    </row>
    <row r="1111" spans="1:20" x14ac:dyDescent="0.3">
      <c r="A1111" t="s">
        <v>1971</v>
      </c>
      <c r="B1111" s="1">
        <v>41544</v>
      </c>
      <c r="C1111" s="1">
        <v>41548</v>
      </c>
      <c r="D1111" t="s">
        <v>1972</v>
      </c>
      <c r="E1111" t="s">
        <v>1973</v>
      </c>
      <c r="F1111" t="s">
        <v>72</v>
      </c>
      <c r="G1111" t="s">
        <v>985</v>
      </c>
      <c r="H1111">
        <v>29.9</v>
      </c>
      <c r="I1111">
        <v>5</v>
      </c>
      <c r="J1111">
        <v>14.651</v>
      </c>
      <c r="K1111">
        <v>2013</v>
      </c>
      <c r="L1111">
        <v>9</v>
      </c>
      <c r="M1111" t="s">
        <v>87</v>
      </c>
      <c r="N1111">
        <v>27</v>
      </c>
      <c r="O1111">
        <v>4</v>
      </c>
      <c r="P1111">
        <v>49</v>
      </c>
      <c r="Q1111">
        <v>5.98</v>
      </c>
      <c r="R1111" t="s">
        <v>26</v>
      </c>
      <c r="S1111" t="b">
        <v>0</v>
      </c>
      <c r="T1111" t="b">
        <v>0</v>
      </c>
    </row>
    <row r="1112" spans="1:20" x14ac:dyDescent="0.3">
      <c r="A1112" t="s">
        <v>1971</v>
      </c>
      <c r="B1112" s="1">
        <v>41544</v>
      </c>
      <c r="C1112" s="1">
        <v>41548</v>
      </c>
      <c r="D1112" t="s">
        <v>1972</v>
      </c>
      <c r="E1112" t="s">
        <v>1973</v>
      </c>
      <c r="F1112" t="s">
        <v>61</v>
      </c>
      <c r="G1112" t="s">
        <v>953</v>
      </c>
      <c r="H1112">
        <v>100</v>
      </c>
      <c r="I1112">
        <v>4</v>
      </c>
      <c r="J1112">
        <v>21</v>
      </c>
      <c r="K1112">
        <v>2013</v>
      </c>
      <c r="L1112">
        <v>9</v>
      </c>
      <c r="M1112" t="s">
        <v>87</v>
      </c>
      <c r="N1112">
        <v>27</v>
      </c>
      <c r="O1112">
        <v>4</v>
      </c>
      <c r="P1112">
        <v>21</v>
      </c>
      <c r="Q1112">
        <v>25</v>
      </c>
      <c r="R1112" t="s">
        <v>26</v>
      </c>
      <c r="S1112" t="b">
        <v>0</v>
      </c>
      <c r="T1112" t="b">
        <v>0</v>
      </c>
    </row>
    <row r="1113" spans="1:20" x14ac:dyDescent="0.3">
      <c r="A1113" t="s">
        <v>1975</v>
      </c>
      <c r="B1113" s="1">
        <v>40906</v>
      </c>
      <c r="C1113" s="1">
        <v>40910</v>
      </c>
      <c r="D1113" t="s">
        <v>1471</v>
      </c>
      <c r="E1113" t="s">
        <v>51</v>
      </c>
      <c r="F1113" t="s">
        <v>29</v>
      </c>
      <c r="G1113" t="s">
        <v>1976</v>
      </c>
      <c r="H1113">
        <v>24.9</v>
      </c>
      <c r="I1113">
        <v>5</v>
      </c>
      <c r="J1113">
        <v>8.2170000000000005</v>
      </c>
      <c r="K1113">
        <v>2011</v>
      </c>
      <c r="L1113">
        <v>12</v>
      </c>
      <c r="M1113" t="s">
        <v>41</v>
      </c>
      <c r="N1113">
        <v>29</v>
      </c>
      <c r="O1113">
        <v>4</v>
      </c>
      <c r="P1113">
        <v>33</v>
      </c>
      <c r="Q1113">
        <v>4.9800000000000004</v>
      </c>
      <c r="R1113" t="s">
        <v>26</v>
      </c>
      <c r="S1113" t="b">
        <v>0</v>
      </c>
      <c r="T1113" t="b">
        <v>0</v>
      </c>
    </row>
    <row r="1114" spans="1:20" x14ac:dyDescent="0.3">
      <c r="A1114" t="s">
        <v>1975</v>
      </c>
      <c r="B1114" s="1">
        <v>40906</v>
      </c>
      <c r="C1114" s="1">
        <v>40910</v>
      </c>
      <c r="D1114" t="s">
        <v>1471</v>
      </c>
      <c r="E1114" t="s">
        <v>51</v>
      </c>
      <c r="F1114" t="s">
        <v>72</v>
      </c>
      <c r="G1114" t="s">
        <v>1977</v>
      </c>
      <c r="H1114">
        <v>21.12</v>
      </c>
      <c r="I1114">
        <v>4</v>
      </c>
      <c r="J1114">
        <v>9.5039999999999996</v>
      </c>
      <c r="K1114">
        <v>2011</v>
      </c>
      <c r="L1114">
        <v>12</v>
      </c>
      <c r="M1114" t="s">
        <v>41</v>
      </c>
      <c r="N1114">
        <v>29</v>
      </c>
      <c r="O1114">
        <v>4</v>
      </c>
      <c r="P1114">
        <v>45</v>
      </c>
      <c r="Q1114">
        <v>5.28</v>
      </c>
      <c r="R1114" t="s">
        <v>26</v>
      </c>
      <c r="S1114" t="b">
        <v>0</v>
      </c>
      <c r="T1114" t="b">
        <v>0</v>
      </c>
    </row>
    <row r="1115" spans="1:20" x14ac:dyDescent="0.3">
      <c r="A1115" t="s">
        <v>1975</v>
      </c>
      <c r="B1115" s="1">
        <v>40906</v>
      </c>
      <c r="C1115" s="1">
        <v>40910</v>
      </c>
      <c r="D1115" t="s">
        <v>1471</v>
      </c>
      <c r="E1115" t="s">
        <v>51</v>
      </c>
      <c r="F1115" t="s">
        <v>33</v>
      </c>
      <c r="G1115" t="s">
        <v>1832</v>
      </c>
      <c r="H1115">
        <v>14.352</v>
      </c>
      <c r="I1115">
        <v>3</v>
      </c>
      <c r="J1115">
        <v>4.6643999999999997</v>
      </c>
      <c r="K1115">
        <v>2011</v>
      </c>
      <c r="L1115">
        <v>12</v>
      </c>
      <c r="M1115" t="s">
        <v>41</v>
      </c>
      <c r="N1115">
        <v>29</v>
      </c>
      <c r="O1115">
        <v>4</v>
      </c>
      <c r="P1115">
        <v>32.5</v>
      </c>
      <c r="Q1115">
        <v>4.7839999999999998</v>
      </c>
      <c r="R1115" t="s">
        <v>26</v>
      </c>
      <c r="S1115" t="b">
        <v>0</v>
      </c>
      <c r="T1115" t="b">
        <v>0</v>
      </c>
    </row>
    <row r="1116" spans="1:20" x14ac:dyDescent="0.3">
      <c r="A1116" t="s">
        <v>1975</v>
      </c>
      <c r="B1116" s="1">
        <v>40906</v>
      </c>
      <c r="C1116" s="1">
        <v>40910</v>
      </c>
      <c r="D1116" t="s">
        <v>1471</v>
      </c>
      <c r="E1116" t="s">
        <v>51</v>
      </c>
      <c r="F1116" t="s">
        <v>54</v>
      </c>
      <c r="G1116" t="s">
        <v>1978</v>
      </c>
      <c r="H1116">
        <v>191.976</v>
      </c>
      <c r="I1116">
        <v>3</v>
      </c>
      <c r="J1116">
        <v>19.197600000000001</v>
      </c>
      <c r="K1116">
        <v>2011</v>
      </c>
      <c r="L1116">
        <v>12</v>
      </c>
      <c r="M1116" t="s">
        <v>41</v>
      </c>
      <c r="N1116">
        <v>29</v>
      </c>
      <c r="O1116">
        <v>4</v>
      </c>
      <c r="P1116">
        <v>10</v>
      </c>
      <c r="Q1116">
        <v>63.991999999999997</v>
      </c>
      <c r="R1116" t="s">
        <v>26</v>
      </c>
      <c r="S1116" t="b">
        <v>0</v>
      </c>
      <c r="T1116" t="b">
        <v>0</v>
      </c>
    </row>
    <row r="1117" spans="1:20" x14ac:dyDescent="0.3">
      <c r="A1117" t="s">
        <v>1975</v>
      </c>
      <c r="B1117" s="1">
        <v>40906</v>
      </c>
      <c r="C1117" s="1">
        <v>40910</v>
      </c>
      <c r="D1117" t="s">
        <v>1471</v>
      </c>
      <c r="E1117" t="s">
        <v>51</v>
      </c>
      <c r="F1117" t="s">
        <v>23</v>
      </c>
      <c r="G1117" t="s">
        <v>1979</v>
      </c>
      <c r="H1117">
        <v>274.77</v>
      </c>
      <c r="I1117">
        <v>9</v>
      </c>
      <c r="J1117">
        <v>126.3942</v>
      </c>
      <c r="K1117">
        <v>2011</v>
      </c>
      <c r="L1117">
        <v>12</v>
      </c>
      <c r="M1117" t="s">
        <v>41</v>
      </c>
      <c r="N1117">
        <v>29</v>
      </c>
      <c r="O1117">
        <v>4</v>
      </c>
      <c r="P1117">
        <v>46</v>
      </c>
      <c r="Q1117">
        <v>30.53</v>
      </c>
      <c r="R1117" t="s">
        <v>26</v>
      </c>
      <c r="S1117" t="b">
        <v>0</v>
      </c>
      <c r="T1117" t="b">
        <v>1</v>
      </c>
    </row>
    <row r="1118" spans="1:20" x14ac:dyDescent="0.3">
      <c r="A1118" t="s">
        <v>1975</v>
      </c>
      <c r="B1118" s="1">
        <v>40906</v>
      </c>
      <c r="C1118" s="1">
        <v>40910</v>
      </c>
      <c r="D1118" t="s">
        <v>1471</v>
      </c>
      <c r="E1118" t="s">
        <v>51</v>
      </c>
      <c r="F1118" t="s">
        <v>29</v>
      </c>
      <c r="G1118" t="s">
        <v>1980</v>
      </c>
      <c r="H1118">
        <v>70.56</v>
      </c>
      <c r="I1118">
        <v>6</v>
      </c>
      <c r="J1118">
        <v>23.990400000000001</v>
      </c>
      <c r="K1118">
        <v>2011</v>
      </c>
      <c r="L1118">
        <v>12</v>
      </c>
      <c r="M1118" t="s">
        <v>41</v>
      </c>
      <c r="N1118">
        <v>29</v>
      </c>
      <c r="O1118">
        <v>4</v>
      </c>
      <c r="P1118">
        <v>34</v>
      </c>
      <c r="Q1118">
        <v>11.76</v>
      </c>
      <c r="R1118" t="s">
        <v>26</v>
      </c>
      <c r="S1118" t="b">
        <v>0</v>
      </c>
      <c r="T1118" t="b">
        <v>0</v>
      </c>
    </row>
    <row r="1119" spans="1:20" x14ac:dyDescent="0.3">
      <c r="A1119" t="s">
        <v>1981</v>
      </c>
      <c r="B1119" s="1">
        <v>41085</v>
      </c>
      <c r="C1119" s="1">
        <v>41090</v>
      </c>
      <c r="D1119" t="s">
        <v>1982</v>
      </c>
      <c r="E1119" t="s">
        <v>51</v>
      </c>
      <c r="F1119" t="s">
        <v>29</v>
      </c>
      <c r="G1119" t="s">
        <v>420</v>
      </c>
      <c r="H1119">
        <v>204.85</v>
      </c>
      <c r="I1119">
        <v>5</v>
      </c>
      <c r="J1119">
        <v>57.357999999999997</v>
      </c>
      <c r="K1119">
        <v>2012</v>
      </c>
      <c r="L1119">
        <v>6</v>
      </c>
      <c r="M1119" t="s">
        <v>25</v>
      </c>
      <c r="N1119">
        <v>25</v>
      </c>
      <c r="O1119">
        <v>5</v>
      </c>
      <c r="P1119">
        <v>28</v>
      </c>
      <c r="Q1119">
        <v>40.97</v>
      </c>
      <c r="R1119" t="s">
        <v>48</v>
      </c>
      <c r="S1119" t="b">
        <v>0</v>
      </c>
      <c r="T1119" t="b">
        <v>0</v>
      </c>
    </row>
    <row r="1120" spans="1:20" x14ac:dyDescent="0.3">
      <c r="A1120" t="s">
        <v>1983</v>
      </c>
      <c r="B1120" s="1">
        <v>41233</v>
      </c>
      <c r="C1120" s="1">
        <v>41237</v>
      </c>
      <c r="D1120" t="s">
        <v>114</v>
      </c>
      <c r="E1120" t="s">
        <v>663</v>
      </c>
      <c r="F1120" t="s">
        <v>54</v>
      </c>
      <c r="G1120" t="s">
        <v>1984</v>
      </c>
      <c r="H1120">
        <v>72.744</v>
      </c>
      <c r="I1120">
        <v>7</v>
      </c>
      <c r="J1120">
        <v>-15.4581</v>
      </c>
      <c r="K1120">
        <v>2012</v>
      </c>
      <c r="L1120">
        <v>11</v>
      </c>
      <c r="M1120" t="s">
        <v>70</v>
      </c>
      <c r="N1120">
        <v>20</v>
      </c>
      <c r="O1120">
        <v>4</v>
      </c>
      <c r="P1120">
        <v>-21.25</v>
      </c>
      <c r="Q1120">
        <v>10.391999999999999</v>
      </c>
      <c r="R1120" t="s">
        <v>26</v>
      </c>
      <c r="S1120" t="b">
        <v>1</v>
      </c>
      <c r="T1120" t="b">
        <v>0</v>
      </c>
    </row>
    <row r="1121" spans="1:20" x14ac:dyDescent="0.3">
      <c r="A1121" t="s">
        <v>1985</v>
      </c>
      <c r="B1121" s="1">
        <v>41169</v>
      </c>
      <c r="C1121" s="1">
        <v>41172</v>
      </c>
      <c r="D1121" t="s">
        <v>1672</v>
      </c>
      <c r="E1121" t="s">
        <v>39</v>
      </c>
      <c r="F1121" t="s">
        <v>33</v>
      </c>
      <c r="G1121" t="s">
        <v>1233</v>
      </c>
      <c r="H1121">
        <v>25.032</v>
      </c>
      <c r="I1121">
        <v>3</v>
      </c>
      <c r="J1121">
        <v>7.8224999999999998</v>
      </c>
      <c r="K1121">
        <v>2012</v>
      </c>
      <c r="L1121">
        <v>9</v>
      </c>
      <c r="M1121" t="s">
        <v>87</v>
      </c>
      <c r="N1121">
        <v>17</v>
      </c>
      <c r="O1121">
        <v>3</v>
      </c>
      <c r="P1121">
        <v>31.25</v>
      </c>
      <c r="Q1121">
        <v>8.3439999999999994</v>
      </c>
      <c r="R1121" t="s">
        <v>26</v>
      </c>
      <c r="S1121" t="b">
        <v>0</v>
      </c>
      <c r="T1121" t="b">
        <v>0</v>
      </c>
    </row>
    <row r="1122" spans="1:20" x14ac:dyDescent="0.3">
      <c r="A1122" t="s">
        <v>1986</v>
      </c>
      <c r="B1122" s="1">
        <v>41543</v>
      </c>
      <c r="C1122" s="1">
        <v>41547</v>
      </c>
      <c r="D1122" t="s">
        <v>1987</v>
      </c>
      <c r="E1122" t="s">
        <v>956</v>
      </c>
      <c r="F1122" t="s">
        <v>72</v>
      </c>
      <c r="G1122" t="s">
        <v>1321</v>
      </c>
      <c r="H1122">
        <v>60.048000000000002</v>
      </c>
      <c r="I1122">
        <v>9</v>
      </c>
      <c r="J1122">
        <v>22.518000000000001</v>
      </c>
      <c r="K1122">
        <v>2013</v>
      </c>
      <c r="L1122">
        <v>9</v>
      </c>
      <c r="M1122" t="s">
        <v>87</v>
      </c>
      <c r="N1122">
        <v>26</v>
      </c>
      <c r="O1122">
        <v>4</v>
      </c>
      <c r="P1122">
        <v>37.5</v>
      </c>
      <c r="Q1122">
        <v>6.6720000000000006</v>
      </c>
      <c r="R1122" t="s">
        <v>26</v>
      </c>
      <c r="S1122" t="b">
        <v>0</v>
      </c>
      <c r="T1122" t="b">
        <v>0</v>
      </c>
    </row>
    <row r="1123" spans="1:20" x14ac:dyDescent="0.3">
      <c r="A1123" t="s">
        <v>1986</v>
      </c>
      <c r="B1123" s="1">
        <v>41543</v>
      </c>
      <c r="C1123" s="1">
        <v>41547</v>
      </c>
      <c r="D1123" t="s">
        <v>1987</v>
      </c>
      <c r="E1123" t="s">
        <v>956</v>
      </c>
      <c r="F1123" t="s">
        <v>33</v>
      </c>
      <c r="G1123" t="s">
        <v>1988</v>
      </c>
      <c r="H1123">
        <v>5.0220000000000002</v>
      </c>
      <c r="I1123">
        <v>1</v>
      </c>
      <c r="J1123">
        <v>-3.5154000000000001</v>
      </c>
      <c r="K1123">
        <v>2013</v>
      </c>
      <c r="L1123">
        <v>9</v>
      </c>
      <c r="M1123" t="s">
        <v>87</v>
      </c>
      <c r="N1123">
        <v>26</v>
      </c>
      <c r="O1123">
        <v>4</v>
      </c>
      <c r="P1123">
        <v>-70</v>
      </c>
      <c r="Q1123">
        <v>5.0220000000000002</v>
      </c>
      <c r="R1123" t="s">
        <v>26</v>
      </c>
      <c r="S1123" t="b">
        <v>1</v>
      </c>
      <c r="T1123" t="b">
        <v>0</v>
      </c>
    </row>
    <row r="1124" spans="1:20" x14ac:dyDescent="0.3">
      <c r="A1124" t="s">
        <v>1989</v>
      </c>
      <c r="B1124" s="1">
        <v>41890</v>
      </c>
      <c r="C1124" s="1">
        <v>41892</v>
      </c>
      <c r="D1124" t="s">
        <v>1506</v>
      </c>
      <c r="E1124" t="s">
        <v>105</v>
      </c>
      <c r="F1124" t="s">
        <v>33</v>
      </c>
      <c r="G1124" t="s">
        <v>478</v>
      </c>
      <c r="H1124">
        <v>7.8570000000000002</v>
      </c>
      <c r="I1124">
        <v>3</v>
      </c>
      <c r="J1124">
        <v>-6.0236999999999998</v>
      </c>
      <c r="K1124">
        <v>2014</v>
      </c>
      <c r="L1124">
        <v>9</v>
      </c>
      <c r="M1124" t="s">
        <v>87</v>
      </c>
      <c r="N1124">
        <v>8</v>
      </c>
      <c r="O1124">
        <v>2</v>
      </c>
      <c r="P1124">
        <v>-76.67</v>
      </c>
      <c r="Q1124">
        <v>2.6190000000000002</v>
      </c>
      <c r="R1124" t="s">
        <v>26</v>
      </c>
      <c r="S1124" t="b">
        <v>1</v>
      </c>
      <c r="T1124" t="b">
        <v>0</v>
      </c>
    </row>
    <row r="1125" spans="1:20" x14ac:dyDescent="0.3">
      <c r="A1125" t="s">
        <v>1990</v>
      </c>
      <c r="B1125" s="1">
        <v>41491</v>
      </c>
      <c r="C1125" s="1">
        <v>41493</v>
      </c>
      <c r="D1125" t="s">
        <v>1991</v>
      </c>
      <c r="E1125" t="s">
        <v>1331</v>
      </c>
      <c r="F1125" t="s">
        <v>54</v>
      </c>
      <c r="G1125" t="s">
        <v>1992</v>
      </c>
      <c r="H1125">
        <v>302.38400000000001</v>
      </c>
      <c r="I1125">
        <v>2</v>
      </c>
      <c r="J1125">
        <v>30.238399999999999</v>
      </c>
      <c r="K1125">
        <v>2013</v>
      </c>
      <c r="L1125">
        <v>8</v>
      </c>
      <c r="M1125" t="s">
        <v>53</v>
      </c>
      <c r="N1125">
        <v>5</v>
      </c>
      <c r="O1125">
        <v>2</v>
      </c>
      <c r="P1125">
        <v>10</v>
      </c>
      <c r="Q1125">
        <v>151.19200000000001</v>
      </c>
      <c r="R1125" t="s">
        <v>26</v>
      </c>
      <c r="S1125" t="b">
        <v>0</v>
      </c>
      <c r="T1125" t="b">
        <v>1</v>
      </c>
    </row>
    <row r="1126" spans="1:20" x14ac:dyDescent="0.3">
      <c r="A1126" t="s">
        <v>1990</v>
      </c>
      <c r="B1126" s="1">
        <v>41491</v>
      </c>
      <c r="C1126" s="1">
        <v>41493</v>
      </c>
      <c r="D1126" t="s">
        <v>1991</v>
      </c>
      <c r="E1126" t="s">
        <v>1331</v>
      </c>
      <c r="F1126" t="s">
        <v>33</v>
      </c>
      <c r="G1126" t="s">
        <v>478</v>
      </c>
      <c r="H1126">
        <v>20.952000000000002</v>
      </c>
      <c r="I1126">
        <v>3</v>
      </c>
      <c r="J1126">
        <v>7.0712999999999999</v>
      </c>
      <c r="K1126">
        <v>2013</v>
      </c>
      <c r="L1126">
        <v>8</v>
      </c>
      <c r="M1126" t="s">
        <v>53</v>
      </c>
      <c r="N1126">
        <v>5</v>
      </c>
      <c r="O1126">
        <v>2</v>
      </c>
      <c r="P1126">
        <v>33.75</v>
      </c>
      <c r="Q1126">
        <v>6.9840000000000009</v>
      </c>
      <c r="R1126" t="s">
        <v>26</v>
      </c>
      <c r="S1126" t="b">
        <v>0</v>
      </c>
      <c r="T1126" t="b">
        <v>0</v>
      </c>
    </row>
    <row r="1127" spans="1:20" x14ac:dyDescent="0.3">
      <c r="A1127" t="s">
        <v>1990</v>
      </c>
      <c r="B1127" s="1">
        <v>41491</v>
      </c>
      <c r="C1127" s="1">
        <v>41493</v>
      </c>
      <c r="D1127" t="s">
        <v>1991</v>
      </c>
      <c r="E1127" t="s">
        <v>1331</v>
      </c>
      <c r="F1127" t="s">
        <v>33</v>
      </c>
      <c r="G1127" t="s">
        <v>1993</v>
      </c>
      <c r="H1127">
        <v>11.784000000000001</v>
      </c>
      <c r="I1127">
        <v>3</v>
      </c>
      <c r="J1127">
        <v>3.9771000000000001</v>
      </c>
      <c r="K1127">
        <v>2013</v>
      </c>
      <c r="L1127">
        <v>8</v>
      </c>
      <c r="M1127" t="s">
        <v>53</v>
      </c>
      <c r="N1127">
        <v>5</v>
      </c>
      <c r="O1127">
        <v>2</v>
      </c>
      <c r="P1127">
        <v>33.75</v>
      </c>
      <c r="Q1127">
        <v>3.9279999999999999</v>
      </c>
      <c r="R1127" t="s">
        <v>26</v>
      </c>
      <c r="S1127" t="b">
        <v>0</v>
      </c>
      <c r="T1127" t="b">
        <v>0</v>
      </c>
    </row>
    <row r="1128" spans="1:20" x14ac:dyDescent="0.3">
      <c r="A1128" t="s">
        <v>1994</v>
      </c>
      <c r="B1128" s="1">
        <v>41859</v>
      </c>
      <c r="C1128" s="1">
        <v>41865</v>
      </c>
      <c r="D1128" t="s">
        <v>461</v>
      </c>
      <c r="E1128" t="s">
        <v>194</v>
      </c>
      <c r="F1128" t="s">
        <v>54</v>
      </c>
      <c r="G1128" t="s">
        <v>726</v>
      </c>
      <c r="H1128">
        <v>159.96</v>
      </c>
      <c r="I1128">
        <v>5</v>
      </c>
      <c r="J1128">
        <v>17.9955</v>
      </c>
      <c r="K1128">
        <v>2014</v>
      </c>
      <c r="L1128">
        <v>8</v>
      </c>
      <c r="M1128" t="s">
        <v>53</v>
      </c>
      <c r="N1128">
        <v>8</v>
      </c>
      <c r="O1128">
        <v>6</v>
      </c>
      <c r="P1128">
        <v>11.25</v>
      </c>
      <c r="Q1128">
        <v>31.992000000000001</v>
      </c>
      <c r="R1128" t="s">
        <v>26</v>
      </c>
      <c r="S1128" t="b">
        <v>0</v>
      </c>
      <c r="T1128" t="b">
        <v>0</v>
      </c>
    </row>
    <row r="1129" spans="1:20" x14ac:dyDescent="0.3">
      <c r="A1129" t="s">
        <v>1994</v>
      </c>
      <c r="B1129" s="1">
        <v>41859</v>
      </c>
      <c r="C1129" s="1">
        <v>41865</v>
      </c>
      <c r="D1129" t="s">
        <v>461</v>
      </c>
      <c r="E1129" t="s">
        <v>194</v>
      </c>
      <c r="F1129" t="s">
        <v>33</v>
      </c>
      <c r="G1129" t="s">
        <v>660</v>
      </c>
      <c r="H1129">
        <v>13.76</v>
      </c>
      <c r="I1129">
        <v>2</v>
      </c>
      <c r="J1129">
        <v>4.6440000000000001</v>
      </c>
      <c r="K1129">
        <v>2014</v>
      </c>
      <c r="L1129">
        <v>8</v>
      </c>
      <c r="M1129" t="s">
        <v>53</v>
      </c>
      <c r="N1129">
        <v>8</v>
      </c>
      <c r="O1129">
        <v>6</v>
      </c>
      <c r="P1129">
        <v>33.75</v>
      </c>
      <c r="Q1129">
        <v>6.88</v>
      </c>
      <c r="R1129" t="s">
        <v>26</v>
      </c>
      <c r="S1129" t="b">
        <v>0</v>
      </c>
      <c r="T1129" t="b">
        <v>0</v>
      </c>
    </row>
    <row r="1130" spans="1:20" x14ac:dyDescent="0.3">
      <c r="A1130" t="s">
        <v>1995</v>
      </c>
      <c r="B1130" s="1">
        <v>41237</v>
      </c>
      <c r="C1130" s="1">
        <v>41242</v>
      </c>
      <c r="D1130" t="s">
        <v>1996</v>
      </c>
      <c r="E1130" t="s">
        <v>22</v>
      </c>
      <c r="F1130" t="s">
        <v>33</v>
      </c>
      <c r="G1130" t="s">
        <v>1997</v>
      </c>
      <c r="H1130">
        <v>3.1680000000000001</v>
      </c>
      <c r="I1130">
        <v>2</v>
      </c>
      <c r="J1130">
        <v>0.99</v>
      </c>
      <c r="K1130">
        <v>2012</v>
      </c>
      <c r="L1130">
        <v>11</v>
      </c>
      <c r="M1130" t="s">
        <v>70</v>
      </c>
      <c r="N1130">
        <v>24</v>
      </c>
      <c r="O1130">
        <v>5</v>
      </c>
      <c r="P1130">
        <v>31.25</v>
      </c>
      <c r="Q1130">
        <v>1.5840000000000001</v>
      </c>
      <c r="R1130" t="s">
        <v>26</v>
      </c>
      <c r="S1130" t="b">
        <v>0</v>
      </c>
      <c r="T1130" t="b">
        <v>0</v>
      </c>
    </row>
    <row r="1131" spans="1:20" x14ac:dyDescent="0.3">
      <c r="A1131" t="s">
        <v>1995</v>
      </c>
      <c r="B1131" s="1">
        <v>41237</v>
      </c>
      <c r="C1131" s="1">
        <v>41242</v>
      </c>
      <c r="D1131" t="s">
        <v>1996</v>
      </c>
      <c r="E1131" t="s">
        <v>22</v>
      </c>
      <c r="F1131" t="s">
        <v>72</v>
      </c>
      <c r="G1131" t="s">
        <v>414</v>
      </c>
      <c r="H1131">
        <v>19.440000000000001</v>
      </c>
      <c r="I1131">
        <v>3</v>
      </c>
      <c r="J1131">
        <v>9.3312000000000008</v>
      </c>
      <c r="K1131">
        <v>2012</v>
      </c>
      <c r="L1131">
        <v>11</v>
      </c>
      <c r="M1131" t="s">
        <v>70</v>
      </c>
      <c r="N1131">
        <v>24</v>
      </c>
      <c r="O1131">
        <v>5</v>
      </c>
      <c r="P1131">
        <v>48</v>
      </c>
      <c r="Q1131">
        <v>6.48</v>
      </c>
      <c r="R1131" t="s">
        <v>26</v>
      </c>
      <c r="S1131" t="b">
        <v>0</v>
      </c>
      <c r="T1131" t="b">
        <v>0</v>
      </c>
    </row>
    <row r="1132" spans="1:20" x14ac:dyDescent="0.3">
      <c r="A1132" t="s">
        <v>1995</v>
      </c>
      <c r="B1132" s="1">
        <v>41237</v>
      </c>
      <c r="C1132" s="1">
        <v>41242</v>
      </c>
      <c r="D1132" t="s">
        <v>1996</v>
      </c>
      <c r="E1132" t="s">
        <v>22</v>
      </c>
      <c r="F1132" t="s">
        <v>45</v>
      </c>
      <c r="G1132" t="s">
        <v>1715</v>
      </c>
      <c r="H1132">
        <v>454.86</v>
      </c>
      <c r="I1132">
        <v>7</v>
      </c>
      <c r="J1132">
        <v>54.583199999999998</v>
      </c>
      <c r="K1132">
        <v>2012</v>
      </c>
      <c r="L1132">
        <v>11</v>
      </c>
      <c r="M1132" t="s">
        <v>70</v>
      </c>
      <c r="N1132">
        <v>24</v>
      </c>
      <c r="O1132">
        <v>5</v>
      </c>
      <c r="P1132">
        <v>12</v>
      </c>
      <c r="Q1132">
        <v>64.98</v>
      </c>
      <c r="R1132" t="s">
        <v>26</v>
      </c>
      <c r="S1132" t="b">
        <v>0</v>
      </c>
      <c r="T1132" t="b">
        <v>1</v>
      </c>
    </row>
    <row r="1133" spans="1:20" x14ac:dyDescent="0.3">
      <c r="A1133" t="s">
        <v>1995</v>
      </c>
      <c r="B1133" s="1">
        <v>41237</v>
      </c>
      <c r="C1133" s="1">
        <v>41242</v>
      </c>
      <c r="D1133" t="s">
        <v>1996</v>
      </c>
      <c r="E1133" t="s">
        <v>22</v>
      </c>
      <c r="F1133" t="s">
        <v>33</v>
      </c>
      <c r="G1133" t="s">
        <v>1621</v>
      </c>
      <c r="H1133">
        <v>91.391999999999996</v>
      </c>
      <c r="I1133">
        <v>8</v>
      </c>
      <c r="J1133">
        <v>29.702400000000001</v>
      </c>
      <c r="K1133">
        <v>2012</v>
      </c>
      <c r="L1133">
        <v>11</v>
      </c>
      <c r="M1133" t="s">
        <v>70</v>
      </c>
      <c r="N1133">
        <v>24</v>
      </c>
      <c r="O1133">
        <v>5</v>
      </c>
      <c r="P1133">
        <v>32.5</v>
      </c>
      <c r="Q1133">
        <v>11.423999999999999</v>
      </c>
      <c r="R1133" t="s">
        <v>26</v>
      </c>
      <c r="S1133" t="b">
        <v>0</v>
      </c>
      <c r="T1133" t="b">
        <v>0</v>
      </c>
    </row>
    <row r="1134" spans="1:20" x14ac:dyDescent="0.3">
      <c r="A1134" t="s">
        <v>1998</v>
      </c>
      <c r="B1134" s="1">
        <v>41771</v>
      </c>
      <c r="C1134" s="1">
        <v>41772</v>
      </c>
      <c r="D1134" t="s">
        <v>378</v>
      </c>
      <c r="E1134" t="s">
        <v>39</v>
      </c>
      <c r="F1134" t="s">
        <v>72</v>
      </c>
      <c r="G1134" t="s">
        <v>1185</v>
      </c>
      <c r="H1134">
        <v>37.44</v>
      </c>
      <c r="I1134">
        <v>6</v>
      </c>
      <c r="J1134">
        <v>16.847999999999999</v>
      </c>
      <c r="K1134">
        <v>2014</v>
      </c>
      <c r="L1134">
        <v>5</v>
      </c>
      <c r="M1134" t="s">
        <v>47</v>
      </c>
      <c r="N1134">
        <v>12</v>
      </c>
      <c r="O1134">
        <v>1</v>
      </c>
      <c r="P1134">
        <v>45</v>
      </c>
      <c r="Q1134">
        <v>6.2399999999999993</v>
      </c>
      <c r="R1134" t="s">
        <v>26</v>
      </c>
      <c r="S1134" t="b">
        <v>0</v>
      </c>
      <c r="T1134" t="b">
        <v>0</v>
      </c>
    </row>
    <row r="1135" spans="1:20" x14ac:dyDescent="0.3">
      <c r="A1135" t="s">
        <v>1998</v>
      </c>
      <c r="B1135" s="1">
        <v>41771</v>
      </c>
      <c r="C1135" s="1">
        <v>41772</v>
      </c>
      <c r="D1135" t="s">
        <v>378</v>
      </c>
      <c r="E1135" t="s">
        <v>39</v>
      </c>
      <c r="F1135" t="s">
        <v>23</v>
      </c>
      <c r="G1135" t="s">
        <v>1388</v>
      </c>
      <c r="H1135">
        <v>37.590000000000003</v>
      </c>
      <c r="I1135">
        <v>3</v>
      </c>
      <c r="J1135">
        <v>17.667300000000001</v>
      </c>
      <c r="K1135">
        <v>2014</v>
      </c>
      <c r="L1135">
        <v>5</v>
      </c>
      <c r="M1135" t="s">
        <v>47</v>
      </c>
      <c r="N1135">
        <v>12</v>
      </c>
      <c r="O1135">
        <v>1</v>
      </c>
      <c r="P1135">
        <v>47</v>
      </c>
      <c r="Q1135">
        <v>12.53</v>
      </c>
      <c r="R1135" t="s">
        <v>26</v>
      </c>
      <c r="S1135" t="b">
        <v>0</v>
      </c>
      <c r="T1135" t="b">
        <v>0</v>
      </c>
    </row>
    <row r="1136" spans="1:20" x14ac:dyDescent="0.3">
      <c r="A1136" t="s">
        <v>1998</v>
      </c>
      <c r="B1136" s="1">
        <v>41771</v>
      </c>
      <c r="C1136" s="1">
        <v>41772</v>
      </c>
      <c r="D1136" t="s">
        <v>378</v>
      </c>
      <c r="E1136" t="s">
        <v>39</v>
      </c>
      <c r="F1136" t="s">
        <v>33</v>
      </c>
      <c r="G1136" t="s">
        <v>1747</v>
      </c>
      <c r="H1136">
        <v>26.032</v>
      </c>
      <c r="I1136">
        <v>2</v>
      </c>
      <c r="J1136">
        <v>9.4366000000000003</v>
      </c>
      <c r="K1136">
        <v>2014</v>
      </c>
      <c r="L1136">
        <v>5</v>
      </c>
      <c r="M1136" t="s">
        <v>47</v>
      </c>
      <c r="N1136">
        <v>12</v>
      </c>
      <c r="O1136">
        <v>1</v>
      </c>
      <c r="P1136">
        <v>36.25</v>
      </c>
      <c r="Q1136">
        <v>13.016</v>
      </c>
      <c r="R1136" t="s">
        <v>26</v>
      </c>
      <c r="S1136" t="b">
        <v>0</v>
      </c>
      <c r="T1136" t="b">
        <v>0</v>
      </c>
    </row>
    <row r="1137" spans="1:20" x14ac:dyDescent="0.3">
      <c r="A1137" t="s">
        <v>1999</v>
      </c>
      <c r="B1137" s="1">
        <v>40997</v>
      </c>
      <c r="C1137" s="1">
        <v>41003</v>
      </c>
      <c r="D1137" t="s">
        <v>1868</v>
      </c>
      <c r="E1137" t="s">
        <v>39</v>
      </c>
      <c r="F1137" t="s">
        <v>35</v>
      </c>
      <c r="G1137" t="s">
        <v>2000</v>
      </c>
      <c r="H1137">
        <v>73.28</v>
      </c>
      <c r="I1137">
        <v>4</v>
      </c>
      <c r="J1137">
        <v>21.251200000000001</v>
      </c>
      <c r="K1137">
        <v>2012</v>
      </c>
      <c r="L1137">
        <v>3</v>
      </c>
      <c r="M1137" t="s">
        <v>135</v>
      </c>
      <c r="N1137">
        <v>29</v>
      </c>
      <c r="O1137">
        <v>6</v>
      </c>
      <c r="P1137">
        <v>29</v>
      </c>
      <c r="Q1137">
        <v>18.32</v>
      </c>
      <c r="R1137" t="s">
        <v>26</v>
      </c>
      <c r="S1137" t="b">
        <v>0</v>
      </c>
      <c r="T1137" t="b">
        <v>0</v>
      </c>
    </row>
    <row r="1138" spans="1:20" x14ac:dyDescent="0.3">
      <c r="A1138" t="s">
        <v>2001</v>
      </c>
      <c r="B1138" s="1">
        <v>41915</v>
      </c>
      <c r="C1138" s="1">
        <v>41921</v>
      </c>
      <c r="D1138" t="s">
        <v>674</v>
      </c>
      <c r="E1138" t="s">
        <v>22</v>
      </c>
      <c r="F1138" t="s">
        <v>33</v>
      </c>
      <c r="G1138" t="s">
        <v>2002</v>
      </c>
      <c r="H1138">
        <v>112.12</v>
      </c>
      <c r="I1138">
        <v>5</v>
      </c>
      <c r="J1138">
        <v>42.045000000000002</v>
      </c>
      <c r="K1138">
        <v>2014</v>
      </c>
      <c r="L1138">
        <v>10</v>
      </c>
      <c r="M1138" t="s">
        <v>82</v>
      </c>
      <c r="N1138">
        <v>3</v>
      </c>
      <c r="O1138">
        <v>6</v>
      </c>
      <c r="P1138">
        <v>37.5</v>
      </c>
      <c r="Q1138">
        <v>22.423999999999999</v>
      </c>
      <c r="R1138" t="s">
        <v>26</v>
      </c>
      <c r="S1138" t="b">
        <v>0</v>
      </c>
      <c r="T1138" t="b">
        <v>0</v>
      </c>
    </row>
    <row r="1139" spans="1:20" x14ac:dyDescent="0.3">
      <c r="A1139" t="s">
        <v>2003</v>
      </c>
      <c r="B1139" s="1">
        <v>41670</v>
      </c>
      <c r="C1139" s="1">
        <v>41677</v>
      </c>
      <c r="D1139" t="s">
        <v>1947</v>
      </c>
      <c r="E1139" t="s">
        <v>51</v>
      </c>
      <c r="F1139" t="s">
        <v>31</v>
      </c>
      <c r="G1139" t="s">
        <v>697</v>
      </c>
      <c r="H1139">
        <v>12.74</v>
      </c>
      <c r="I1139">
        <v>7</v>
      </c>
      <c r="J1139">
        <v>5.7329999999999997</v>
      </c>
      <c r="K1139">
        <v>2014</v>
      </c>
      <c r="L1139">
        <v>1</v>
      </c>
      <c r="M1139" t="s">
        <v>60</v>
      </c>
      <c r="N1139">
        <v>31</v>
      </c>
      <c r="O1139">
        <v>7</v>
      </c>
      <c r="P1139">
        <v>45</v>
      </c>
      <c r="Q1139">
        <v>1.82</v>
      </c>
      <c r="R1139" t="s">
        <v>26</v>
      </c>
      <c r="S1139" t="b">
        <v>0</v>
      </c>
      <c r="T1139" t="b">
        <v>0</v>
      </c>
    </row>
    <row r="1140" spans="1:20" x14ac:dyDescent="0.3">
      <c r="A1140" t="s">
        <v>2003</v>
      </c>
      <c r="B1140" s="1">
        <v>41670</v>
      </c>
      <c r="C1140" s="1">
        <v>41677</v>
      </c>
      <c r="D1140" t="s">
        <v>1947</v>
      </c>
      <c r="E1140" t="s">
        <v>51</v>
      </c>
      <c r="F1140" t="s">
        <v>31</v>
      </c>
      <c r="G1140" t="s">
        <v>2004</v>
      </c>
      <c r="H1140">
        <v>8.82</v>
      </c>
      <c r="I1140">
        <v>3</v>
      </c>
      <c r="J1140">
        <v>2.3814000000000002</v>
      </c>
      <c r="K1140">
        <v>2014</v>
      </c>
      <c r="L1140">
        <v>1</v>
      </c>
      <c r="M1140" t="s">
        <v>60</v>
      </c>
      <c r="N1140">
        <v>31</v>
      </c>
      <c r="O1140">
        <v>7</v>
      </c>
      <c r="P1140">
        <v>27</v>
      </c>
      <c r="Q1140">
        <v>2.94</v>
      </c>
      <c r="R1140" t="s">
        <v>26</v>
      </c>
      <c r="S1140" t="b">
        <v>0</v>
      </c>
      <c r="T1140" t="b">
        <v>0</v>
      </c>
    </row>
    <row r="1141" spans="1:20" x14ac:dyDescent="0.3">
      <c r="A1141" t="s">
        <v>2003</v>
      </c>
      <c r="B1141" s="1">
        <v>41670</v>
      </c>
      <c r="C1141" s="1">
        <v>41677</v>
      </c>
      <c r="D1141" t="s">
        <v>1947</v>
      </c>
      <c r="E1141" t="s">
        <v>51</v>
      </c>
      <c r="F1141" t="s">
        <v>110</v>
      </c>
      <c r="G1141" t="s">
        <v>2005</v>
      </c>
      <c r="H1141">
        <v>120.78400000000001</v>
      </c>
      <c r="I1141">
        <v>1</v>
      </c>
      <c r="J1141">
        <v>-13.588200000000001</v>
      </c>
      <c r="K1141">
        <v>2014</v>
      </c>
      <c r="L1141">
        <v>1</v>
      </c>
      <c r="M1141" t="s">
        <v>60</v>
      </c>
      <c r="N1141">
        <v>31</v>
      </c>
      <c r="O1141">
        <v>7</v>
      </c>
      <c r="P1141">
        <v>-11.25</v>
      </c>
      <c r="Q1141">
        <v>120.78400000000001</v>
      </c>
      <c r="R1141" t="s">
        <v>26</v>
      </c>
      <c r="S1141" t="b">
        <v>1</v>
      </c>
      <c r="T1141" t="b">
        <v>0</v>
      </c>
    </row>
    <row r="1142" spans="1:20" x14ac:dyDescent="0.3">
      <c r="A1142" t="s">
        <v>2006</v>
      </c>
      <c r="B1142" s="1">
        <v>41654</v>
      </c>
      <c r="C1142" s="1">
        <v>41656</v>
      </c>
      <c r="D1142" t="s">
        <v>2007</v>
      </c>
      <c r="E1142" t="s">
        <v>99</v>
      </c>
      <c r="F1142" t="s">
        <v>61</v>
      </c>
      <c r="G1142" t="s">
        <v>62</v>
      </c>
      <c r="H1142">
        <v>169.06399999999999</v>
      </c>
      <c r="I1142">
        <v>7</v>
      </c>
      <c r="J1142">
        <v>-14.793100000000001</v>
      </c>
      <c r="K1142">
        <v>2014</v>
      </c>
      <c r="L1142">
        <v>1</v>
      </c>
      <c r="M1142" t="s">
        <v>60</v>
      </c>
      <c r="N1142">
        <v>15</v>
      </c>
      <c r="O1142">
        <v>2</v>
      </c>
      <c r="P1142">
        <v>-8.75</v>
      </c>
      <c r="Q1142">
        <v>24.152000000000001</v>
      </c>
      <c r="R1142" t="s">
        <v>26</v>
      </c>
      <c r="S1142" t="b">
        <v>1</v>
      </c>
      <c r="T1142" t="b">
        <v>0</v>
      </c>
    </row>
    <row r="1143" spans="1:20" x14ac:dyDescent="0.3">
      <c r="A1143" t="s">
        <v>2006</v>
      </c>
      <c r="B1143" s="1">
        <v>41654</v>
      </c>
      <c r="C1143" s="1">
        <v>41656</v>
      </c>
      <c r="D1143" t="s">
        <v>2007</v>
      </c>
      <c r="E1143" t="s">
        <v>99</v>
      </c>
      <c r="F1143" t="s">
        <v>45</v>
      </c>
      <c r="G1143" t="s">
        <v>1206</v>
      </c>
      <c r="H1143">
        <v>168.624</v>
      </c>
      <c r="I1143">
        <v>9</v>
      </c>
      <c r="J1143">
        <v>14.7546</v>
      </c>
      <c r="K1143">
        <v>2014</v>
      </c>
      <c r="L1143">
        <v>1</v>
      </c>
      <c r="M1143" t="s">
        <v>60</v>
      </c>
      <c r="N1143">
        <v>15</v>
      </c>
      <c r="O1143">
        <v>2</v>
      </c>
      <c r="P1143">
        <v>8.75</v>
      </c>
      <c r="Q1143">
        <v>18.736000000000001</v>
      </c>
      <c r="R1143" t="s">
        <v>26</v>
      </c>
      <c r="S1143" t="b">
        <v>0</v>
      </c>
      <c r="T1143" t="b">
        <v>0</v>
      </c>
    </row>
    <row r="1144" spans="1:20" x14ac:dyDescent="0.3">
      <c r="A1144" t="s">
        <v>2008</v>
      </c>
      <c r="B1144" s="1">
        <v>40827</v>
      </c>
      <c r="C1144" s="1">
        <v>40829</v>
      </c>
      <c r="D1144" t="s">
        <v>201</v>
      </c>
      <c r="E1144" t="s">
        <v>763</v>
      </c>
      <c r="F1144" t="s">
        <v>45</v>
      </c>
      <c r="G1144" t="s">
        <v>2009</v>
      </c>
      <c r="H1144">
        <v>31.92</v>
      </c>
      <c r="I1144">
        <v>4</v>
      </c>
      <c r="J1144">
        <v>8.2992000000000008</v>
      </c>
      <c r="K1144">
        <v>2011</v>
      </c>
      <c r="L1144">
        <v>10</v>
      </c>
      <c r="M1144" t="s">
        <v>82</v>
      </c>
      <c r="N1144">
        <v>11</v>
      </c>
      <c r="O1144">
        <v>2</v>
      </c>
      <c r="P1144">
        <v>26</v>
      </c>
      <c r="Q1144">
        <v>7.98</v>
      </c>
      <c r="R1144" t="s">
        <v>26</v>
      </c>
      <c r="S1144" t="b">
        <v>0</v>
      </c>
      <c r="T1144" t="b">
        <v>0</v>
      </c>
    </row>
    <row r="1145" spans="1:20" x14ac:dyDescent="0.3">
      <c r="A1145" t="s">
        <v>2008</v>
      </c>
      <c r="B1145" s="1">
        <v>40827</v>
      </c>
      <c r="C1145" s="1">
        <v>40829</v>
      </c>
      <c r="D1145" t="s">
        <v>201</v>
      </c>
      <c r="E1145" t="s">
        <v>763</v>
      </c>
      <c r="F1145" t="s">
        <v>110</v>
      </c>
      <c r="G1145" t="s">
        <v>2010</v>
      </c>
      <c r="H1145">
        <v>433.56799999999998</v>
      </c>
      <c r="I1145">
        <v>2</v>
      </c>
      <c r="J1145">
        <v>-65.035200000000003</v>
      </c>
      <c r="K1145">
        <v>2011</v>
      </c>
      <c r="L1145">
        <v>10</v>
      </c>
      <c r="M1145" t="s">
        <v>82</v>
      </c>
      <c r="N1145">
        <v>11</v>
      </c>
      <c r="O1145">
        <v>2</v>
      </c>
      <c r="P1145">
        <v>-15</v>
      </c>
      <c r="Q1145">
        <v>216.78399999999999</v>
      </c>
      <c r="R1145" t="s">
        <v>26</v>
      </c>
      <c r="S1145" t="b">
        <v>1</v>
      </c>
      <c r="T1145" t="b">
        <v>1</v>
      </c>
    </row>
    <row r="1146" spans="1:20" x14ac:dyDescent="0.3">
      <c r="A1146" t="s">
        <v>2011</v>
      </c>
      <c r="B1146" s="1">
        <v>41012</v>
      </c>
      <c r="C1146" s="1">
        <v>41013</v>
      </c>
      <c r="D1146" t="s">
        <v>2012</v>
      </c>
      <c r="E1146" t="s">
        <v>368</v>
      </c>
      <c r="F1146" t="s">
        <v>72</v>
      </c>
      <c r="G1146" t="s">
        <v>2013</v>
      </c>
      <c r="H1146">
        <v>31.103999999999999</v>
      </c>
      <c r="I1146">
        <v>6</v>
      </c>
      <c r="J1146">
        <v>10.8864</v>
      </c>
      <c r="K1146">
        <v>2012</v>
      </c>
      <c r="L1146">
        <v>4</v>
      </c>
      <c r="M1146" t="s">
        <v>236</v>
      </c>
      <c r="N1146">
        <v>13</v>
      </c>
      <c r="O1146">
        <v>1</v>
      </c>
      <c r="P1146">
        <v>35</v>
      </c>
      <c r="Q1146">
        <v>5.1840000000000002</v>
      </c>
      <c r="R1146" t="s">
        <v>26</v>
      </c>
      <c r="S1146" t="b">
        <v>0</v>
      </c>
      <c r="T1146" t="b">
        <v>0</v>
      </c>
    </row>
    <row r="1147" spans="1:20" x14ac:dyDescent="0.3">
      <c r="A1147" t="s">
        <v>2011</v>
      </c>
      <c r="B1147" s="1">
        <v>41012</v>
      </c>
      <c r="C1147" s="1">
        <v>41013</v>
      </c>
      <c r="D1147" t="s">
        <v>2012</v>
      </c>
      <c r="E1147" t="s">
        <v>368</v>
      </c>
      <c r="F1147" t="s">
        <v>72</v>
      </c>
      <c r="G1147" t="s">
        <v>752</v>
      </c>
      <c r="H1147">
        <v>54.816000000000003</v>
      </c>
      <c r="I1147">
        <v>3</v>
      </c>
      <c r="J1147">
        <v>17.815200000000001</v>
      </c>
      <c r="K1147">
        <v>2012</v>
      </c>
      <c r="L1147">
        <v>4</v>
      </c>
      <c r="M1147" t="s">
        <v>236</v>
      </c>
      <c r="N1147">
        <v>13</v>
      </c>
      <c r="O1147">
        <v>1</v>
      </c>
      <c r="P1147">
        <v>32.5</v>
      </c>
      <c r="Q1147">
        <v>18.271999999999998</v>
      </c>
      <c r="R1147" t="s">
        <v>26</v>
      </c>
      <c r="S1147" t="b">
        <v>0</v>
      </c>
      <c r="T1147" t="b">
        <v>0</v>
      </c>
    </row>
    <row r="1148" spans="1:20" x14ac:dyDescent="0.3">
      <c r="A1148" t="s">
        <v>2014</v>
      </c>
      <c r="B1148" s="1">
        <v>41960</v>
      </c>
      <c r="C1148" s="1">
        <v>41964</v>
      </c>
      <c r="D1148" t="s">
        <v>461</v>
      </c>
      <c r="E1148" t="s">
        <v>737</v>
      </c>
      <c r="F1148" t="s">
        <v>45</v>
      </c>
      <c r="G1148" t="s">
        <v>552</v>
      </c>
      <c r="H1148">
        <v>48.86</v>
      </c>
      <c r="I1148">
        <v>7</v>
      </c>
      <c r="J1148">
        <v>0.97719999999999996</v>
      </c>
      <c r="K1148">
        <v>2014</v>
      </c>
      <c r="L1148">
        <v>11</v>
      </c>
      <c r="M1148" t="s">
        <v>70</v>
      </c>
      <c r="N1148">
        <v>17</v>
      </c>
      <c r="O1148">
        <v>4</v>
      </c>
      <c r="P1148">
        <v>2</v>
      </c>
      <c r="Q1148">
        <v>6.98</v>
      </c>
      <c r="R1148" t="s">
        <v>26</v>
      </c>
      <c r="S1148" t="b">
        <v>0</v>
      </c>
      <c r="T1148" t="b">
        <v>0</v>
      </c>
    </row>
    <row r="1149" spans="1:20" x14ac:dyDescent="0.3">
      <c r="A1149" t="s">
        <v>2015</v>
      </c>
      <c r="B1149" s="1">
        <v>41242</v>
      </c>
      <c r="C1149" s="1">
        <v>41243</v>
      </c>
      <c r="D1149" t="s">
        <v>2016</v>
      </c>
      <c r="E1149" t="s">
        <v>527</v>
      </c>
      <c r="F1149" t="s">
        <v>31</v>
      </c>
      <c r="G1149" t="s">
        <v>2017</v>
      </c>
      <c r="H1149">
        <v>56.3</v>
      </c>
      <c r="I1149">
        <v>2</v>
      </c>
      <c r="J1149">
        <v>15.763999999999999</v>
      </c>
      <c r="K1149">
        <v>2012</v>
      </c>
      <c r="L1149">
        <v>11</v>
      </c>
      <c r="M1149" t="s">
        <v>70</v>
      </c>
      <c r="N1149">
        <v>29</v>
      </c>
      <c r="O1149">
        <v>1</v>
      </c>
      <c r="P1149">
        <v>28</v>
      </c>
      <c r="Q1149">
        <v>28.15</v>
      </c>
      <c r="R1149" t="s">
        <v>26</v>
      </c>
      <c r="S1149" t="b">
        <v>0</v>
      </c>
      <c r="T1149" t="b">
        <v>0</v>
      </c>
    </row>
    <row r="1150" spans="1:20" x14ac:dyDescent="0.3">
      <c r="A1150" t="s">
        <v>2018</v>
      </c>
      <c r="B1150" s="1">
        <v>41442</v>
      </c>
      <c r="C1150" s="1">
        <v>41444</v>
      </c>
      <c r="D1150" t="s">
        <v>1811</v>
      </c>
      <c r="E1150" t="s">
        <v>22</v>
      </c>
      <c r="F1150" t="s">
        <v>72</v>
      </c>
      <c r="G1150" t="s">
        <v>1287</v>
      </c>
      <c r="H1150">
        <v>46.35</v>
      </c>
      <c r="I1150">
        <v>5</v>
      </c>
      <c r="J1150">
        <v>21.784500000000001</v>
      </c>
      <c r="K1150">
        <v>2013</v>
      </c>
      <c r="L1150">
        <v>6</v>
      </c>
      <c r="M1150" t="s">
        <v>25</v>
      </c>
      <c r="N1150">
        <v>17</v>
      </c>
      <c r="O1150">
        <v>2</v>
      </c>
      <c r="P1150">
        <v>47</v>
      </c>
      <c r="Q1150">
        <v>9.27</v>
      </c>
      <c r="R1150" t="s">
        <v>26</v>
      </c>
      <c r="S1150" t="b">
        <v>0</v>
      </c>
      <c r="T1150" t="b">
        <v>0</v>
      </c>
    </row>
    <row r="1151" spans="1:20" x14ac:dyDescent="0.3">
      <c r="A1151" t="s">
        <v>2019</v>
      </c>
      <c r="B1151" s="1">
        <v>41705</v>
      </c>
      <c r="C1151" s="1">
        <v>41709</v>
      </c>
      <c r="D1151" t="s">
        <v>725</v>
      </c>
      <c r="E1151" t="s">
        <v>51</v>
      </c>
      <c r="F1151" t="s">
        <v>33</v>
      </c>
      <c r="G1151" t="s">
        <v>2020</v>
      </c>
      <c r="H1151">
        <v>14.976000000000001</v>
      </c>
      <c r="I1151">
        <v>9</v>
      </c>
      <c r="J1151">
        <v>5.4287999999999998</v>
      </c>
      <c r="K1151">
        <v>2014</v>
      </c>
      <c r="L1151">
        <v>3</v>
      </c>
      <c r="M1151" t="s">
        <v>135</v>
      </c>
      <c r="N1151">
        <v>7</v>
      </c>
      <c r="O1151">
        <v>4</v>
      </c>
      <c r="P1151">
        <v>36.25</v>
      </c>
      <c r="Q1151">
        <v>1.6639999999999999</v>
      </c>
      <c r="R1151" t="s">
        <v>26</v>
      </c>
      <c r="S1151" t="b">
        <v>0</v>
      </c>
      <c r="T1151" t="b">
        <v>0</v>
      </c>
    </row>
    <row r="1152" spans="1:20" x14ac:dyDescent="0.3">
      <c r="A1152" t="s">
        <v>2021</v>
      </c>
      <c r="B1152" s="1">
        <v>41229</v>
      </c>
      <c r="C1152" s="1">
        <v>41233</v>
      </c>
      <c r="D1152" t="s">
        <v>1235</v>
      </c>
      <c r="E1152" t="s">
        <v>2022</v>
      </c>
      <c r="F1152" t="s">
        <v>54</v>
      </c>
      <c r="G1152" t="s">
        <v>136</v>
      </c>
      <c r="H1152">
        <v>304.77600000000001</v>
      </c>
      <c r="I1152">
        <v>3</v>
      </c>
      <c r="J1152">
        <v>22.8582</v>
      </c>
      <c r="K1152">
        <v>2012</v>
      </c>
      <c r="L1152">
        <v>11</v>
      </c>
      <c r="M1152" t="s">
        <v>70</v>
      </c>
      <c r="N1152">
        <v>16</v>
      </c>
      <c r="O1152">
        <v>4</v>
      </c>
      <c r="P1152">
        <v>7.5</v>
      </c>
      <c r="Q1152">
        <v>101.592</v>
      </c>
      <c r="R1152" t="s">
        <v>26</v>
      </c>
      <c r="S1152" t="b">
        <v>0</v>
      </c>
      <c r="T1152" t="b">
        <v>1</v>
      </c>
    </row>
    <row r="1153" spans="1:20" x14ac:dyDescent="0.3">
      <c r="A1153" t="s">
        <v>2023</v>
      </c>
      <c r="B1153" s="1">
        <v>41078</v>
      </c>
      <c r="C1153" s="1">
        <v>41082</v>
      </c>
      <c r="D1153" t="s">
        <v>2024</v>
      </c>
      <c r="E1153" t="s">
        <v>194</v>
      </c>
      <c r="F1153" t="s">
        <v>31</v>
      </c>
      <c r="G1153" t="s">
        <v>1196</v>
      </c>
      <c r="H1153">
        <v>51.98</v>
      </c>
      <c r="I1153">
        <v>2</v>
      </c>
      <c r="J1153">
        <v>15.074199999999999</v>
      </c>
      <c r="K1153">
        <v>2012</v>
      </c>
      <c r="L1153">
        <v>6</v>
      </c>
      <c r="M1153" t="s">
        <v>25</v>
      </c>
      <c r="N1153">
        <v>18</v>
      </c>
      <c r="O1153">
        <v>4</v>
      </c>
      <c r="P1153">
        <v>29</v>
      </c>
      <c r="Q1153">
        <v>25.99</v>
      </c>
      <c r="R1153" t="s">
        <v>26</v>
      </c>
      <c r="S1153" t="b">
        <v>0</v>
      </c>
      <c r="T1153" t="b">
        <v>0</v>
      </c>
    </row>
    <row r="1154" spans="1:20" x14ac:dyDescent="0.3">
      <c r="A1154" t="s">
        <v>2025</v>
      </c>
      <c r="B1154" s="1">
        <v>41373</v>
      </c>
      <c r="C1154" s="1">
        <v>41379</v>
      </c>
      <c r="D1154" t="s">
        <v>1184</v>
      </c>
      <c r="E1154" t="s">
        <v>22</v>
      </c>
      <c r="F1154" t="s">
        <v>29</v>
      </c>
      <c r="G1154" t="s">
        <v>991</v>
      </c>
      <c r="H1154">
        <v>24.7</v>
      </c>
      <c r="I1154">
        <v>5</v>
      </c>
      <c r="J1154">
        <v>10.374000000000001</v>
      </c>
      <c r="K1154">
        <v>2013</v>
      </c>
      <c r="L1154">
        <v>4</v>
      </c>
      <c r="M1154" t="s">
        <v>236</v>
      </c>
      <c r="N1154">
        <v>9</v>
      </c>
      <c r="O1154">
        <v>6</v>
      </c>
      <c r="P1154">
        <v>42</v>
      </c>
      <c r="Q1154">
        <v>4.9400000000000004</v>
      </c>
      <c r="R1154" t="s">
        <v>26</v>
      </c>
      <c r="S1154" t="b">
        <v>0</v>
      </c>
      <c r="T1154" t="b">
        <v>0</v>
      </c>
    </row>
    <row r="1155" spans="1:20" x14ac:dyDescent="0.3">
      <c r="A1155" t="s">
        <v>2026</v>
      </c>
      <c r="B1155" s="1">
        <v>40957</v>
      </c>
      <c r="C1155" s="1">
        <v>40961</v>
      </c>
      <c r="D1155" t="s">
        <v>791</v>
      </c>
      <c r="E1155" t="s">
        <v>22</v>
      </c>
      <c r="F1155" t="s">
        <v>23</v>
      </c>
      <c r="G1155" t="s">
        <v>2027</v>
      </c>
      <c r="H1155">
        <v>9.24</v>
      </c>
      <c r="I1155">
        <v>3</v>
      </c>
      <c r="J1155">
        <v>4.4352</v>
      </c>
      <c r="K1155">
        <v>2012</v>
      </c>
      <c r="L1155">
        <v>2</v>
      </c>
      <c r="M1155" t="s">
        <v>303</v>
      </c>
      <c r="N1155">
        <v>18</v>
      </c>
      <c r="O1155">
        <v>4</v>
      </c>
      <c r="P1155">
        <v>48</v>
      </c>
      <c r="Q1155">
        <v>3.08</v>
      </c>
      <c r="R1155" t="s">
        <v>26</v>
      </c>
      <c r="S1155" t="b">
        <v>0</v>
      </c>
      <c r="T1155" t="b">
        <v>0</v>
      </c>
    </row>
    <row r="1156" spans="1:20" x14ac:dyDescent="0.3">
      <c r="A1156" t="s">
        <v>2028</v>
      </c>
      <c r="B1156" s="1">
        <v>41731</v>
      </c>
      <c r="C1156" s="1">
        <v>41733</v>
      </c>
      <c r="D1156" t="s">
        <v>2029</v>
      </c>
      <c r="E1156" t="s">
        <v>51</v>
      </c>
      <c r="F1156" t="s">
        <v>317</v>
      </c>
      <c r="G1156" t="s">
        <v>2030</v>
      </c>
      <c r="H1156">
        <v>482.66399999999999</v>
      </c>
      <c r="I1156">
        <v>8</v>
      </c>
      <c r="J1156">
        <v>85.176000000000002</v>
      </c>
      <c r="K1156">
        <v>2014</v>
      </c>
      <c r="L1156">
        <v>4</v>
      </c>
      <c r="M1156" t="s">
        <v>236</v>
      </c>
      <c r="N1156">
        <v>2</v>
      </c>
      <c r="O1156">
        <v>2</v>
      </c>
      <c r="P1156">
        <v>17.649999999999999</v>
      </c>
      <c r="Q1156">
        <v>60.332999999999998</v>
      </c>
      <c r="R1156" t="s">
        <v>26</v>
      </c>
      <c r="S1156" t="b">
        <v>0</v>
      </c>
      <c r="T1156" t="b">
        <v>1</v>
      </c>
    </row>
    <row r="1157" spans="1:20" x14ac:dyDescent="0.3">
      <c r="A1157" t="s">
        <v>2031</v>
      </c>
      <c r="B1157" s="1">
        <v>41802</v>
      </c>
      <c r="C1157" s="1">
        <v>41804</v>
      </c>
      <c r="D1157" t="s">
        <v>888</v>
      </c>
      <c r="E1157" t="s">
        <v>39</v>
      </c>
      <c r="F1157" t="s">
        <v>72</v>
      </c>
      <c r="G1157" t="s">
        <v>2032</v>
      </c>
      <c r="H1157">
        <v>37.94</v>
      </c>
      <c r="I1157">
        <v>2</v>
      </c>
      <c r="J1157">
        <v>18.211200000000002</v>
      </c>
      <c r="K1157">
        <v>2014</v>
      </c>
      <c r="L1157">
        <v>6</v>
      </c>
      <c r="M1157" t="s">
        <v>25</v>
      </c>
      <c r="N1157">
        <v>12</v>
      </c>
      <c r="O1157">
        <v>2</v>
      </c>
      <c r="P1157">
        <v>48</v>
      </c>
      <c r="Q1157">
        <v>18.97</v>
      </c>
      <c r="R1157" t="s">
        <v>26</v>
      </c>
      <c r="S1157" t="b">
        <v>0</v>
      </c>
      <c r="T1157" t="b">
        <v>0</v>
      </c>
    </row>
    <row r="1158" spans="1:20" x14ac:dyDescent="0.3">
      <c r="A1158" t="s">
        <v>2031</v>
      </c>
      <c r="B1158" s="1">
        <v>41802</v>
      </c>
      <c r="C1158" s="1">
        <v>41804</v>
      </c>
      <c r="D1158" t="s">
        <v>888</v>
      </c>
      <c r="E1158" t="s">
        <v>39</v>
      </c>
      <c r="F1158" t="s">
        <v>33</v>
      </c>
      <c r="G1158" t="s">
        <v>578</v>
      </c>
      <c r="H1158">
        <v>18.288</v>
      </c>
      <c r="I1158">
        <v>6</v>
      </c>
      <c r="J1158">
        <v>6.6294000000000004</v>
      </c>
      <c r="K1158">
        <v>2014</v>
      </c>
      <c r="L1158">
        <v>6</v>
      </c>
      <c r="M1158" t="s">
        <v>25</v>
      </c>
      <c r="N1158">
        <v>12</v>
      </c>
      <c r="O1158">
        <v>2</v>
      </c>
      <c r="P1158">
        <v>36.25</v>
      </c>
      <c r="Q1158">
        <v>3.048</v>
      </c>
      <c r="R1158" t="s">
        <v>26</v>
      </c>
      <c r="S1158" t="b">
        <v>0</v>
      </c>
      <c r="T1158" t="b">
        <v>0</v>
      </c>
    </row>
    <row r="1159" spans="1:20" x14ac:dyDescent="0.3">
      <c r="A1159" t="s">
        <v>2031</v>
      </c>
      <c r="B1159" s="1">
        <v>41802</v>
      </c>
      <c r="C1159" s="1">
        <v>41804</v>
      </c>
      <c r="D1159" t="s">
        <v>888</v>
      </c>
      <c r="E1159" t="s">
        <v>39</v>
      </c>
      <c r="F1159" t="s">
        <v>793</v>
      </c>
      <c r="G1159" t="s">
        <v>2033</v>
      </c>
      <c r="H1159">
        <v>385.8</v>
      </c>
      <c r="I1159">
        <v>5</v>
      </c>
      <c r="J1159">
        <v>130.20750000000001</v>
      </c>
      <c r="K1159">
        <v>2014</v>
      </c>
      <c r="L1159">
        <v>6</v>
      </c>
      <c r="M1159" t="s">
        <v>25</v>
      </c>
      <c r="N1159">
        <v>12</v>
      </c>
      <c r="O1159">
        <v>2</v>
      </c>
      <c r="P1159">
        <v>33.75</v>
      </c>
      <c r="Q1159">
        <v>77.16</v>
      </c>
      <c r="R1159" t="s">
        <v>26</v>
      </c>
      <c r="S1159" t="b">
        <v>0</v>
      </c>
      <c r="T1159" t="b">
        <v>1</v>
      </c>
    </row>
    <row r="1160" spans="1:20" x14ac:dyDescent="0.3">
      <c r="A1160" t="s">
        <v>2031</v>
      </c>
      <c r="B1160" s="1">
        <v>41802</v>
      </c>
      <c r="C1160" s="1">
        <v>41804</v>
      </c>
      <c r="D1160" t="s">
        <v>888</v>
      </c>
      <c r="E1160" t="s">
        <v>39</v>
      </c>
      <c r="F1160" t="s">
        <v>45</v>
      </c>
      <c r="G1160" t="s">
        <v>897</v>
      </c>
      <c r="H1160">
        <v>102.96</v>
      </c>
      <c r="I1160">
        <v>2</v>
      </c>
      <c r="J1160">
        <v>1.0296000000000001</v>
      </c>
      <c r="K1160">
        <v>2014</v>
      </c>
      <c r="L1160">
        <v>6</v>
      </c>
      <c r="M1160" t="s">
        <v>25</v>
      </c>
      <c r="N1160">
        <v>12</v>
      </c>
      <c r="O1160">
        <v>2</v>
      </c>
      <c r="P1160">
        <v>1</v>
      </c>
      <c r="Q1160">
        <v>51.48</v>
      </c>
      <c r="R1160" t="s">
        <v>26</v>
      </c>
      <c r="S1160" t="b">
        <v>0</v>
      </c>
      <c r="T1160" t="b">
        <v>0</v>
      </c>
    </row>
    <row r="1161" spans="1:20" x14ac:dyDescent="0.3">
      <c r="A1161" t="s">
        <v>2031</v>
      </c>
      <c r="B1161" s="1">
        <v>41802</v>
      </c>
      <c r="C1161" s="1">
        <v>41804</v>
      </c>
      <c r="D1161" t="s">
        <v>888</v>
      </c>
      <c r="E1161" t="s">
        <v>39</v>
      </c>
      <c r="F1161" t="s">
        <v>317</v>
      </c>
      <c r="G1161" t="s">
        <v>2034</v>
      </c>
      <c r="H1161">
        <v>174.42</v>
      </c>
      <c r="I1161">
        <v>3</v>
      </c>
      <c r="J1161">
        <v>41.860799999999998</v>
      </c>
      <c r="K1161">
        <v>2014</v>
      </c>
      <c r="L1161">
        <v>6</v>
      </c>
      <c r="M1161" t="s">
        <v>25</v>
      </c>
      <c r="N1161">
        <v>12</v>
      </c>
      <c r="O1161">
        <v>2</v>
      </c>
      <c r="P1161">
        <v>24</v>
      </c>
      <c r="Q1161">
        <v>58.139999999999993</v>
      </c>
      <c r="R1161" t="s">
        <v>26</v>
      </c>
      <c r="S1161" t="b">
        <v>0</v>
      </c>
      <c r="T1161" t="b">
        <v>0</v>
      </c>
    </row>
    <row r="1162" spans="1:20" x14ac:dyDescent="0.3">
      <c r="A1162" t="s">
        <v>2035</v>
      </c>
      <c r="B1162" s="1">
        <v>40913</v>
      </c>
      <c r="C1162" s="1">
        <v>40918</v>
      </c>
      <c r="D1162" t="s">
        <v>2036</v>
      </c>
      <c r="E1162" t="s">
        <v>39</v>
      </c>
      <c r="F1162" t="s">
        <v>110</v>
      </c>
      <c r="G1162" t="s">
        <v>1562</v>
      </c>
      <c r="H1162">
        <v>61.584000000000003</v>
      </c>
      <c r="I1162">
        <v>1</v>
      </c>
      <c r="J1162">
        <v>-6.9282000000000004</v>
      </c>
      <c r="K1162">
        <v>2012</v>
      </c>
      <c r="L1162">
        <v>1</v>
      </c>
      <c r="M1162" t="s">
        <v>60</v>
      </c>
      <c r="N1162">
        <v>5</v>
      </c>
      <c r="O1162">
        <v>5</v>
      </c>
      <c r="P1162">
        <v>-11.25</v>
      </c>
      <c r="Q1162">
        <v>61.584000000000003</v>
      </c>
      <c r="R1162" t="s">
        <v>26</v>
      </c>
      <c r="S1162" t="b">
        <v>1</v>
      </c>
      <c r="T1162" t="b">
        <v>0</v>
      </c>
    </row>
    <row r="1163" spans="1:20" x14ac:dyDescent="0.3">
      <c r="A1163" t="s">
        <v>2037</v>
      </c>
      <c r="B1163" s="1">
        <v>41725</v>
      </c>
      <c r="C1163" s="1">
        <v>41727</v>
      </c>
      <c r="D1163" t="s">
        <v>1289</v>
      </c>
      <c r="E1163" t="s">
        <v>39</v>
      </c>
      <c r="F1163" t="s">
        <v>31</v>
      </c>
      <c r="G1163" t="s">
        <v>2038</v>
      </c>
      <c r="H1163">
        <v>19.829999999999998</v>
      </c>
      <c r="I1163">
        <v>1</v>
      </c>
      <c r="J1163">
        <v>5.9489999999999998</v>
      </c>
      <c r="K1163">
        <v>2014</v>
      </c>
      <c r="L1163">
        <v>3</v>
      </c>
      <c r="M1163" t="s">
        <v>135</v>
      </c>
      <c r="N1163">
        <v>27</v>
      </c>
      <c r="O1163">
        <v>2</v>
      </c>
      <c r="P1163">
        <v>30</v>
      </c>
      <c r="Q1163">
        <v>19.829999999999998</v>
      </c>
      <c r="R1163" t="s">
        <v>26</v>
      </c>
      <c r="S1163" t="b">
        <v>0</v>
      </c>
      <c r="T1163" t="b">
        <v>0</v>
      </c>
    </row>
    <row r="1164" spans="1:20" x14ac:dyDescent="0.3">
      <c r="A1164" t="s">
        <v>2039</v>
      </c>
      <c r="B1164" s="1">
        <v>40806</v>
      </c>
      <c r="C1164" s="1">
        <v>40812</v>
      </c>
      <c r="D1164" t="s">
        <v>2040</v>
      </c>
      <c r="E1164" t="s">
        <v>22</v>
      </c>
      <c r="F1164" t="s">
        <v>35</v>
      </c>
      <c r="G1164" t="s">
        <v>155</v>
      </c>
      <c r="H1164">
        <v>43.92</v>
      </c>
      <c r="I1164">
        <v>4</v>
      </c>
      <c r="J1164">
        <v>11.8584</v>
      </c>
      <c r="K1164">
        <v>2011</v>
      </c>
      <c r="L1164">
        <v>9</v>
      </c>
      <c r="M1164" t="s">
        <v>87</v>
      </c>
      <c r="N1164">
        <v>20</v>
      </c>
      <c r="O1164">
        <v>6</v>
      </c>
      <c r="P1164">
        <v>27</v>
      </c>
      <c r="Q1164">
        <v>10.98</v>
      </c>
      <c r="R1164" t="s">
        <v>26</v>
      </c>
      <c r="S1164" t="b">
        <v>0</v>
      </c>
      <c r="T1164" t="b">
        <v>0</v>
      </c>
    </row>
    <row r="1165" spans="1:20" x14ac:dyDescent="0.3">
      <c r="A1165" t="s">
        <v>2039</v>
      </c>
      <c r="B1165" s="1">
        <v>40806</v>
      </c>
      <c r="C1165" s="1">
        <v>40812</v>
      </c>
      <c r="D1165" t="s">
        <v>2040</v>
      </c>
      <c r="E1165" t="s">
        <v>22</v>
      </c>
      <c r="F1165" t="s">
        <v>33</v>
      </c>
      <c r="G1165" t="s">
        <v>535</v>
      </c>
      <c r="H1165">
        <v>20.231999999999999</v>
      </c>
      <c r="I1165">
        <v>3</v>
      </c>
      <c r="J1165">
        <v>6.5754000000000001</v>
      </c>
      <c r="K1165">
        <v>2011</v>
      </c>
      <c r="L1165">
        <v>9</v>
      </c>
      <c r="M1165" t="s">
        <v>87</v>
      </c>
      <c r="N1165">
        <v>20</v>
      </c>
      <c r="O1165">
        <v>6</v>
      </c>
      <c r="P1165">
        <v>32.5</v>
      </c>
      <c r="Q1165">
        <v>6.7439999999999998</v>
      </c>
      <c r="R1165" t="s">
        <v>26</v>
      </c>
      <c r="S1165" t="b">
        <v>0</v>
      </c>
      <c r="T1165" t="b">
        <v>0</v>
      </c>
    </row>
    <row r="1166" spans="1:20" x14ac:dyDescent="0.3">
      <c r="A1166" t="s">
        <v>2041</v>
      </c>
      <c r="B1166" s="1">
        <v>40628</v>
      </c>
      <c r="C1166" s="1">
        <v>40632</v>
      </c>
      <c r="D1166" t="s">
        <v>2042</v>
      </c>
      <c r="E1166" t="s">
        <v>22</v>
      </c>
      <c r="F1166" t="s">
        <v>61</v>
      </c>
      <c r="G1166" t="s">
        <v>166</v>
      </c>
      <c r="H1166">
        <v>66.3</v>
      </c>
      <c r="I1166">
        <v>3</v>
      </c>
      <c r="J1166">
        <v>8.6189999999999998</v>
      </c>
      <c r="K1166">
        <v>2011</v>
      </c>
      <c r="L1166">
        <v>3</v>
      </c>
      <c r="M1166" t="s">
        <v>135</v>
      </c>
      <c r="N1166">
        <v>26</v>
      </c>
      <c r="O1166">
        <v>4</v>
      </c>
      <c r="P1166">
        <v>13</v>
      </c>
      <c r="Q1166">
        <v>22.1</v>
      </c>
      <c r="R1166" t="s">
        <v>26</v>
      </c>
      <c r="S1166" t="b">
        <v>0</v>
      </c>
      <c r="T1166" t="b">
        <v>0</v>
      </c>
    </row>
    <row r="1167" spans="1:20" x14ac:dyDescent="0.3">
      <c r="A1167" t="s">
        <v>2043</v>
      </c>
      <c r="B1167" s="1">
        <v>41156</v>
      </c>
      <c r="C1167" s="1">
        <v>41161</v>
      </c>
      <c r="D1167" t="s">
        <v>2044</v>
      </c>
      <c r="E1167" t="s">
        <v>1082</v>
      </c>
      <c r="F1167" t="s">
        <v>33</v>
      </c>
      <c r="G1167" t="s">
        <v>1747</v>
      </c>
      <c r="H1167">
        <v>9.7620000000000005</v>
      </c>
      <c r="I1167">
        <v>2</v>
      </c>
      <c r="J1167">
        <v>-6.8334000000000001</v>
      </c>
      <c r="K1167">
        <v>2012</v>
      </c>
      <c r="L1167">
        <v>9</v>
      </c>
      <c r="M1167" t="s">
        <v>87</v>
      </c>
      <c r="N1167">
        <v>4</v>
      </c>
      <c r="O1167">
        <v>5</v>
      </c>
      <c r="P1167">
        <v>-70</v>
      </c>
      <c r="Q1167">
        <v>4.8810000000000002</v>
      </c>
      <c r="R1167" t="s">
        <v>26</v>
      </c>
      <c r="S1167" t="b">
        <v>1</v>
      </c>
      <c r="T1167" t="b">
        <v>0</v>
      </c>
    </row>
    <row r="1168" spans="1:20" x14ac:dyDescent="0.3">
      <c r="A1168" t="s">
        <v>2045</v>
      </c>
      <c r="B1168" s="1">
        <v>41348</v>
      </c>
      <c r="C1168" s="1">
        <v>41350</v>
      </c>
      <c r="D1168" t="s">
        <v>2046</v>
      </c>
      <c r="E1168" t="s">
        <v>39</v>
      </c>
      <c r="F1168" t="s">
        <v>110</v>
      </c>
      <c r="G1168" t="s">
        <v>1072</v>
      </c>
      <c r="H1168">
        <v>196.78399999999999</v>
      </c>
      <c r="I1168">
        <v>2</v>
      </c>
      <c r="J1168">
        <v>-22.138200000000001</v>
      </c>
      <c r="K1168">
        <v>2013</v>
      </c>
      <c r="L1168">
        <v>3</v>
      </c>
      <c r="M1168" t="s">
        <v>135</v>
      </c>
      <c r="N1168">
        <v>15</v>
      </c>
      <c r="O1168">
        <v>2</v>
      </c>
      <c r="P1168">
        <v>-11.25</v>
      </c>
      <c r="Q1168">
        <v>98.391999999999996</v>
      </c>
      <c r="R1168" t="s">
        <v>26</v>
      </c>
      <c r="S1168" t="b">
        <v>1</v>
      </c>
      <c r="T1168" t="b">
        <v>0</v>
      </c>
    </row>
    <row r="1169" spans="1:20" x14ac:dyDescent="0.3">
      <c r="A1169" t="s">
        <v>2047</v>
      </c>
      <c r="B1169" s="1">
        <v>41842</v>
      </c>
      <c r="C1169" s="1">
        <v>41842</v>
      </c>
      <c r="D1169" t="s">
        <v>394</v>
      </c>
      <c r="E1169" t="s">
        <v>1507</v>
      </c>
      <c r="F1169" t="s">
        <v>54</v>
      </c>
      <c r="G1169" t="s">
        <v>2048</v>
      </c>
      <c r="H1169">
        <v>71.927999999999997</v>
      </c>
      <c r="I1169">
        <v>9</v>
      </c>
      <c r="J1169">
        <v>6.2937000000000003</v>
      </c>
      <c r="K1169">
        <v>2014</v>
      </c>
      <c r="L1169">
        <v>7</v>
      </c>
      <c r="M1169" t="s">
        <v>66</v>
      </c>
      <c r="N1169">
        <v>22</v>
      </c>
      <c r="O1169">
        <v>0</v>
      </c>
      <c r="P1169">
        <v>8.75</v>
      </c>
      <c r="Q1169">
        <v>7.992</v>
      </c>
      <c r="R1169" t="s">
        <v>26</v>
      </c>
      <c r="S1169" t="b">
        <v>0</v>
      </c>
      <c r="T1169" t="b">
        <v>0</v>
      </c>
    </row>
    <row r="1170" spans="1:20" x14ac:dyDescent="0.3">
      <c r="A1170" t="s">
        <v>2047</v>
      </c>
      <c r="B1170" s="1">
        <v>41842</v>
      </c>
      <c r="C1170" s="1">
        <v>41842</v>
      </c>
      <c r="D1170" t="s">
        <v>394</v>
      </c>
      <c r="E1170" t="s">
        <v>1507</v>
      </c>
      <c r="F1170" t="s">
        <v>31</v>
      </c>
      <c r="G1170" t="s">
        <v>1196</v>
      </c>
      <c r="H1170">
        <v>25.99</v>
      </c>
      <c r="I1170">
        <v>1</v>
      </c>
      <c r="J1170">
        <v>7.5370999999999997</v>
      </c>
      <c r="K1170">
        <v>2014</v>
      </c>
      <c r="L1170">
        <v>7</v>
      </c>
      <c r="M1170" t="s">
        <v>66</v>
      </c>
      <c r="N1170">
        <v>22</v>
      </c>
      <c r="O1170">
        <v>0</v>
      </c>
      <c r="P1170">
        <v>29</v>
      </c>
      <c r="Q1170">
        <v>25.99</v>
      </c>
      <c r="R1170" t="s">
        <v>26</v>
      </c>
      <c r="S1170" t="b">
        <v>0</v>
      </c>
      <c r="T1170" t="b">
        <v>0</v>
      </c>
    </row>
    <row r="1171" spans="1:20" x14ac:dyDescent="0.3">
      <c r="A1171" t="s">
        <v>2049</v>
      </c>
      <c r="B1171" s="1">
        <v>41205</v>
      </c>
      <c r="C1171" s="1">
        <v>41210</v>
      </c>
      <c r="D1171" t="s">
        <v>2050</v>
      </c>
      <c r="E1171" t="s">
        <v>39</v>
      </c>
      <c r="F1171" t="s">
        <v>33</v>
      </c>
      <c r="G1171" t="s">
        <v>241</v>
      </c>
      <c r="H1171">
        <v>3.5920000000000001</v>
      </c>
      <c r="I1171">
        <v>1</v>
      </c>
      <c r="J1171">
        <v>1.1225000000000001</v>
      </c>
      <c r="K1171">
        <v>2012</v>
      </c>
      <c r="L1171">
        <v>10</v>
      </c>
      <c r="M1171" t="s">
        <v>82</v>
      </c>
      <c r="N1171">
        <v>23</v>
      </c>
      <c r="O1171">
        <v>5</v>
      </c>
      <c r="P1171">
        <v>31.25</v>
      </c>
      <c r="Q1171">
        <v>3.5920000000000001</v>
      </c>
      <c r="R1171" t="s">
        <v>26</v>
      </c>
      <c r="S1171" t="b">
        <v>0</v>
      </c>
      <c r="T1171" t="b">
        <v>0</v>
      </c>
    </row>
    <row r="1172" spans="1:20" x14ac:dyDescent="0.3">
      <c r="A1172" t="s">
        <v>2051</v>
      </c>
      <c r="B1172" s="1">
        <v>41870</v>
      </c>
      <c r="C1172" s="1">
        <v>41874</v>
      </c>
      <c r="D1172" t="s">
        <v>2052</v>
      </c>
      <c r="E1172" t="s">
        <v>39</v>
      </c>
      <c r="F1172" t="s">
        <v>45</v>
      </c>
      <c r="G1172" t="s">
        <v>614</v>
      </c>
      <c r="H1172">
        <v>323.10000000000002</v>
      </c>
      <c r="I1172">
        <v>2</v>
      </c>
      <c r="J1172">
        <v>61.389000000000003</v>
      </c>
      <c r="K1172">
        <v>2014</v>
      </c>
      <c r="L1172">
        <v>8</v>
      </c>
      <c r="M1172" t="s">
        <v>53</v>
      </c>
      <c r="N1172">
        <v>19</v>
      </c>
      <c r="O1172">
        <v>4</v>
      </c>
      <c r="P1172">
        <v>19</v>
      </c>
      <c r="Q1172">
        <v>161.55000000000001</v>
      </c>
      <c r="R1172" t="s">
        <v>26</v>
      </c>
      <c r="S1172" t="b">
        <v>0</v>
      </c>
      <c r="T1172" t="b">
        <v>1</v>
      </c>
    </row>
    <row r="1173" spans="1:20" x14ac:dyDescent="0.3">
      <c r="A1173" t="s">
        <v>2053</v>
      </c>
      <c r="B1173" s="1">
        <v>41983</v>
      </c>
      <c r="C1173" s="1">
        <v>41987</v>
      </c>
      <c r="D1173" t="s">
        <v>710</v>
      </c>
      <c r="E1173" t="s">
        <v>22</v>
      </c>
      <c r="F1173" t="s">
        <v>31</v>
      </c>
      <c r="G1173" t="s">
        <v>1841</v>
      </c>
      <c r="H1173">
        <v>11.16</v>
      </c>
      <c r="I1173">
        <v>2</v>
      </c>
      <c r="J1173">
        <v>2.79</v>
      </c>
      <c r="K1173">
        <v>2014</v>
      </c>
      <c r="L1173">
        <v>12</v>
      </c>
      <c r="M1173" t="s">
        <v>41</v>
      </c>
      <c r="N1173">
        <v>10</v>
      </c>
      <c r="O1173">
        <v>4</v>
      </c>
      <c r="P1173">
        <v>25</v>
      </c>
      <c r="Q1173">
        <v>5.58</v>
      </c>
      <c r="R1173" t="s">
        <v>26</v>
      </c>
      <c r="S1173" t="b">
        <v>0</v>
      </c>
      <c r="T1173" t="b">
        <v>0</v>
      </c>
    </row>
    <row r="1174" spans="1:20" x14ac:dyDescent="0.3">
      <c r="A1174" t="s">
        <v>2053</v>
      </c>
      <c r="B1174" s="1">
        <v>41983</v>
      </c>
      <c r="C1174" s="1">
        <v>41987</v>
      </c>
      <c r="D1174" t="s">
        <v>710</v>
      </c>
      <c r="E1174" t="s">
        <v>22</v>
      </c>
      <c r="F1174" t="s">
        <v>35</v>
      </c>
      <c r="G1174" t="s">
        <v>2054</v>
      </c>
      <c r="H1174">
        <v>189</v>
      </c>
      <c r="I1174">
        <v>1</v>
      </c>
      <c r="J1174">
        <v>68.040000000000006</v>
      </c>
      <c r="K1174">
        <v>2014</v>
      </c>
      <c r="L1174">
        <v>12</v>
      </c>
      <c r="M1174" t="s">
        <v>41</v>
      </c>
      <c r="N1174">
        <v>10</v>
      </c>
      <c r="O1174">
        <v>4</v>
      </c>
      <c r="P1174">
        <v>36</v>
      </c>
      <c r="Q1174">
        <v>189</v>
      </c>
      <c r="R1174" t="s">
        <v>26</v>
      </c>
      <c r="S1174" t="b">
        <v>0</v>
      </c>
      <c r="T1174" t="b">
        <v>0</v>
      </c>
    </row>
    <row r="1175" spans="1:20" x14ac:dyDescent="0.3">
      <c r="A1175" t="s">
        <v>2055</v>
      </c>
      <c r="B1175" s="1">
        <v>41935</v>
      </c>
      <c r="C1175" s="1">
        <v>41940</v>
      </c>
      <c r="D1175" t="s">
        <v>2056</v>
      </c>
      <c r="E1175" t="s">
        <v>1045</v>
      </c>
      <c r="F1175" t="s">
        <v>174</v>
      </c>
      <c r="G1175" t="s">
        <v>1035</v>
      </c>
      <c r="H1175">
        <v>177.22499999999999</v>
      </c>
      <c r="I1175">
        <v>5</v>
      </c>
      <c r="J1175">
        <v>-120.51300000000001</v>
      </c>
      <c r="K1175">
        <v>2014</v>
      </c>
      <c r="L1175">
        <v>10</v>
      </c>
      <c r="M1175" t="s">
        <v>82</v>
      </c>
      <c r="N1175">
        <v>23</v>
      </c>
      <c r="O1175">
        <v>5</v>
      </c>
      <c r="P1175">
        <v>-68</v>
      </c>
      <c r="Q1175">
        <v>35.445</v>
      </c>
      <c r="R1175" t="s">
        <v>26</v>
      </c>
      <c r="S1175" t="b">
        <v>1</v>
      </c>
      <c r="T1175" t="b">
        <v>0</v>
      </c>
    </row>
    <row r="1176" spans="1:20" x14ac:dyDescent="0.3">
      <c r="A1176" t="s">
        <v>2057</v>
      </c>
      <c r="B1176" s="1">
        <v>41824</v>
      </c>
      <c r="C1176" s="1">
        <v>41831</v>
      </c>
      <c r="D1176" t="s">
        <v>848</v>
      </c>
      <c r="E1176" t="s">
        <v>2058</v>
      </c>
      <c r="F1176" t="s">
        <v>29</v>
      </c>
      <c r="G1176" t="s">
        <v>1967</v>
      </c>
      <c r="H1176">
        <v>129.38999999999999</v>
      </c>
      <c r="I1176">
        <v>3</v>
      </c>
      <c r="J1176">
        <v>54.343800000000002</v>
      </c>
      <c r="K1176">
        <v>2014</v>
      </c>
      <c r="L1176">
        <v>7</v>
      </c>
      <c r="M1176" t="s">
        <v>66</v>
      </c>
      <c r="N1176">
        <v>4</v>
      </c>
      <c r="O1176">
        <v>7</v>
      </c>
      <c r="P1176">
        <v>42</v>
      </c>
      <c r="Q1176">
        <v>43.13</v>
      </c>
      <c r="R1176" t="s">
        <v>26</v>
      </c>
      <c r="S1176" t="b">
        <v>0</v>
      </c>
      <c r="T1176" t="b">
        <v>0</v>
      </c>
    </row>
    <row r="1177" spans="1:20" x14ac:dyDescent="0.3">
      <c r="A1177" t="s">
        <v>2059</v>
      </c>
      <c r="B1177" s="1">
        <v>41887</v>
      </c>
      <c r="C1177" s="1">
        <v>41893</v>
      </c>
      <c r="D1177" t="s">
        <v>2060</v>
      </c>
      <c r="E1177" t="s">
        <v>22</v>
      </c>
      <c r="F1177" t="s">
        <v>45</v>
      </c>
      <c r="G1177" t="s">
        <v>2061</v>
      </c>
      <c r="H1177">
        <v>54.32</v>
      </c>
      <c r="I1177">
        <v>4</v>
      </c>
      <c r="J1177">
        <v>0.54320000000000002</v>
      </c>
      <c r="K1177">
        <v>2014</v>
      </c>
      <c r="L1177">
        <v>9</v>
      </c>
      <c r="M1177" t="s">
        <v>87</v>
      </c>
      <c r="N1177">
        <v>5</v>
      </c>
      <c r="O1177">
        <v>6</v>
      </c>
      <c r="P1177">
        <v>1</v>
      </c>
      <c r="Q1177">
        <v>13.58</v>
      </c>
      <c r="R1177" t="s">
        <v>26</v>
      </c>
      <c r="S1177" t="b">
        <v>0</v>
      </c>
      <c r="T1177" t="b">
        <v>0</v>
      </c>
    </row>
    <row r="1178" spans="1:20" x14ac:dyDescent="0.3">
      <c r="A1178" t="s">
        <v>2062</v>
      </c>
      <c r="B1178" s="1">
        <v>40842</v>
      </c>
      <c r="C1178" s="1">
        <v>40846</v>
      </c>
      <c r="D1178" t="s">
        <v>2063</v>
      </c>
      <c r="E1178" t="s">
        <v>39</v>
      </c>
      <c r="F1178" t="s">
        <v>29</v>
      </c>
      <c r="G1178" t="s">
        <v>365</v>
      </c>
      <c r="H1178">
        <v>63.92</v>
      </c>
      <c r="I1178">
        <v>4</v>
      </c>
      <c r="J1178">
        <v>3.1960000000000002</v>
      </c>
      <c r="K1178">
        <v>2011</v>
      </c>
      <c r="L1178">
        <v>10</v>
      </c>
      <c r="M1178" t="s">
        <v>82</v>
      </c>
      <c r="N1178">
        <v>26</v>
      </c>
      <c r="O1178">
        <v>4</v>
      </c>
      <c r="P1178">
        <v>5</v>
      </c>
      <c r="Q1178">
        <v>15.98</v>
      </c>
      <c r="R1178" t="s">
        <v>26</v>
      </c>
      <c r="S1178" t="b">
        <v>0</v>
      </c>
      <c r="T1178" t="b">
        <v>0</v>
      </c>
    </row>
    <row r="1179" spans="1:20" x14ac:dyDescent="0.3">
      <c r="A1179" t="s">
        <v>2062</v>
      </c>
      <c r="B1179" s="1">
        <v>40842</v>
      </c>
      <c r="C1179" s="1">
        <v>40846</v>
      </c>
      <c r="D1179" t="s">
        <v>2063</v>
      </c>
      <c r="E1179" t="s">
        <v>39</v>
      </c>
      <c r="F1179" t="s">
        <v>54</v>
      </c>
      <c r="G1179" t="s">
        <v>2064</v>
      </c>
      <c r="H1179">
        <v>383.96</v>
      </c>
      <c r="I1179">
        <v>5</v>
      </c>
      <c r="J1179">
        <v>38.396000000000001</v>
      </c>
      <c r="K1179">
        <v>2011</v>
      </c>
      <c r="L1179">
        <v>10</v>
      </c>
      <c r="M1179" t="s">
        <v>82</v>
      </c>
      <c r="N1179">
        <v>26</v>
      </c>
      <c r="O1179">
        <v>4</v>
      </c>
      <c r="P1179">
        <v>10</v>
      </c>
      <c r="Q1179">
        <v>76.792000000000002</v>
      </c>
      <c r="R1179" t="s">
        <v>26</v>
      </c>
      <c r="S1179" t="b">
        <v>0</v>
      </c>
      <c r="T1179" t="b">
        <v>1</v>
      </c>
    </row>
    <row r="1180" spans="1:20" x14ac:dyDescent="0.3">
      <c r="A1180" t="s">
        <v>2065</v>
      </c>
      <c r="B1180" s="1">
        <v>41454</v>
      </c>
      <c r="C1180" s="1">
        <v>41454</v>
      </c>
      <c r="D1180" t="s">
        <v>2066</v>
      </c>
      <c r="E1180" t="s">
        <v>22</v>
      </c>
      <c r="F1180" t="s">
        <v>33</v>
      </c>
      <c r="G1180" t="s">
        <v>409</v>
      </c>
      <c r="H1180">
        <v>7.7519999999999998</v>
      </c>
      <c r="I1180">
        <v>3</v>
      </c>
      <c r="J1180">
        <v>2.8100999999999998</v>
      </c>
      <c r="K1180">
        <v>2013</v>
      </c>
      <c r="L1180">
        <v>6</v>
      </c>
      <c r="M1180" t="s">
        <v>25</v>
      </c>
      <c r="N1180">
        <v>29</v>
      </c>
      <c r="O1180">
        <v>0</v>
      </c>
      <c r="P1180">
        <v>36.25</v>
      </c>
      <c r="Q1180">
        <v>2.5840000000000001</v>
      </c>
      <c r="R1180" t="s">
        <v>26</v>
      </c>
      <c r="S1180" t="b">
        <v>0</v>
      </c>
      <c r="T1180" t="b">
        <v>0</v>
      </c>
    </row>
    <row r="1181" spans="1:20" x14ac:dyDescent="0.3">
      <c r="A1181" t="s">
        <v>2065</v>
      </c>
      <c r="B1181" s="1">
        <v>41454</v>
      </c>
      <c r="C1181" s="1">
        <v>41454</v>
      </c>
      <c r="D1181" t="s">
        <v>2066</v>
      </c>
      <c r="E1181" t="s">
        <v>22</v>
      </c>
      <c r="F1181" t="s">
        <v>33</v>
      </c>
      <c r="G1181" t="s">
        <v>2067</v>
      </c>
      <c r="H1181">
        <v>33.567999999999998</v>
      </c>
      <c r="I1181">
        <v>2</v>
      </c>
      <c r="J1181">
        <v>11.748799999999999</v>
      </c>
      <c r="K1181">
        <v>2013</v>
      </c>
      <c r="L1181">
        <v>6</v>
      </c>
      <c r="M1181" t="s">
        <v>25</v>
      </c>
      <c r="N1181">
        <v>29</v>
      </c>
      <c r="O1181">
        <v>0</v>
      </c>
      <c r="P1181">
        <v>35</v>
      </c>
      <c r="Q1181">
        <v>16.783999999999999</v>
      </c>
      <c r="R1181" t="s">
        <v>26</v>
      </c>
      <c r="S1181" t="b">
        <v>0</v>
      </c>
      <c r="T1181" t="b">
        <v>0</v>
      </c>
    </row>
    <row r="1182" spans="1:20" x14ac:dyDescent="0.3">
      <c r="A1182" t="s">
        <v>2068</v>
      </c>
      <c r="B1182" s="1">
        <v>40851</v>
      </c>
      <c r="C1182" s="1">
        <v>40858</v>
      </c>
      <c r="D1182" t="s">
        <v>1216</v>
      </c>
      <c r="E1182" t="s">
        <v>22</v>
      </c>
      <c r="F1182" t="s">
        <v>33</v>
      </c>
      <c r="G1182" t="s">
        <v>792</v>
      </c>
      <c r="H1182">
        <v>21.936</v>
      </c>
      <c r="I1182">
        <v>3</v>
      </c>
      <c r="J1182">
        <v>8.2260000000000009</v>
      </c>
      <c r="K1182">
        <v>2011</v>
      </c>
      <c r="L1182">
        <v>11</v>
      </c>
      <c r="M1182" t="s">
        <v>70</v>
      </c>
      <c r="N1182">
        <v>4</v>
      </c>
      <c r="O1182">
        <v>7</v>
      </c>
      <c r="P1182">
        <v>37.5</v>
      </c>
      <c r="Q1182">
        <v>7.3120000000000003</v>
      </c>
      <c r="R1182" t="s">
        <v>26</v>
      </c>
      <c r="S1182" t="b">
        <v>0</v>
      </c>
      <c r="T1182" t="b">
        <v>0</v>
      </c>
    </row>
    <row r="1183" spans="1:20" x14ac:dyDescent="0.3">
      <c r="A1183" t="s">
        <v>2068</v>
      </c>
      <c r="B1183" s="1">
        <v>40851</v>
      </c>
      <c r="C1183" s="1">
        <v>40858</v>
      </c>
      <c r="D1183" t="s">
        <v>1216</v>
      </c>
      <c r="E1183" t="s">
        <v>22</v>
      </c>
      <c r="F1183" t="s">
        <v>72</v>
      </c>
      <c r="G1183" t="s">
        <v>2069</v>
      </c>
      <c r="H1183">
        <v>19.440000000000001</v>
      </c>
      <c r="I1183">
        <v>3</v>
      </c>
      <c r="J1183">
        <v>9.3312000000000008</v>
      </c>
      <c r="K1183">
        <v>2011</v>
      </c>
      <c r="L1183">
        <v>11</v>
      </c>
      <c r="M1183" t="s">
        <v>70</v>
      </c>
      <c r="N1183">
        <v>4</v>
      </c>
      <c r="O1183">
        <v>7</v>
      </c>
      <c r="P1183">
        <v>48</v>
      </c>
      <c r="Q1183">
        <v>6.48</v>
      </c>
      <c r="R1183" t="s">
        <v>26</v>
      </c>
      <c r="S1183" t="b">
        <v>0</v>
      </c>
      <c r="T1183" t="b">
        <v>0</v>
      </c>
    </row>
    <row r="1184" spans="1:20" x14ac:dyDescent="0.3">
      <c r="A1184" t="s">
        <v>2068</v>
      </c>
      <c r="B1184" s="1">
        <v>40851</v>
      </c>
      <c r="C1184" s="1">
        <v>40858</v>
      </c>
      <c r="D1184" t="s">
        <v>1216</v>
      </c>
      <c r="E1184" t="s">
        <v>22</v>
      </c>
      <c r="F1184" t="s">
        <v>793</v>
      </c>
      <c r="G1184" t="s">
        <v>2070</v>
      </c>
      <c r="H1184">
        <v>447.96800000000002</v>
      </c>
      <c r="I1184">
        <v>4</v>
      </c>
      <c r="J1184">
        <v>139.99</v>
      </c>
      <c r="K1184">
        <v>2011</v>
      </c>
      <c r="L1184">
        <v>11</v>
      </c>
      <c r="M1184" t="s">
        <v>70</v>
      </c>
      <c r="N1184">
        <v>4</v>
      </c>
      <c r="O1184">
        <v>7</v>
      </c>
      <c r="P1184">
        <v>31.25</v>
      </c>
      <c r="Q1184">
        <v>111.992</v>
      </c>
      <c r="R1184" t="s">
        <v>26</v>
      </c>
      <c r="S1184" t="b">
        <v>0</v>
      </c>
      <c r="T1184" t="b">
        <v>1</v>
      </c>
    </row>
    <row r="1185" spans="1:20" x14ac:dyDescent="0.3">
      <c r="A1185" t="s">
        <v>2071</v>
      </c>
      <c r="B1185" s="1">
        <v>41085</v>
      </c>
      <c r="C1185" s="1">
        <v>41091</v>
      </c>
      <c r="D1185" t="s">
        <v>455</v>
      </c>
      <c r="E1185" t="s">
        <v>22</v>
      </c>
      <c r="F1185" t="s">
        <v>31</v>
      </c>
      <c r="G1185" t="s">
        <v>155</v>
      </c>
      <c r="H1185">
        <v>20.96</v>
      </c>
      <c r="I1185">
        <v>2</v>
      </c>
      <c r="J1185">
        <v>5.24</v>
      </c>
      <c r="K1185">
        <v>2012</v>
      </c>
      <c r="L1185">
        <v>6</v>
      </c>
      <c r="M1185" t="s">
        <v>25</v>
      </c>
      <c r="N1185">
        <v>25</v>
      </c>
      <c r="O1185">
        <v>6</v>
      </c>
      <c r="P1185">
        <v>25</v>
      </c>
      <c r="Q1185">
        <v>10.48</v>
      </c>
      <c r="R1185" t="s">
        <v>26</v>
      </c>
      <c r="S1185" t="b">
        <v>0</v>
      </c>
      <c r="T1185" t="b">
        <v>0</v>
      </c>
    </row>
    <row r="1186" spans="1:20" x14ac:dyDescent="0.3">
      <c r="A1186" t="s">
        <v>2071</v>
      </c>
      <c r="B1186" s="1">
        <v>41085</v>
      </c>
      <c r="C1186" s="1">
        <v>41091</v>
      </c>
      <c r="D1186" t="s">
        <v>455</v>
      </c>
      <c r="E1186" t="s">
        <v>22</v>
      </c>
      <c r="F1186" t="s">
        <v>33</v>
      </c>
      <c r="G1186" t="s">
        <v>977</v>
      </c>
      <c r="H1186">
        <v>88.751999999999995</v>
      </c>
      <c r="I1186">
        <v>3</v>
      </c>
      <c r="J1186">
        <v>27.734999999999999</v>
      </c>
      <c r="K1186">
        <v>2012</v>
      </c>
      <c r="L1186">
        <v>6</v>
      </c>
      <c r="M1186" t="s">
        <v>25</v>
      </c>
      <c r="N1186">
        <v>25</v>
      </c>
      <c r="O1186">
        <v>6</v>
      </c>
      <c r="P1186">
        <v>31.25</v>
      </c>
      <c r="Q1186">
        <v>29.584</v>
      </c>
      <c r="R1186" t="s">
        <v>26</v>
      </c>
      <c r="S1186" t="b">
        <v>0</v>
      </c>
      <c r="T1186" t="b">
        <v>0</v>
      </c>
    </row>
    <row r="1187" spans="1:20" x14ac:dyDescent="0.3">
      <c r="A1187" t="s">
        <v>2071</v>
      </c>
      <c r="B1187" s="1">
        <v>41085</v>
      </c>
      <c r="C1187" s="1">
        <v>41091</v>
      </c>
      <c r="D1187" t="s">
        <v>455</v>
      </c>
      <c r="E1187" t="s">
        <v>22</v>
      </c>
      <c r="F1187" t="s">
        <v>45</v>
      </c>
      <c r="G1187" t="s">
        <v>429</v>
      </c>
      <c r="H1187">
        <v>304.23</v>
      </c>
      <c r="I1187">
        <v>3</v>
      </c>
      <c r="J1187">
        <v>9.1268999999999991</v>
      </c>
      <c r="K1187">
        <v>2012</v>
      </c>
      <c r="L1187">
        <v>6</v>
      </c>
      <c r="M1187" t="s">
        <v>25</v>
      </c>
      <c r="N1187">
        <v>25</v>
      </c>
      <c r="O1187">
        <v>6</v>
      </c>
      <c r="P1187">
        <v>3</v>
      </c>
      <c r="Q1187">
        <v>101.41</v>
      </c>
      <c r="R1187" t="s">
        <v>26</v>
      </c>
      <c r="S1187" t="b">
        <v>0</v>
      </c>
      <c r="T1187" t="b">
        <v>1</v>
      </c>
    </row>
    <row r="1188" spans="1:20" x14ac:dyDescent="0.3">
      <c r="A1188" t="s">
        <v>2072</v>
      </c>
      <c r="B1188" s="1">
        <v>41116</v>
      </c>
      <c r="C1188" s="1">
        <v>41123</v>
      </c>
      <c r="D1188" t="s">
        <v>201</v>
      </c>
      <c r="E1188" t="s">
        <v>51</v>
      </c>
      <c r="F1188" t="s">
        <v>128</v>
      </c>
      <c r="G1188" t="s">
        <v>2073</v>
      </c>
      <c r="H1188">
        <v>167.86</v>
      </c>
      <c r="I1188">
        <v>2</v>
      </c>
      <c r="J1188">
        <v>78.894199999999998</v>
      </c>
      <c r="K1188">
        <v>2012</v>
      </c>
      <c r="L1188">
        <v>7</v>
      </c>
      <c r="M1188" t="s">
        <v>66</v>
      </c>
      <c r="N1188">
        <v>26</v>
      </c>
      <c r="O1188">
        <v>7</v>
      </c>
      <c r="P1188">
        <v>47</v>
      </c>
      <c r="Q1188">
        <v>83.93</v>
      </c>
      <c r="R1188" t="s">
        <v>26</v>
      </c>
      <c r="S1188" t="b">
        <v>0</v>
      </c>
      <c r="T1188" t="b">
        <v>0</v>
      </c>
    </row>
    <row r="1189" spans="1:20" x14ac:dyDescent="0.3">
      <c r="A1189" t="s">
        <v>2074</v>
      </c>
      <c r="B1189" s="1">
        <v>40906</v>
      </c>
      <c r="C1189" s="1">
        <v>40911</v>
      </c>
      <c r="D1189" t="s">
        <v>2075</v>
      </c>
      <c r="E1189" t="s">
        <v>1364</v>
      </c>
      <c r="F1189" t="s">
        <v>54</v>
      </c>
      <c r="G1189" t="s">
        <v>2076</v>
      </c>
      <c r="H1189">
        <v>23.975999999999999</v>
      </c>
      <c r="I1189">
        <v>3</v>
      </c>
      <c r="J1189">
        <v>-5.6943000000000001</v>
      </c>
      <c r="K1189">
        <v>2011</v>
      </c>
      <c r="L1189">
        <v>12</v>
      </c>
      <c r="M1189" t="s">
        <v>41</v>
      </c>
      <c r="N1189">
        <v>29</v>
      </c>
      <c r="O1189">
        <v>5</v>
      </c>
      <c r="P1189">
        <v>-23.75</v>
      </c>
      <c r="Q1189">
        <v>7.992</v>
      </c>
      <c r="R1189" t="s">
        <v>26</v>
      </c>
      <c r="S1189" t="b">
        <v>1</v>
      </c>
      <c r="T1189" t="b">
        <v>0</v>
      </c>
    </row>
    <row r="1190" spans="1:20" x14ac:dyDescent="0.3">
      <c r="A1190" t="s">
        <v>2074</v>
      </c>
      <c r="B1190" s="1">
        <v>40906</v>
      </c>
      <c r="C1190" s="1">
        <v>40911</v>
      </c>
      <c r="D1190" t="s">
        <v>2075</v>
      </c>
      <c r="E1190" t="s">
        <v>1364</v>
      </c>
      <c r="F1190" t="s">
        <v>45</v>
      </c>
      <c r="G1190" t="s">
        <v>1296</v>
      </c>
      <c r="H1190">
        <v>33.29</v>
      </c>
      <c r="I1190">
        <v>1</v>
      </c>
      <c r="J1190">
        <v>7.9896000000000003</v>
      </c>
      <c r="K1190">
        <v>2011</v>
      </c>
      <c r="L1190">
        <v>12</v>
      </c>
      <c r="M1190" t="s">
        <v>41</v>
      </c>
      <c r="N1190">
        <v>29</v>
      </c>
      <c r="O1190">
        <v>5</v>
      </c>
      <c r="P1190">
        <v>24</v>
      </c>
      <c r="Q1190">
        <v>33.29</v>
      </c>
      <c r="R1190" t="s">
        <v>26</v>
      </c>
      <c r="S1190" t="b">
        <v>0</v>
      </c>
      <c r="T1190" t="b">
        <v>0</v>
      </c>
    </row>
    <row r="1191" spans="1:20" x14ac:dyDescent="0.3">
      <c r="A1191" t="s">
        <v>2077</v>
      </c>
      <c r="B1191" s="1">
        <v>41884</v>
      </c>
      <c r="C1191" s="1">
        <v>41889</v>
      </c>
      <c r="D1191" t="s">
        <v>2078</v>
      </c>
      <c r="E1191" t="s">
        <v>2079</v>
      </c>
      <c r="F1191" t="s">
        <v>61</v>
      </c>
      <c r="G1191" t="s">
        <v>2080</v>
      </c>
      <c r="H1191">
        <v>19.989999999999998</v>
      </c>
      <c r="I1191">
        <v>1</v>
      </c>
      <c r="J1191">
        <v>6.7965999999999998</v>
      </c>
      <c r="K1191">
        <v>2014</v>
      </c>
      <c r="L1191">
        <v>9</v>
      </c>
      <c r="M1191" t="s">
        <v>87</v>
      </c>
      <c r="N1191">
        <v>2</v>
      </c>
      <c r="O1191">
        <v>5</v>
      </c>
      <c r="P1191">
        <v>34</v>
      </c>
      <c r="Q1191">
        <v>19.989999999999998</v>
      </c>
      <c r="R1191" t="s">
        <v>26</v>
      </c>
      <c r="S1191" t="b">
        <v>0</v>
      </c>
      <c r="T1191" t="b">
        <v>0</v>
      </c>
    </row>
    <row r="1192" spans="1:20" x14ac:dyDescent="0.3">
      <c r="A1192" t="s">
        <v>2077</v>
      </c>
      <c r="B1192" s="1">
        <v>41884</v>
      </c>
      <c r="C1192" s="1">
        <v>41889</v>
      </c>
      <c r="D1192" t="s">
        <v>2078</v>
      </c>
      <c r="E1192" t="s">
        <v>2079</v>
      </c>
      <c r="F1192" t="s">
        <v>33</v>
      </c>
      <c r="G1192" t="s">
        <v>2081</v>
      </c>
      <c r="H1192">
        <v>22.92</v>
      </c>
      <c r="I1192">
        <v>5</v>
      </c>
      <c r="J1192">
        <v>8.0220000000000002</v>
      </c>
      <c r="K1192">
        <v>2014</v>
      </c>
      <c r="L1192">
        <v>9</v>
      </c>
      <c r="M1192" t="s">
        <v>87</v>
      </c>
      <c r="N1192">
        <v>2</v>
      </c>
      <c r="O1192">
        <v>5</v>
      </c>
      <c r="P1192">
        <v>35</v>
      </c>
      <c r="Q1192">
        <v>4.5840000000000014</v>
      </c>
      <c r="R1192" t="s">
        <v>26</v>
      </c>
      <c r="S1192" t="b">
        <v>0</v>
      </c>
      <c r="T1192" t="b">
        <v>0</v>
      </c>
    </row>
    <row r="1193" spans="1:20" x14ac:dyDescent="0.3">
      <c r="A1193" t="s">
        <v>2082</v>
      </c>
      <c r="B1193" s="1">
        <v>41263</v>
      </c>
      <c r="C1193" s="1">
        <v>41267</v>
      </c>
      <c r="D1193" t="s">
        <v>482</v>
      </c>
      <c r="E1193" t="s">
        <v>2083</v>
      </c>
      <c r="F1193" t="s">
        <v>128</v>
      </c>
      <c r="G1193" t="s">
        <v>2084</v>
      </c>
      <c r="H1193">
        <v>7.92</v>
      </c>
      <c r="I1193">
        <v>1</v>
      </c>
      <c r="J1193">
        <v>2.7719999999999998</v>
      </c>
      <c r="K1193">
        <v>2012</v>
      </c>
      <c r="L1193">
        <v>12</v>
      </c>
      <c r="M1193" t="s">
        <v>41</v>
      </c>
      <c r="N1193">
        <v>20</v>
      </c>
      <c r="O1193">
        <v>4</v>
      </c>
      <c r="P1193">
        <v>35</v>
      </c>
      <c r="Q1193">
        <v>7.92</v>
      </c>
      <c r="R1193" t="s">
        <v>26</v>
      </c>
      <c r="S1193" t="b">
        <v>0</v>
      </c>
      <c r="T1193" t="b">
        <v>0</v>
      </c>
    </row>
    <row r="1194" spans="1:20" x14ac:dyDescent="0.3">
      <c r="A1194" t="s">
        <v>2082</v>
      </c>
      <c r="B1194" s="1">
        <v>41263</v>
      </c>
      <c r="C1194" s="1">
        <v>41267</v>
      </c>
      <c r="D1194" t="s">
        <v>482</v>
      </c>
      <c r="E1194" t="s">
        <v>2083</v>
      </c>
      <c r="F1194" t="s">
        <v>29</v>
      </c>
      <c r="G1194" t="s">
        <v>2085</v>
      </c>
      <c r="H1194">
        <v>14.368</v>
      </c>
      <c r="I1194">
        <v>2</v>
      </c>
      <c r="J1194">
        <v>3.9512</v>
      </c>
      <c r="K1194">
        <v>2012</v>
      </c>
      <c r="L1194">
        <v>12</v>
      </c>
      <c r="M1194" t="s">
        <v>41</v>
      </c>
      <c r="N1194">
        <v>20</v>
      </c>
      <c r="O1194">
        <v>4</v>
      </c>
      <c r="P1194">
        <v>27.5</v>
      </c>
      <c r="Q1194">
        <v>7.1840000000000002</v>
      </c>
      <c r="R1194" t="s">
        <v>26</v>
      </c>
      <c r="S1194" t="b">
        <v>0</v>
      </c>
      <c r="T1194" t="b">
        <v>0</v>
      </c>
    </row>
    <row r="1195" spans="1:20" x14ac:dyDescent="0.3">
      <c r="A1195" t="s">
        <v>2086</v>
      </c>
      <c r="B1195" s="1">
        <v>41240</v>
      </c>
      <c r="C1195" s="1">
        <v>41244</v>
      </c>
      <c r="D1195" t="s">
        <v>1972</v>
      </c>
      <c r="E1195" t="s">
        <v>22</v>
      </c>
      <c r="F1195" t="s">
        <v>61</v>
      </c>
      <c r="G1195" t="s">
        <v>275</v>
      </c>
      <c r="H1195">
        <v>107.97</v>
      </c>
      <c r="I1195">
        <v>3</v>
      </c>
      <c r="J1195">
        <v>22.6737</v>
      </c>
      <c r="K1195">
        <v>2012</v>
      </c>
      <c r="L1195">
        <v>11</v>
      </c>
      <c r="M1195" t="s">
        <v>70</v>
      </c>
      <c r="N1195">
        <v>27</v>
      </c>
      <c r="O1195">
        <v>4</v>
      </c>
      <c r="P1195">
        <v>21</v>
      </c>
      <c r="Q1195">
        <v>35.99</v>
      </c>
      <c r="R1195" t="s">
        <v>26</v>
      </c>
      <c r="S1195" t="b">
        <v>0</v>
      </c>
      <c r="T1195" t="b">
        <v>0</v>
      </c>
    </row>
    <row r="1196" spans="1:20" x14ac:dyDescent="0.3">
      <c r="A1196" t="s">
        <v>2086</v>
      </c>
      <c r="B1196" s="1">
        <v>41240</v>
      </c>
      <c r="C1196" s="1">
        <v>41244</v>
      </c>
      <c r="D1196" t="s">
        <v>1972</v>
      </c>
      <c r="E1196" t="s">
        <v>22</v>
      </c>
      <c r="F1196" t="s">
        <v>72</v>
      </c>
      <c r="G1196" t="s">
        <v>1581</v>
      </c>
      <c r="H1196">
        <v>113.82</v>
      </c>
      <c r="I1196">
        <v>3</v>
      </c>
      <c r="J1196">
        <v>53.495399999999997</v>
      </c>
      <c r="K1196">
        <v>2012</v>
      </c>
      <c r="L1196">
        <v>11</v>
      </c>
      <c r="M1196" t="s">
        <v>70</v>
      </c>
      <c r="N1196">
        <v>27</v>
      </c>
      <c r="O1196">
        <v>4</v>
      </c>
      <c r="P1196">
        <v>47</v>
      </c>
      <c r="Q1196">
        <v>37.94</v>
      </c>
      <c r="R1196" t="s">
        <v>26</v>
      </c>
      <c r="S1196" t="b">
        <v>0</v>
      </c>
      <c r="T1196" t="b">
        <v>0</v>
      </c>
    </row>
    <row r="1197" spans="1:20" x14ac:dyDescent="0.3">
      <c r="A1197" t="s">
        <v>2087</v>
      </c>
      <c r="B1197" s="1">
        <v>41718</v>
      </c>
      <c r="C1197" s="1">
        <v>41721</v>
      </c>
      <c r="D1197" t="s">
        <v>1540</v>
      </c>
      <c r="E1197" t="s">
        <v>51</v>
      </c>
      <c r="F1197" t="s">
        <v>33</v>
      </c>
      <c r="G1197" t="s">
        <v>749</v>
      </c>
      <c r="H1197">
        <v>19.824000000000002</v>
      </c>
      <c r="I1197">
        <v>6</v>
      </c>
      <c r="J1197">
        <v>6.6905999999999999</v>
      </c>
      <c r="K1197">
        <v>2014</v>
      </c>
      <c r="L1197">
        <v>3</v>
      </c>
      <c r="M1197" t="s">
        <v>135</v>
      </c>
      <c r="N1197">
        <v>20</v>
      </c>
      <c r="O1197">
        <v>3</v>
      </c>
      <c r="P1197">
        <v>33.75</v>
      </c>
      <c r="Q1197">
        <v>3.3039999999999998</v>
      </c>
      <c r="R1197" t="s">
        <v>26</v>
      </c>
      <c r="S1197" t="b">
        <v>0</v>
      </c>
      <c r="T1197" t="b">
        <v>0</v>
      </c>
    </row>
    <row r="1198" spans="1:20" x14ac:dyDescent="0.3">
      <c r="A1198" t="s">
        <v>2087</v>
      </c>
      <c r="B1198" s="1">
        <v>41718</v>
      </c>
      <c r="C1198" s="1">
        <v>41721</v>
      </c>
      <c r="D1198" t="s">
        <v>1540</v>
      </c>
      <c r="E1198" t="s">
        <v>51</v>
      </c>
      <c r="F1198" t="s">
        <v>61</v>
      </c>
      <c r="G1198" t="s">
        <v>100</v>
      </c>
      <c r="H1198">
        <v>99.54</v>
      </c>
      <c r="I1198">
        <v>2</v>
      </c>
      <c r="J1198">
        <v>10.949400000000001</v>
      </c>
      <c r="K1198">
        <v>2014</v>
      </c>
      <c r="L1198">
        <v>3</v>
      </c>
      <c r="M1198" t="s">
        <v>135</v>
      </c>
      <c r="N1198">
        <v>20</v>
      </c>
      <c r="O1198">
        <v>3</v>
      </c>
      <c r="P1198">
        <v>11</v>
      </c>
      <c r="Q1198">
        <v>49.77</v>
      </c>
      <c r="R1198" t="s">
        <v>26</v>
      </c>
      <c r="S1198" t="b">
        <v>0</v>
      </c>
      <c r="T1198" t="b">
        <v>0</v>
      </c>
    </row>
    <row r="1199" spans="1:20" x14ac:dyDescent="0.3">
      <c r="A1199" t="s">
        <v>2087</v>
      </c>
      <c r="B1199" s="1">
        <v>41718</v>
      </c>
      <c r="C1199" s="1">
        <v>41721</v>
      </c>
      <c r="D1199" t="s">
        <v>1540</v>
      </c>
      <c r="E1199" t="s">
        <v>51</v>
      </c>
      <c r="F1199" t="s">
        <v>61</v>
      </c>
      <c r="G1199" t="s">
        <v>1193</v>
      </c>
      <c r="H1199">
        <v>199.96</v>
      </c>
      <c r="I1199">
        <v>4</v>
      </c>
      <c r="J1199">
        <v>85.982799999999997</v>
      </c>
      <c r="K1199">
        <v>2014</v>
      </c>
      <c r="L1199">
        <v>3</v>
      </c>
      <c r="M1199" t="s">
        <v>135</v>
      </c>
      <c r="N1199">
        <v>20</v>
      </c>
      <c r="O1199">
        <v>3</v>
      </c>
      <c r="P1199">
        <v>43</v>
      </c>
      <c r="Q1199">
        <v>49.99</v>
      </c>
      <c r="R1199" t="s">
        <v>26</v>
      </c>
      <c r="S1199" t="b">
        <v>0</v>
      </c>
      <c r="T1199" t="b">
        <v>0</v>
      </c>
    </row>
    <row r="1200" spans="1:20" x14ac:dyDescent="0.3">
      <c r="A1200" t="s">
        <v>2088</v>
      </c>
      <c r="B1200" s="1">
        <v>41968</v>
      </c>
      <c r="C1200" s="1">
        <v>41973</v>
      </c>
      <c r="D1200" t="s">
        <v>2089</v>
      </c>
      <c r="E1200" t="s">
        <v>368</v>
      </c>
      <c r="F1200" t="s">
        <v>33</v>
      </c>
      <c r="G1200" t="s">
        <v>908</v>
      </c>
      <c r="H1200">
        <v>20.724</v>
      </c>
      <c r="I1200">
        <v>2</v>
      </c>
      <c r="J1200">
        <v>-15.1976</v>
      </c>
      <c r="K1200">
        <v>2014</v>
      </c>
      <c r="L1200">
        <v>11</v>
      </c>
      <c r="M1200" t="s">
        <v>70</v>
      </c>
      <c r="N1200">
        <v>25</v>
      </c>
      <c r="O1200">
        <v>5</v>
      </c>
      <c r="P1200">
        <v>-73.33</v>
      </c>
      <c r="Q1200">
        <v>10.362</v>
      </c>
      <c r="R1200" t="s">
        <v>26</v>
      </c>
      <c r="S1200" t="b">
        <v>1</v>
      </c>
      <c r="T1200" t="b">
        <v>0</v>
      </c>
    </row>
    <row r="1201" spans="1:20" x14ac:dyDescent="0.3">
      <c r="A1201" t="s">
        <v>2088</v>
      </c>
      <c r="B1201" s="1">
        <v>41968</v>
      </c>
      <c r="C1201" s="1">
        <v>41973</v>
      </c>
      <c r="D1201" t="s">
        <v>2089</v>
      </c>
      <c r="E1201" t="s">
        <v>368</v>
      </c>
      <c r="F1201" t="s">
        <v>45</v>
      </c>
      <c r="G1201" t="s">
        <v>1715</v>
      </c>
      <c r="H1201">
        <v>415.87200000000001</v>
      </c>
      <c r="I1201">
        <v>8</v>
      </c>
      <c r="J1201">
        <v>-41.587200000000003</v>
      </c>
      <c r="K1201">
        <v>2014</v>
      </c>
      <c r="L1201">
        <v>11</v>
      </c>
      <c r="M1201" t="s">
        <v>70</v>
      </c>
      <c r="N1201">
        <v>25</v>
      </c>
      <c r="O1201">
        <v>5</v>
      </c>
      <c r="P1201">
        <v>-10</v>
      </c>
      <c r="Q1201">
        <v>51.984000000000002</v>
      </c>
      <c r="R1201" t="s">
        <v>26</v>
      </c>
      <c r="S1201" t="b">
        <v>1</v>
      </c>
      <c r="T1201" t="b">
        <v>1</v>
      </c>
    </row>
    <row r="1202" spans="1:20" x14ac:dyDescent="0.3">
      <c r="A1202" t="s">
        <v>2090</v>
      </c>
      <c r="B1202" s="1">
        <v>41984</v>
      </c>
      <c r="C1202" s="1">
        <v>41986</v>
      </c>
      <c r="D1202" t="s">
        <v>2091</v>
      </c>
      <c r="E1202" t="s">
        <v>1210</v>
      </c>
      <c r="F1202" t="s">
        <v>54</v>
      </c>
      <c r="G1202" t="s">
        <v>1970</v>
      </c>
      <c r="H1202">
        <v>95.84</v>
      </c>
      <c r="I1202">
        <v>4</v>
      </c>
      <c r="J1202">
        <v>34.741999999999997</v>
      </c>
      <c r="K1202">
        <v>2014</v>
      </c>
      <c r="L1202">
        <v>12</v>
      </c>
      <c r="M1202" t="s">
        <v>41</v>
      </c>
      <c r="N1202">
        <v>11</v>
      </c>
      <c r="O1202">
        <v>2</v>
      </c>
      <c r="P1202">
        <v>36.25</v>
      </c>
      <c r="Q1202">
        <v>23.96</v>
      </c>
      <c r="R1202" t="s">
        <v>26</v>
      </c>
      <c r="S1202" t="b">
        <v>0</v>
      </c>
      <c r="T1202" t="b">
        <v>0</v>
      </c>
    </row>
    <row r="1203" spans="1:20" x14ac:dyDescent="0.3">
      <c r="A1203" t="s">
        <v>2090</v>
      </c>
      <c r="B1203" s="1">
        <v>41984</v>
      </c>
      <c r="C1203" s="1">
        <v>41986</v>
      </c>
      <c r="D1203" t="s">
        <v>2091</v>
      </c>
      <c r="E1203" t="s">
        <v>1210</v>
      </c>
      <c r="F1203" t="s">
        <v>72</v>
      </c>
      <c r="G1203" t="s">
        <v>414</v>
      </c>
      <c r="H1203">
        <v>12.96</v>
      </c>
      <c r="I1203">
        <v>2</v>
      </c>
      <c r="J1203">
        <v>6.2207999999999997</v>
      </c>
      <c r="K1203">
        <v>2014</v>
      </c>
      <c r="L1203">
        <v>12</v>
      </c>
      <c r="M1203" t="s">
        <v>41</v>
      </c>
      <c r="N1203">
        <v>11</v>
      </c>
      <c r="O1203">
        <v>2</v>
      </c>
      <c r="P1203">
        <v>48</v>
      </c>
      <c r="Q1203">
        <v>6.48</v>
      </c>
      <c r="R1203" t="s">
        <v>26</v>
      </c>
      <c r="S1203" t="b">
        <v>0</v>
      </c>
      <c r="T1203" t="b">
        <v>0</v>
      </c>
    </row>
    <row r="1204" spans="1:20" x14ac:dyDescent="0.3">
      <c r="A1204" t="s">
        <v>2092</v>
      </c>
      <c r="B1204" s="1">
        <v>40658</v>
      </c>
      <c r="C1204" s="1">
        <v>40663</v>
      </c>
      <c r="D1204" t="s">
        <v>817</v>
      </c>
      <c r="E1204" t="s">
        <v>2093</v>
      </c>
      <c r="F1204" t="s">
        <v>29</v>
      </c>
      <c r="G1204" t="s">
        <v>2094</v>
      </c>
      <c r="H1204">
        <v>303.25</v>
      </c>
      <c r="I1204">
        <v>5</v>
      </c>
      <c r="J1204">
        <v>63.682499999999997</v>
      </c>
      <c r="K1204">
        <v>2011</v>
      </c>
      <c r="L1204">
        <v>4</v>
      </c>
      <c r="M1204" t="s">
        <v>236</v>
      </c>
      <c r="N1204">
        <v>25</v>
      </c>
      <c r="O1204">
        <v>5</v>
      </c>
      <c r="P1204">
        <v>21</v>
      </c>
      <c r="Q1204">
        <v>60.65</v>
      </c>
      <c r="R1204" t="s">
        <v>26</v>
      </c>
      <c r="S1204" t="b">
        <v>0</v>
      </c>
      <c r="T1204" t="b">
        <v>1</v>
      </c>
    </row>
    <row r="1205" spans="1:20" x14ac:dyDescent="0.3">
      <c r="A1205" t="s">
        <v>2092</v>
      </c>
      <c r="B1205" s="1">
        <v>40658</v>
      </c>
      <c r="C1205" s="1">
        <v>40663</v>
      </c>
      <c r="D1205" t="s">
        <v>817</v>
      </c>
      <c r="E1205" t="s">
        <v>2093</v>
      </c>
      <c r="F1205" t="s">
        <v>35</v>
      </c>
      <c r="G1205" t="s">
        <v>2095</v>
      </c>
      <c r="H1205">
        <v>270.72000000000003</v>
      </c>
      <c r="I1205">
        <v>3</v>
      </c>
      <c r="J1205">
        <v>78.508799999999994</v>
      </c>
      <c r="K1205">
        <v>2011</v>
      </c>
      <c r="L1205">
        <v>4</v>
      </c>
      <c r="M1205" t="s">
        <v>236</v>
      </c>
      <c r="N1205">
        <v>25</v>
      </c>
      <c r="O1205">
        <v>5</v>
      </c>
      <c r="P1205">
        <v>29</v>
      </c>
      <c r="Q1205">
        <v>90.240000000000009</v>
      </c>
      <c r="R1205" t="s">
        <v>26</v>
      </c>
      <c r="S1205" t="b">
        <v>0</v>
      </c>
      <c r="T1205" t="b">
        <v>1</v>
      </c>
    </row>
    <row r="1206" spans="1:20" x14ac:dyDescent="0.3">
      <c r="A1206" t="s">
        <v>2096</v>
      </c>
      <c r="B1206" s="1">
        <v>41207</v>
      </c>
      <c r="C1206" s="1">
        <v>41212</v>
      </c>
      <c r="D1206" t="s">
        <v>2097</v>
      </c>
      <c r="E1206" t="s">
        <v>51</v>
      </c>
      <c r="F1206" t="s">
        <v>31</v>
      </c>
      <c r="G1206" t="s">
        <v>1740</v>
      </c>
      <c r="H1206">
        <v>60.45</v>
      </c>
      <c r="I1206">
        <v>3</v>
      </c>
      <c r="J1206">
        <v>16.3215</v>
      </c>
      <c r="K1206">
        <v>2012</v>
      </c>
      <c r="L1206">
        <v>10</v>
      </c>
      <c r="M1206" t="s">
        <v>82</v>
      </c>
      <c r="N1206">
        <v>25</v>
      </c>
      <c r="O1206">
        <v>5</v>
      </c>
      <c r="P1206">
        <v>27</v>
      </c>
      <c r="Q1206">
        <v>20.149999999999999</v>
      </c>
      <c r="R1206" t="s">
        <v>26</v>
      </c>
      <c r="S1206" t="b">
        <v>0</v>
      </c>
      <c r="T1206" t="b">
        <v>0</v>
      </c>
    </row>
    <row r="1207" spans="1:20" x14ac:dyDescent="0.3">
      <c r="A1207" t="s">
        <v>2096</v>
      </c>
      <c r="B1207" s="1">
        <v>41207</v>
      </c>
      <c r="C1207" s="1">
        <v>41212</v>
      </c>
      <c r="D1207" t="s">
        <v>2097</v>
      </c>
      <c r="E1207" t="s">
        <v>51</v>
      </c>
      <c r="F1207" t="s">
        <v>174</v>
      </c>
      <c r="G1207" t="s">
        <v>2098</v>
      </c>
      <c r="H1207">
        <v>253.17599999999999</v>
      </c>
      <c r="I1207">
        <v>3</v>
      </c>
      <c r="J1207">
        <v>-31.646999999999998</v>
      </c>
      <c r="K1207">
        <v>2012</v>
      </c>
      <c r="L1207">
        <v>10</v>
      </c>
      <c r="M1207" t="s">
        <v>82</v>
      </c>
      <c r="N1207">
        <v>25</v>
      </c>
      <c r="O1207">
        <v>5</v>
      </c>
      <c r="P1207">
        <v>-12.5</v>
      </c>
      <c r="Q1207">
        <v>84.391999999999996</v>
      </c>
      <c r="R1207" t="s">
        <v>26</v>
      </c>
      <c r="S1207" t="b">
        <v>1</v>
      </c>
      <c r="T1207" t="b">
        <v>1</v>
      </c>
    </row>
    <row r="1208" spans="1:20" x14ac:dyDescent="0.3">
      <c r="A1208" t="s">
        <v>2099</v>
      </c>
      <c r="B1208" s="1">
        <v>41575</v>
      </c>
      <c r="C1208" s="1">
        <v>41581</v>
      </c>
      <c r="D1208" t="s">
        <v>2100</v>
      </c>
      <c r="E1208" t="s">
        <v>51</v>
      </c>
      <c r="F1208" t="s">
        <v>35</v>
      </c>
      <c r="G1208" t="s">
        <v>155</v>
      </c>
      <c r="H1208">
        <v>43.92</v>
      </c>
      <c r="I1208">
        <v>4</v>
      </c>
      <c r="J1208">
        <v>11.8584</v>
      </c>
      <c r="K1208">
        <v>2013</v>
      </c>
      <c r="L1208">
        <v>10</v>
      </c>
      <c r="M1208" t="s">
        <v>82</v>
      </c>
      <c r="N1208">
        <v>28</v>
      </c>
      <c r="O1208">
        <v>6</v>
      </c>
      <c r="P1208">
        <v>27</v>
      </c>
      <c r="Q1208">
        <v>10.98</v>
      </c>
      <c r="R1208" t="s">
        <v>26</v>
      </c>
      <c r="S1208" t="b">
        <v>0</v>
      </c>
      <c r="T1208" t="b">
        <v>0</v>
      </c>
    </row>
    <row r="1209" spans="1:20" x14ac:dyDescent="0.3">
      <c r="A1209" t="s">
        <v>2099</v>
      </c>
      <c r="B1209" s="1">
        <v>41575</v>
      </c>
      <c r="C1209" s="1">
        <v>41581</v>
      </c>
      <c r="D1209" t="s">
        <v>2100</v>
      </c>
      <c r="E1209" t="s">
        <v>51</v>
      </c>
      <c r="F1209" t="s">
        <v>33</v>
      </c>
      <c r="G1209" t="s">
        <v>1233</v>
      </c>
      <c r="H1209">
        <v>25.032</v>
      </c>
      <c r="I1209">
        <v>3</v>
      </c>
      <c r="J1209">
        <v>7.8224999999999998</v>
      </c>
      <c r="K1209">
        <v>2013</v>
      </c>
      <c r="L1209">
        <v>10</v>
      </c>
      <c r="M1209" t="s">
        <v>82</v>
      </c>
      <c r="N1209">
        <v>28</v>
      </c>
      <c r="O1209">
        <v>6</v>
      </c>
      <c r="P1209">
        <v>31.25</v>
      </c>
      <c r="Q1209">
        <v>8.3439999999999994</v>
      </c>
      <c r="R1209" t="s">
        <v>26</v>
      </c>
      <c r="S1209" t="b">
        <v>0</v>
      </c>
      <c r="T1209" t="b">
        <v>0</v>
      </c>
    </row>
    <row r="1210" spans="1:20" x14ac:dyDescent="0.3">
      <c r="A1210" t="s">
        <v>2101</v>
      </c>
      <c r="B1210" s="1">
        <v>41594</v>
      </c>
      <c r="C1210" s="1">
        <v>41598</v>
      </c>
      <c r="D1210" t="s">
        <v>2102</v>
      </c>
      <c r="E1210" t="s">
        <v>194</v>
      </c>
      <c r="F1210" t="s">
        <v>54</v>
      </c>
      <c r="G1210" t="s">
        <v>2103</v>
      </c>
      <c r="H1210">
        <v>361.37599999999998</v>
      </c>
      <c r="I1210">
        <v>2</v>
      </c>
      <c r="J1210">
        <v>27.103200000000001</v>
      </c>
      <c r="K1210">
        <v>2013</v>
      </c>
      <c r="L1210">
        <v>11</v>
      </c>
      <c r="M1210" t="s">
        <v>70</v>
      </c>
      <c r="N1210">
        <v>16</v>
      </c>
      <c r="O1210">
        <v>4</v>
      </c>
      <c r="P1210">
        <v>7.5</v>
      </c>
      <c r="Q1210">
        <v>180.68799999999999</v>
      </c>
      <c r="R1210" t="s">
        <v>26</v>
      </c>
      <c r="S1210" t="b">
        <v>0</v>
      </c>
      <c r="T1210" t="b">
        <v>1</v>
      </c>
    </row>
    <row r="1211" spans="1:20" x14ac:dyDescent="0.3">
      <c r="A1211" t="s">
        <v>2104</v>
      </c>
      <c r="B1211" s="1">
        <v>41635</v>
      </c>
      <c r="C1211" s="1">
        <v>41636</v>
      </c>
      <c r="D1211" t="s">
        <v>762</v>
      </c>
      <c r="E1211" t="s">
        <v>216</v>
      </c>
      <c r="F1211" t="s">
        <v>31</v>
      </c>
      <c r="G1211" t="s">
        <v>2105</v>
      </c>
      <c r="H1211">
        <v>11.327999999999999</v>
      </c>
      <c r="I1211">
        <v>2</v>
      </c>
      <c r="J1211">
        <v>2.5488</v>
      </c>
      <c r="K1211">
        <v>2013</v>
      </c>
      <c r="L1211">
        <v>12</v>
      </c>
      <c r="M1211" t="s">
        <v>41</v>
      </c>
      <c r="N1211">
        <v>27</v>
      </c>
      <c r="O1211">
        <v>1</v>
      </c>
      <c r="P1211">
        <v>22.5</v>
      </c>
      <c r="Q1211">
        <v>5.6639999999999997</v>
      </c>
      <c r="R1211" t="s">
        <v>26</v>
      </c>
      <c r="S1211" t="b">
        <v>0</v>
      </c>
      <c r="T1211" t="b">
        <v>0</v>
      </c>
    </row>
    <row r="1212" spans="1:20" x14ac:dyDescent="0.3">
      <c r="A1212" t="s">
        <v>2106</v>
      </c>
      <c r="B1212" s="1">
        <v>40669</v>
      </c>
      <c r="C1212" s="1">
        <v>40674</v>
      </c>
      <c r="D1212" t="s">
        <v>1972</v>
      </c>
      <c r="E1212" t="s">
        <v>22</v>
      </c>
      <c r="F1212" t="s">
        <v>23</v>
      </c>
      <c r="G1212" t="s">
        <v>155</v>
      </c>
      <c r="H1212">
        <v>5.78</v>
      </c>
      <c r="I1212">
        <v>2</v>
      </c>
      <c r="J1212">
        <v>2.7166000000000001</v>
      </c>
      <c r="K1212">
        <v>2011</v>
      </c>
      <c r="L1212">
        <v>5</v>
      </c>
      <c r="M1212" t="s">
        <v>47</v>
      </c>
      <c r="N1212">
        <v>6</v>
      </c>
      <c r="O1212">
        <v>5</v>
      </c>
      <c r="P1212">
        <v>47</v>
      </c>
      <c r="Q1212">
        <v>2.89</v>
      </c>
      <c r="R1212" t="s">
        <v>26</v>
      </c>
      <c r="S1212" t="b">
        <v>0</v>
      </c>
      <c r="T1212" t="b">
        <v>0</v>
      </c>
    </row>
    <row r="1213" spans="1:20" x14ac:dyDescent="0.3">
      <c r="A1213" t="s">
        <v>2106</v>
      </c>
      <c r="B1213" s="1">
        <v>40669</v>
      </c>
      <c r="C1213" s="1">
        <v>40674</v>
      </c>
      <c r="D1213" t="s">
        <v>1972</v>
      </c>
      <c r="E1213" t="s">
        <v>22</v>
      </c>
      <c r="F1213" t="s">
        <v>31</v>
      </c>
      <c r="G1213" t="s">
        <v>519</v>
      </c>
      <c r="H1213">
        <v>107.94</v>
      </c>
      <c r="I1213">
        <v>6</v>
      </c>
      <c r="J1213">
        <v>30.223199999999999</v>
      </c>
      <c r="K1213">
        <v>2011</v>
      </c>
      <c r="L1213">
        <v>5</v>
      </c>
      <c r="M1213" t="s">
        <v>47</v>
      </c>
      <c r="N1213">
        <v>6</v>
      </c>
      <c r="O1213">
        <v>5</v>
      </c>
      <c r="P1213">
        <v>28</v>
      </c>
      <c r="Q1213">
        <v>17.989999999999998</v>
      </c>
      <c r="R1213" t="s">
        <v>26</v>
      </c>
      <c r="S1213" t="b">
        <v>0</v>
      </c>
      <c r="T1213" t="b">
        <v>0</v>
      </c>
    </row>
    <row r="1214" spans="1:20" x14ac:dyDescent="0.3">
      <c r="A1214" t="s">
        <v>2107</v>
      </c>
      <c r="B1214" s="1">
        <v>40876</v>
      </c>
      <c r="C1214" s="1">
        <v>40883</v>
      </c>
      <c r="D1214" t="s">
        <v>197</v>
      </c>
      <c r="E1214" t="s">
        <v>51</v>
      </c>
      <c r="F1214" t="s">
        <v>119</v>
      </c>
      <c r="G1214" t="s">
        <v>155</v>
      </c>
      <c r="H1214">
        <v>30.4</v>
      </c>
      <c r="I1214">
        <v>5</v>
      </c>
      <c r="J1214">
        <v>15.2</v>
      </c>
      <c r="K1214">
        <v>2011</v>
      </c>
      <c r="L1214">
        <v>11</v>
      </c>
      <c r="M1214" t="s">
        <v>70</v>
      </c>
      <c r="N1214">
        <v>29</v>
      </c>
      <c r="O1214">
        <v>7</v>
      </c>
      <c r="P1214">
        <v>50</v>
      </c>
      <c r="Q1214">
        <v>6.08</v>
      </c>
      <c r="R1214" t="s">
        <v>26</v>
      </c>
      <c r="S1214" t="b">
        <v>0</v>
      </c>
      <c r="T1214" t="b">
        <v>0</v>
      </c>
    </row>
    <row r="1215" spans="1:20" x14ac:dyDescent="0.3">
      <c r="A1215" t="s">
        <v>2108</v>
      </c>
      <c r="B1215" s="1">
        <v>41905</v>
      </c>
      <c r="C1215" s="1">
        <v>41911</v>
      </c>
      <c r="D1215" t="s">
        <v>2056</v>
      </c>
      <c r="E1215" t="s">
        <v>1364</v>
      </c>
      <c r="F1215" t="s">
        <v>72</v>
      </c>
      <c r="G1215" t="s">
        <v>2109</v>
      </c>
      <c r="H1215">
        <v>27.18</v>
      </c>
      <c r="I1215">
        <v>3</v>
      </c>
      <c r="J1215">
        <v>12.231</v>
      </c>
      <c r="K1215">
        <v>2014</v>
      </c>
      <c r="L1215">
        <v>9</v>
      </c>
      <c r="M1215" t="s">
        <v>87</v>
      </c>
      <c r="N1215">
        <v>23</v>
      </c>
      <c r="O1215">
        <v>6</v>
      </c>
      <c r="P1215">
        <v>45</v>
      </c>
      <c r="Q1215">
        <v>9.06</v>
      </c>
      <c r="R1215" t="s">
        <v>26</v>
      </c>
      <c r="S1215" t="b">
        <v>0</v>
      </c>
      <c r="T1215" t="b">
        <v>0</v>
      </c>
    </row>
    <row r="1216" spans="1:20" x14ac:dyDescent="0.3">
      <c r="A1216" t="s">
        <v>2110</v>
      </c>
      <c r="B1216" s="1">
        <v>41079</v>
      </c>
      <c r="C1216" s="1">
        <v>41083</v>
      </c>
      <c r="D1216" t="s">
        <v>190</v>
      </c>
      <c r="E1216" t="s">
        <v>22</v>
      </c>
      <c r="F1216" t="s">
        <v>29</v>
      </c>
      <c r="G1216" t="s">
        <v>2111</v>
      </c>
      <c r="H1216">
        <v>12.56</v>
      </c>
      <c r="I1216">
        <v>2</v>
      </c>
      <c r="J1216">
        <v>4.0191999999999997</v>
      </c>
      <c r="K1216">
        <v>2012</v>
      </c>
      <c r="L1216">
        <v>6</v>
      </c>
      <c r="M1216" t="s">
        <v>25</v>
      </c>
      <c r="N1216">
        <v>19</v>
      </c>
      <c r="O1216">
        <v>4</v>
      </c>
      <c r="P1216">
        <v>32</v>
      </c>
      <c r="Q1216">
        <v>6.28</v>
      </c>
      <c r="R1216" t="s">
        <v>26</v>
      </c>
      <c r="S1216" t="b">
        <v>0</v>
      </c>
      <c r="T1216" t="b">
        <v>0</v>
      </c>
    </row>
    <row r="1217" spans="1:20" x14ac:dyDescent="0.3">
      <c r="A1217" t="s">
        <v>2110</v>
      </c>
      <c r="B1217" s="1">
        <v>41079</v>
      </c>
      <c r="C1217" s="1">
        <v>41083</v>
      </c>
      <c r="D1217" t="s">
        <v>190</v>
      </c>
      <c r="E1217" t="s">
        <v>22</v>
      </c>
      <c r="F1217" t="s">
        <v>72</v>
      </c>
      <c r="G1217" t="s">
        <v>2112</v>
      </c>
      <c r="H1217">
        <v>6.48</v>
      </c>
      <c r="I1217">
        <v>1</v>
      </c>
      <c r="J1217">
        <v>3.1103999999999998</v>
      </c>
      <c r="K1217">
        <v>2012</v>
      </c>
      <c r="L1217">
        <v>6</v>
      </c>
      <c r="M1217" t="s">
        <v>25</v>
      </c>
      <c r="N1217">
        <v>19</v>
      </c>
      <c r="O1217">
        <v>4</v>
      </c>
      <c r="P1217">
        <v>48</v>
      </c>
      <c r="Q1217">
        <v>6.48</v>
      </c>
      <c r="R1217" t="s">
        <v>26</v>
      </c>
      <c r="S1217" t="b">
        <v>0</v>
      </c>
      <c r="T1217" t="b">
        <v>0</v>
      </c>
    </row>
    <row r="1218" spans="1:20" x14ac:dyDescent="0.3">
      <c r="A1218" t="s">
        <v>2110</v>
      </c>
      <c r="B1218" s="1">
        <v>41079</v>
      </c>
      <c r="C1218" s="1">
        <v>41083</v>
      </c>
      <c r="D1218" t="s">
        <v>190</v>
      </c>
      <c r="E1218" t="s">
        <v>22</v>
      </c>
      <c r="F1218" t="s">
        <v>128</v>
      </c>
      <c r="G1218" t="s">
        <v>1395</v>
      </c>
      <c r="H1218">
        <v>186.69</v>
      </c>
      <c r="I1218">
        <v>3</v>
      </c>
      <c r="J1218">
        <v>87.744299999999996</v>
      </c>
      <c r="K1218">
        <v>2012</v>
      </c>
      <c r="L1218">
        <v>6</v>
      </c>
      <c r="M1218" t="s">
        <v>25</v>
      </c>
      <c r="N1218">
        <v>19</v>
      </c>
      <c r="O1218">
        <v>4</v>
      </c>
      <c r="P1218">
        <v>47</v>
      </c>
      <c r="Q1218">
        <v>62.23</v>
      </c>
      <c r="R1218" t="s">
        <v>26</v>
      </c>
      <c r="S1218" t="b">
        <v>0</v>
      </c>
      <c r="T1218" t="b">
        <v>0</v>
      </c>
    </row>
    <row r="1219" spans="1:20" x14ac:dyDescent="0.3">
      <c r="A1219" t="s">
        <v>2113</v>
      </c>
      <c r="B1219" s="1">
        <v>41460</v>
      </c>
      <c r="C1219" s="1">
        <v>41462</v>
      </c>
      <c r="D1219" t="s">
        <v>2114</v>
      </c>
      <c r="E1219" t="s">
        <v>51</v>
      </c>
      <c r="F1219" t="s">
        <v>29</v>
      </c>
      <c r="G1219" t="s">
        <v>2115</v>
      </c>
      <c r="H1219">
        <v>25.4</v>
      </c>
      <c r="I1219">
        <v>5</v>
      </c>
      <c r="J1219">
        <v>8.6359999999999992</v>
      </c>
      <c r="K1219">
        <v>2013</v>
      </c>
      <c r="L1219">
        <v>7</v>
      </c>
      <c r="M1219" t="s">
        <v>66</v>
      </c>
      <c r="N1219">
        <v>5</v>
      </c>
      <c r="O1219">
        <v>2</v>
      </c>
      <c r="P1219">
        <v>34</v>
      </c>
      <c r="Q1219">
        <v>5.08</v>
      </c>
      <c r="R1219" t="s">
        <v>26</v>
      </c>
      <c r="S1219" t="b">
        <v>0</v>
      </c>
      <c r="T1219" t="b">
        <v>0</v>
      </c>
    </row>
    <row r="1220" spans="1:20" x14ac:dyDescent="0.3">
      <c r="A1220" t="s">
        <v>2113</v>
      </c>
      <c r="B1220" s="1">
        <v>41460</v>
      </c>
      <c r="C1220" s="1">
        <v>41462</v>
      </c>
      <c r="D1220" t="s">
        <v>2114</v>
      </c>
      <c r="E1220" t="s">
        <v>51</v>
      </c>
      <c r="F1220" t="s">
        <v>128</v>
      </c>
      <c r="G1220" t="s">
        <v>2116</v>
      </c>
      <c r="H1220">
        <v>43.96</v>
      </c>
      <c r="I1220">
        <v>2</v>
      </c>
      <c r="J1220">
        <v>20.661200000000001</v>
      </c>
      <c r="K1220">
        <v>2013</v>
      </c>
      <c r="L1220">
        <v>7</v>
      </c>
      <c r="M1220" t="s">
        <v>66</v>
      </c>
      <c r="N1220">
        <v>5</v>
      </c>
      <c r="O1220">
        <v>2</v>
      </c>
      <c r="P1220">
        <v>47</v>
      </c>
      <c r="Q1220">
        <v>21.98</v>
      </c>
      <c r="R1220" t="s">
        <v>26</v>
      </c>
      <c r="S1220" t="b">
        <v>0</v>
      </c>
      <c r="T1220" t="b">
        <v>0</v>
      </c>
    </row>
    <row r="1221" spans="1:20" x14ac:dyDescent="0.3">
      <c r="A1221" t="s">
        <v>2113</v>
      </c>
      <c r="B1221" s="1">
        <v>41460</v>
      </c>
      <c r="C1221" s="1">
        <v>41462</v>
      </c>
      <c r="D1221" t="s">
        <v>2114</v>
      </c>
      <c r="E1221" t="s">
        <v>51</v>
      </c>
      <c r="F1221" t="s">
        <v>45</v>
      </c>
      <c r="G1221" t="s">
        <v>552</v>
      </c>
      <c r="H1221">
        <v>27.92</v>
      </c>
      <c r="I1221">
        <v>4</v>
      </c>
      <c r="J1221">
        <v>0.55840000000000001</v>
      </c>
      <c r="K1221">
        <v>2013</v>
      </c>
      <c r="L1221">
        <v>7</v>
      </c>
      <c r="M1221" t="s">
        <v>66</v>
      </c>
      <c r="N1221">
        <v>5</v>
      </c>
      <c r="O1221">
        <v>2</v>
      </c>
      <c r="P1221">
        <v>2</v>
      </c>
      <c r="Q1221">
        <v>6.98</v>
      </c>
      <c r="R1221" t="s">
        <v>26</v>
      </c>
      <c r="S1221" t="b">
        <v>0</v>
      </c>
      <c r="T1221" t="b">
        <v>0</v>
      </c>
    </row>
    <row r="1222" spans="1:20" x14ac:dyDescent="0.3">
      <c r="A1222" t="s">
        <v>2117</v>
      </c>
      <c r="B1222" s="1">
        <v>41155</v>
      </c>
      <c r="C1222" s="1">
        <v>41160</v>
      </c>
      <c r="D1222" t="s">
        <v>2118</v>
      </c>
      <c r="E1222" t="s">
        <v>51</v>
      </c>
      <c r="F1222" t="s">
        <v>110</v>
      </c>
      <c r="G1222" t="s">
        <v>1199</v>
      </c>
      <c r="H1222">
        <v>129.56800000000001</v>
      </c>
      <c r="I1222">
        <v>2</v>
      </c>
      <c r="J1222">
        <v>-12.956799999999999</v>
      </c>
      <c r="K1222">
        <v>2012</v>
      </c>
      <c r="L1222">
        <v>9</v>
      </c>
      <c r="M1222" t="s">
        <v>87</v>
      </c>
      <c r="N1222">
        <v>3</v>
      </c>
      <c r="O1222">
        <v>5</v>
      </c>
      <c r="P1222">
        <v>-10</v>
      </c>
      <c r="Q1222">
        <v>64.784000000000006</v>
      </c>
      <c r="R1222" t="s">
        <v>26</v>
      </c>
      <c r="S1222" t="b">
        <v>1</v>
      </c>
      <c r="T1222" t="b">
        <v>0</v>
      </c>
    </row>
    <row r="1223" spans="1:20" x14ac:dyDescent="0.3">
      <c r="A1223" t="s">
        <v>2117</v>
      </c>
      <c r="B1223" s="1">
        <v>41155</v>
      </c>
      <c r="C1223" s="1">
        <v>41160</v>
      </c>
      <c r="D1223" t="s">
        <v>2118</v>
      </c>
      <c r="E1223" t="s">
        <v>51</v>
      </c>
      <c r="F1223" t="s">
        <v>33</v>
      </c>
      <c r="G1223" t="s">
        <v>106</v>
      </c>
      <c r="H1223">
        <v>6.3680000000000003</v>
      </c>
      <c r="I1223">
        <v>2</v>
      </c>
      <c r="J1223">
        <v>2.1492</v>
      </c>
      <c r="K1223">
        <v>2012</v>
      </c>
      <c r="L1223">
        <v>9</v>
      </c>
      <c r="M1223" t="s">
        <v>87</v>
      </c>
      <c r="N1223">
        <v>3</v>
      </c>
      <c r="O1223">
        <v>5</v>
      </c>
      <c r="P1223">
        <v>33.75</v>
      </c>
      <c r="Q1223">
        <v>3.1840000000000002</v>
      </c>
      <c r="R1223" t="s">
        <v>26</v>
      </c>
      <c r="S1223" t="b">
        <v>0</v>
      </c>
      <c r="T1223" t="b">
        <v>0</v>
      </c>
    </row>
    <row r="1224" spans="1:20" x14ac:dyDescent="0.3">
      <c r="A1224" t="s">
        <v>2119</v>
      </c>
      <c r="B1224" s="1">
        <v>41859</v>
      </c>
      <c r="C1224" s="1">
        <v>41864</v>
      </c>
      <c r="D1224" t="s">
        <v>1041</v>
      </c>
      <c r="E1224" t="s">
        <v>139</v>
      </c>
      <c r="F1224" t="s">
        <v>72</v>
      </c>
      <c r="G1224" t="s">
        <v>1414</v>
      </c>
      <c r="H1224">
        <v>244.55</v>
      </c>
      <c r="I1224">
        <v>5</v>
      </c>
      <c r="J1224">
        <v>114.9385</v>
      </c>
      <c r="K1224">
        <v>2014</v>
      </c>
      <c r="L1224">
        <v>8</v>
      </c>
      <c r="M1224" t="s">
        <v>53</v>
      </c>
      <c r="N1224">
        <v>8</v>
      </c>
      <c r="O1224">
        <v>5</v>
      </c>
      <c r="P1224">
        <v>47</v>
      </c>
      <c r="Q1224">
        <v>48.91</v>
      </c>
      <c r="R1224" t="s">
        <v>26</v>
      </c>
      <c r="S1224" t="b">
        <v>0</v>
      </c>
      <c r="T1224" t="b">
        <v>1</v>
      </c>
    </row>
    <row r="1225" spans="1:20" x14ac:dyDescent="0.3">
      <c r="A1225" t="s">
        <v>2120</v>
      </c>
      <c r="B1225" s="1">
        <v>41911</v>
      </c>
      <c r="C1225" s="1">
        <v>41914</v>
      </c>
      <c r="D1225" t="s">
        <v>474</v>
      </c>
      <c r="E1225" t="s">
        <v>99</v>
      </c>
      <c r="F1225" t="s">
        <v>29</v>
      </c>
      <c r="G1225" t="s">
        <v>420</v>
      </c>
      <c r="H1225">
        <v>32.776000000000003</v>
      </c>
      <c r="I1225">
        <v>1</v>
      </c>
      <c r="J1225">
        <v>3.2776000000000001</v>
      </c>
      <c r="K1225">
        <v>2014</v>
      </c>
      <c r="L1225">
        <v>9</v>
      </c>
      <c r="M1225" t="s">
        <v>87</v>
      </c>
      <c r="N1225">
        <v>29</v>
      </c>
      <c r="O1225">
        <v>3</v>
      </c>
      <c r="P1225">
        <v>10</v>
      </c>
      <c r="Q1225">
        <v>32.776000000000003</v>
      </c>
      <c r="R1225" t="s">
        <v>26</v>
      </c>
      <c r="S1225" t="b">
        <v>0</v>
      </c>
      <c r="T1225" t="b">
        <v>0</v>
      </c>
    </row>
    <row r="1226" spans="1:20" x14ac:dyDescent="0.3">
      <c r="A1226" t="s">
        <v>2120</v>
      </c>
      <c r="B1226" s="1">
        <v>41911</v>
      </c>
      <c r="C1226" s="1">
        <v>41914</v>
      </c>
      <c r="D1226" t="s">
        <v>474</v>
      </c>
      <c r="E1226" t="s">
        <v>99</v>
      </c>
      <c r="F1226" t="s">
        <v>45</v>
      </c>
      <c r="G1226" t="s">
        <v>2121</v>
      </c>
      <c r="H1226">
        <v>147.184</v>
      </c>
      <c r="I1226">
        <v>2</v>
      </c>
      <c r="J1226">
        <v>-29.436800000000002</v>
      </c>
      <c r="K1226">
        <v>2014</v>
      </c>
      <c r="L1226">
        <v>9</v>
      </c>
      <c r="M1226" t="s">
        <v>87</v>
      </c>
      <c r="N1226">
        <v>29</v>
      </c>
      <c r="O1226">
        <v>3</v>
      </c>
      <c r="P1226">
        <v>-20</v>
      </c>
      <c r="Q1226">
        <v>73.591999999999999</v>
      </c>
      <c r="R1226" t="s">
        <v>26</v>
      </c>
      <c r="S1226" t="b">
        <v>1</v>
      </c>
      <c r="T1226" t="b">
        <v>0</v>
      </c>
    </row>
    <row r="1227" spans="1:20" x14ac:dyDescent="0.3">
      <c r="A1227" t="s">
        <v>2120</v>
      </c>
      <c r="B1227" s="1">
        <v>41911</v>
      </c>
      <c r="C1227" s="1">
        <v>41914</v>
      </c>
      <c r="D1227" t="s">
        <v>474</v>
      </c>
      <c r="E1227" t="s">
        <v>99</v>
      </c>
      <c r="F1227" t="s">
        <v>61</v>
      </c>
      <c r="G1227" t="s">
        <v>2122</v>
      </c>
      <c r="H1227">
        <v>54.384</v>
      </c>
      <c r="I1227">
        <v>2</v>
      </c>
      <c r="J1227">
        <v>1.3595999999999999</v>
      </c>
      <c r="K1227">
        <v>2014</v>
      </c>
      <c r="L1227">
        <v>9</v>
      </c>
      <c r="M1227" t="s">
        <v>87</v>
      </c>
      <c r="N1227">
        <v>29</v>
      </c>
      <c r="O1227">
        <v>3</v>
      </c>
      <c r="P1227">
        <v>2.5</v>
      </c>
      <c r="Q1227">
        <v>27.192</v>
      </c>
      <c r="R1227" t="s">
        <v>26</v>
      </c>
      <c r="S1227" t="b">
        <v>0</v>
      </c>
      <c r="T1227" t="b">
        <v>0</v>
      </c>
    </row>
    <row r="1228" spans="1:20" x14ac:dyDescent="0.3">
      <c r="A1228" t="s">
        <v>2120</v>
      </c>
      <c r="B1228" s="1">
        <v>41911</v>
      </c>
      <c r="C1228" s="1">
        <v>41914</v>
      </c>
      <c r="D1228" t="s">
        <v>474</v>
      </c>
      <c r="E1228" t="s">
        <v>99</v>
      </c>
      <c r="F1228" t="s">
        <v>33</v>
      </c>
      <c r="G1228" t="s">
        <v>1241</v>
      </c>
      <c r="H1228">
        <v>76.775999999999996</v>
      </c>
      <c r="I1228">
        <v>4</v>
      </c>
      <c r="J1228">
        <v>-58.861600000000003</v>
      </c>
      <c r="K1228">
        <v>2014</v>
      </c>
      <c r="L1228">
        <v>9</v>
      </c>
      <c r="M1228" t="s">
        <v>87</v>
      </c>
      <c r="N1228">
        <v>29</v>
      </c>
      <c r="O1228">
        <v>3</v>
      </c>
      <c r="P1228">
        <v>-76.67</v>
      </c>
      <c r="Q1228">
        <v>19.193999999999999</v>
      </c>
      <c r="R1228" t="s">
        <v>26</v>
      </c>
      <c r="S1228" t="b">
        <v>1</v>
      </c>
      <c r="T1228" t="b">
        <v>0</v>
      </c>
    </row>
    <row r="1229" spans="1:20" x14ac:dyDescent="0.3">
      <c r="A1229" t="s">
        <v>2120</v>
      </c>
      <c r="B1229" s="1">
        <v>41911</v>
      </c>
      <c r="C1229" s="1">
        <v>41914</v>
      </c>
      <c r="D1229" t="s">
        <v>474</v>
      </c>
      <c r="E1229" t="s">
        <v>99</v>
      </c>
      <c r="F1229" t="s">
        <v>72</v>
      </c>
      <c r="G1229" t="s">
        <v>2123</v>
      </c>
      <c r="H1229">
        <v>14.352</v>
      </c>
      <c r="I1229">
        <v>3</v>
      </c>
      <c r="J1229">
        <v>5.2026000000000003</v>
      </c>
      <c r="K1229">
        <v>2014</v>
      </c>
      <c r="L1229">
        <v>9</v>
      </c>
      <c r="M1229" t="s">
        <v>87</v>
      </c>
      <c r="N1229">
        <v>29</v>
      </c>
      <c r="O1229">
        <v>3</v>
      </c>
      <c r="P1229">
        <v>36.25</v>
      </c>
      <c r="Q1229">
        <v>4.7839999999999998</v>
      </c>
      <c r="R1229" t="s">
        <v>26</v>
      </c>
      <c r="S1229" t="b">
        <v>0</v>
      </c>
      <c r="T1229" t="b">
        <v>0</v>
      </c>
    </row>
    <row r="1230" spans="1:20" x14ac:dyDescent="0.3">
      <c r="A1230" t="s">
        <v>2120</v>
      </c>
      <c r="B1230" s="1">
        <v>41911</v>
      </c>
      <c r="C1230" s="1">
        <v>41914</v>
      </c>
      <c r="D1230" t="s">
        <v>474</v>
      </c>
      <c r="E1230" t="s">
        <v>99</v>
      </c>
      <c r="F1230" t="s">
        <v>35</v>
      </c>
      <c r="G1230" t="s">
        <v>1776</v>
      </c>
      <c r="H1230">
        <v>209.792</v>
      </c>
      <c r="I1230">
        <v>2</v>
      </c>
      <c r="J1230">
        <v>26.224</v>
      </c>
      <c r="K1230">
        <v>2014</v>
      </c>
      <c r="L1230">
        <v>9</v>
      </c>
      <c r="M1230" t="s">
        <v>87</v>
      </c>
      <c r="N1230">
        <v>29</v>
      </c>
      <c r="O1230">
        <v>3</v>
      </c>
      <c r="P1230">
        <v>12.5</v>
      </c>
      <c r="Q1230">
        <v>104.896</v>
      </c>
      <c r="R1230" t="s">
        <v>26</v>
      </c>
      <c r="S1230" t="b">
        <v>0</v>
      </c>
      <c r="T1230" t="b">
        <v>0</v>
      </c>
    </row>
    <row r="1231" spans="1:20" x14ac:dyDescent="0.3">
      <c r="A1231" t="s">
        <v>2124</v>
      </c>
      <c r="B1231" s="1">
        <v>41128</v>
      </c>
      <c r="C1231" s="1">
        <v>41132</v>
      </c>
      <c r="D1231" t="s">
        <v>671</v>
      </c>
      <c r="E1231" t="s">
        <v>2022</v>
      </c>
      <c r="F1231" t="s">
        <v>33</v>
      </c>
      <c r="G1231" t="s">
        <v>749</v>
      </c>
      <c r="H1231">
        <v>3.3039999999999998</v>
      </c>
      <c r="I1231">
        <v>1</v>
      </c>
      <c r="J1231">
        <v>1.1151</v>
      </c>
      <c r="K1231">
        <v>2012</v>
      </c>
      <c r="L1231">
        <v>8</v>
      </c>
      <c r="M1231" t="s">
        <v>53</v>
      </c>
      <c r="N1231">
        <v>7</v>
      </c>
      <c r="O1231">
        <v>4</v>
      </c>
      <c r="P1231">
        <v>33.75</v>
      </c>
      <c r="Q1231">
        <v>3.3039999999999998</v>
      </c>
      <c r="R1231" t="s">
        <v>26</v>
      </c>
      <c r="S1231" t="b">
        <v>0</v>
      </c>
      <c r="T1231" t="b">
        <v>0</v>
      </c>
    </row>
    <row r="1232" spans="1:20" x14ac:dyDescent="0.3">
      <c r="A1232" t="s">
        <v>2125</v>
      </c>
      <c r="B1232" s="1">
        <v>41582</v>
      </c>
      <c r="C1232" s="1">
        <v>41587</v>
      </c>
      <c r="D1232" t="s">
        <v>326</v>
      </c>
      <c r="E1232" t="s">
        <v>22</v>
      </c>
      <c r="F1232" t="s">
        <v>119</v>
      </c>
      <c r="G1232" t="s">
        <v>692</v>
      </c>
      <c r="H1232">
        <v>15.26</v>
      </c>
      <c r="I1232">
        <v>7</v>
      </c>
      <c r="J1232">
        <v>5.0358000000000001</v>
      </c>
      <c r="K1232">
        <v>2013</v>
      </c>
      <c r="L1232">
        <v>11</v>
      </c>
      <c r="M1232" t="s">
        <v>70</v>
      </c>
      <c r="N1232">
        <v>4</v>
      </c>
      <c r="O1232">
        <v>5</v>
      </c>
      <c r="P1232">
        <v>33</v>
      </c>
      <c r="Q1232">
        <v>2.1800000000000002</v>
      </c>
      <c r="R1232" t="s">
        <v>26</v>
      </c>
      <c r="S1232" t="b">
        <v>0</v>
      </c>
      <c r="T1232" t="b">
        <v>0</v>
      </c>
    </row>
    <row r="1233" spans="1:20" x14ac:dyDescent="0.3">
      <c r="A1233" t="s">
        <v>2125</v>
      </c>
      <c r="B1233" s="1">
        <v>41582</v>
      </c>
      <c r="C1233" s="1">
        <v>41587</v>
      </c>
      <c r="D1233" t="s">
        <v>326</v>
      </c>
      <c r="E1233" t="s">
        <v>22</v>
      </c>
      <c r="F1233" t="s">
        <v>35</v>
      </c>
      <c r="G1233" t="s">
        <v>2126</v>
      </c>
      <c r="H1233">
        <v>43.32</v>
      </c>
      <c r="I1233">
        <v>2</v>
      </c>
      <c r="J1233">
        <v>14.2956</v>
      </c>
      <c r="K1233">
        <v>2013</v>
      </c>
      <c r="L1233">
        <v>11</v>
      </c>
      <c r="M1233" t="s">
        <v>70</v>
      </c>
      <c r="N1233">
        <v>4</v>
      </c>
      <c r="O1233">
        <v>5</v>
      </c>
      <c r="P1233">
        <v>33</v>
      </c>
      <c r="Q1233">
        <v>21.66</v>
      </c>
      <c r="R1233" t="s">
        <v>26</v>
      </c>
      <c r="S1233" t="b">
        <v>0</v>
      </c>
      <c r="T1233" t="b">
        <v>0</v>
      </c>
    </row>
    <row r="1234" spans="1:20" x14ac:dyDescent="0.3">
      <c r="A1234" t="s">
        <v>2125</v>
      </c>
      <c r="B1234" s="1">
        <v>41582</v>
      </c>
      <c r="C1234" s="1">
        <v>41587</v>
      </c>
      <c r="D1234" t="s">
        <v>326</v>
      </c>
      <c r="E1234" t="s">
        <v>22</v>
      </c>
      <c r="F1234" t="s">
        <v>33</v>
      </c>
      <c r="G1234" t="s">
        <v>872</v>
      </c>
      <c r="H1234">
        <v>43.584000000000003</v>
      </c>
      <c r="I1234">
        <v>12</v>
      </c>
      <c r="J1234">
        <v>15.799200000000001</v>
      </c>
      <c r="K1234">
        <v>2013</v>
      </c>
      <c r="L1234">
        <v>11</v>
      </c>
      <c r="M1234" t="s">
        <v>70</v>
      </c>
      <c r="N1234">
        <v>4</v>
      </c>
      <c r="O1234">
        <v>5</v>
      </c>
      <c r="P1234">
        <v>36.25</v>
      </c>
      <c r="Q1234">
        <v>3.6320000000000001</v>
      </c>
      <c r="R1234" t="s">
        <v>26</v>
      </c>
      <c r="S1234" t="b">
        <v>0</v>
      </c>
      <c r="T1234" t="b">
        <v>0</v>
      </c>
    </row>
    <row r="1235" spans="1:20" x14ac:dyDescent="0.3">
      <c r="A1235" t="s">
        <v>2125</v>
      </c>
      <c r="B1235" s="1">
        <v>41582</v>
      </c>
      <c r="C1235" s="1">
        <v>41587</v>
      </c>
      <c r="D1235" t="s">
        <v>326</v>
      </c>
      <c r="E1235" t="s">
        <v>22</v>
      </c>
      <c r="F1235" t="s">
        <v>72</v>
      </c>
      <c r="G1235" t="s">
        <v>2127</v>
      </c>
      <c r="H1235">
        <v>116.28</v>
      </c>
      <c r="I1235">
        <v>3</v>
      </c>
      <c r="J1235">
        <v>56.977200000000003</v>
      </c>
      <c r="K1235">
        <v>2013</v>
      </c>
      <c r="L1235">
        <v>11</v>
      </c>
      <c r="M1235" t="s">
        <v>70</v>
      </c>
      <c r="N1235">
        <v>4</v>
      </c>
      <c r="O1235">
        <v>5</v>
      </c>
      <c r="P1235">
        <v>49</v>
      </c>
      <c r="Q1235">
        <v>38.76</v>
      </c>
      <c r="R1235" t="s">
        <v>26</v>
      </c>
      <c r="S1235" t="b">
        <v>0</v>
      </c>
      <c r="T1235" t="b">
        <v>0</v>
      </c>
    </row>
    <row r="1236" spans="1:20" x14ac:dyDescent="0.3">
      <c r="A1236" t="s">
        <v>2125</v>
      </c>
      <c r="B1236" s="1">
        <v>41582</v>
      </c>
      <c r="C1236" s="1">
        <v>41587</v>
      </c>
      <c r="D1236" t="s">
        <v>326</v>
      </c>
      <c r="E1236" t="s">
        <v>22</v>
      </c>
      <c r="F1236" t="s">
        <v>33</v>
      </c>
      <c r="G1236" t="s">
        <v>550</v>
      </c>
      <c r="H1236">
        <v>9.2959999999999994</v>
      </c>
      <c r="I1236">
        <v>2</v>
      </c>
      <c r="J1236">
        <v>3.0211999999999999</v>
      </c>
      <c r="K1236">
        <v>2013</v>
      </c>
      <c r="L1236">
        <v>11</v>
      </c>
      <c r="M1236" t="s">
        <v>70</v>
      </c>
      <c r="N1236">
        <v>4</v>
      </c>
      <c r="O1236">
        <v>5</v>
      </c>
      <c r="P1236">
        <v>32.5</v>
      </c>
      <c r="Q1236">
        <v>4.6479999999999997</v>
      </c>
      <c r="R1236" t="s">
        <v>26</v>
      </c>
      <c r="S1236" t="b">
        <v>0</v>
      </c>
      <c r="T1236" t="b">
        <v>0</v>
      </c>
    </row>
    <row r="1237" spans="1:20" x14ac:dyDescent="0.3">
      <c r="A1237" t="s">
        <v>2125</v>
      </c>
      <c r="B1237" s="1">
        <v>41582</v>
      </c>
      <c r="C1237" s="1">
        <v>41587</v>
      </c>
      <c r="D1237" t="s">
        <v>326</v>
      </c>
      <c r="E1237" t="s">
        <v>22</v>
      </c>
      <c r="F1237" t="s">
        <v>72</v>
      </c>
      <c r="G1237" t="s">
        <v>1281</v>
      </c>
      <c r="H1237">
        <v>19.440000000000001</v>
      </c>
      <c r="I1237">
        <v>3</v>
      </c>
      <c r="J1237">
        <v>9.3312000000000008</v>
      </c>
      <c r="K1237">
        <v>2013</v>
      </c>
      <c r="L1237">
        <v>11</v>
      </c>
      <c r="M1237" t="s">
        <v>70</v>
      </c>
      <c r="N1237">
        <v>4</v>
      </c>
      <c r="O1237">
        <v>5</v>
      </c>
      <c r="P1237">
        <v>48</v>
      </c>
      <c r="Q1237">
        <v>6.48</v>
      </c>
      <c r="R1237" t="s">
        <v>26</v>
      </c>
      <c r="S1237" t="b">
        <v>0</v>
      </c>
      <c r="T1237" t="b">
        <v>0</v>
      </c>
    </row>
    <row r="1238" spans="1:20" x14ac:dyDescent="0.3">
      <c r="A1238" t="s">
        <v>2125</v>
      </c>
      <c r="B1238" s="1">
        <v>41582</v>
      </c>
      <c r="C1238" s="1">
        <v>41587</v>
      </c>
      <c r="D1238" t="s">
        <v>326</v>
      </c>
      <c r="E1238" t="s">
        <v>22</v>
      </c>
      <c r="F1238" t="s">
        <v>72</v>
      </c>
      <c r="G1238" t="s">
        <v>961</v>
      </c>
      <c r="H1238">
        <v>314.55</v>
      </c>
      <c r="I1238">
        <v>3</v>
      </c>
      <c r="J1238">
        <v>150.98400000000001</v>
      </c>
      <c r="K1238">
        <v>2013</v>
      </c>
      <c r="L1238">
        <v>11</v>
      </c>
      <c r="M1238" t="s">
        <v>70</v>
      </c>
      <c r="N1238">
        <v>4</v>
      </c>
      <c r="O1238">
        <v>5</v>
      </c>
      <c r="P1238">
        <v>48</v>
      </c>
      <c r="Q1238">
        <v>104.85</v>
      </c>
      <c r="R1238" t="s">
        <v>26</v>
      </c>
      <c r="S1238" t="b">
        <v>0</v>
      </c>
      <c r="T1238" t="b">
        <v>1</v>
      </c>
    </row>
    <row r="1239" spans="1:20" x14ac:dyDescent="0.3">
      <c r="A1239" t="s">
        <v>2128</v>
      </c>
      <c r="B1239" s="1">
        <v>41866</v>
      </c>
      <c r="C1239" s="1">
        <v>41873</v>
      </c>
      <c r="D1239" t="s">
        <v>2129</v>
      </c>
      <c r="E1239" t="s">
        <v>22</v>
      </c>
      <c r="F1239" t="s">
        <v>174</v>
      </c>
      <c r="G1239" t="s">
        <v>2130</v>
      </c>
      <c r="H1239">
        <v>418.29599999999999</v>
      </c>
      <c r="I1239">
        <v>3</v>
      </c>
      <c r="J1239">
        <v>5.2286999999999999</v>
      </c>
      <c r="K1239">
        <v>2014</v>
      </c>
      <c r="L1239">
        <v>8</v>
      </c>
      <c r="M1239" t="s">
        <v>53</v>
      </c>
      <c r="N1239">
        <v>15</v>
      </c>
      <c r="O1239">
        <v>7</v>
      </c>
      <c r="P1239">
        <v>1.25</v>
      </c>
      <c r="Q1239">
        <v>139.43199999999999</v>
      </c>
      <c r="R1239" t="s">
        <v>48</v>
      </c>
      <c r="S1239" t="b">
        <v>0</v>
      </c>
      <c r="T1239" t="b">
        <v>1</v>
      </c>
    </row>
    <row r="1240" spans="1:20" x14ac:dyDescent="0.3">
      <c r="A1240" t="s">
        <v>2131</v>
      </c>
      <c r="B1240" s="1">
        <v>41809</v>
      </c>
      <c r="C1240" s="1">
        <v>41814</v>
      </c>
      <c r="D1240" t="s">
        <v>1108</v>
      </c>
      <c r="E1240" t="s">
        <v>22</v>
      </c>
      <c r="F1240" t="s">
        <v>72</v>
      </c>
      <c r="G1240" t="s">
        <v>2132</v>
      </c>
      <c r="H1240">
        <v>38.880000000000003</v>
      </c>
      <c r="I1240">
        <v>6</v>
      </c>
      <c r="J1240">
        <v>19.051200000000001</v>
      </c>
      <c r="K1240">
        <v>2014</v>
      </c>
      <c r="L1240">
        <v>6</v>
      </c>
      <c r="M1240" t="s">
        <v>25</v>
      </c>
      <c r="N1240">
        <v>19</v>
      </c>
      <c r="O1240">
        <v>5</v>
      </c>
      <c r="P1240">
        <v>49</v>
      </c>
      <c r="Q1240">
        <v>6.48</v>
      </c>
      <c r="R1240" t="s">
        <v>26</v>
      </c>
      <c r="S1240" t="b">
        <v>0</v>
      </c>
      <c r="T1240" t="b">
        <v>0</v>
      </c>
    </row>
    <row r="1241" spans="1:20" x14ac:dyDescent="0.3">
      <c r="A1241" t="s">
        <v>2133</v>
      </c>
      <c r="B1241" s="1">
        <v>40868</v>
      </c>
      <c r="C1241" s="1">
        <v>40873</v>
      </c>
      <c r="D1241" t="s">
        <v>2134</v>
      </c>
      <c r="E1241" t="s">
        <v>51</v>
      </c>
      <c r="F1241" t="s">
        <v>72</v>
      </c>
      <c r="G1241" t="s">
        <v>2135</v>
      </c>
      <c r="H1241">
        <v>12.96</v>
      </c>
      <c r="I1241">
        <v>2</v>
      </c>
      <c r="J1241">
        <v>6.2207999999999997</v>
      </c>
      <c r="K1241">
        <v>2011</v>
      </c>
      <c r="L1241">
        <v>11</v>
      </c>
      <c r="M1241" t="s">
        <v>70</v>
      </c>
      <c r="N1241">
        <v>21</v>
      </c>
      <c r="O1241">
        <v>5</v>
      </c>
      <c r="P1241">
        <v>48</v>
      </c>
      <c r="Q1241">
        <v>6.48</v>
      </c>
      <c r="R1241" t="s">
        <v>48</v>
      </c>
      <c r="S1241" t="b">
        <v>0</v>
      </c>
      <c r="T1241" t="b">
        <v>0</v>
      </c>
    </row>
    <row r="1242" spans="1:20" x14ac:dyDescent="0.3">
      <c r="A1242" t="s">
        <v>2136</v>
      </c>
      <c r="B1242" s="1">
        <v>41375</v>
      </c>
      <c r="C1242" s="1">
        <v>41381</v>
      </c>
      <c r="D1242" t="s">
        <v>1053</v>
      </c>
      <c r="E1242" t="s">
        <v>1515</v>
      </c>
      <c r="F1242" t="s">
        <v>72</v>
      </c>
      <c r="G1242" t="s">
        <v>2137</v>
      </c>
      <c r="H1242">
        <v>12.96</v>
      </c>
      <c r="I1242">
        <v>2</v>
      </c>
      <c r="J1242">
        <v>6.2207999999999997</v>
      </c>
      <c r="K1242">
        <v>2013</v>
      </c>
      <c r="L1242">
        <v>4</v>
      </c>
      <c r="M1242" t="s">
        <v>236</v>
      </c>
      <c r="N1242">
        <v>11</v>
      </c>
      <c r="O1242">
        <v>6</v>
      </c>
      <c r="P1242">
        <v>48</v>
      </c>
      <c r="Q1242">
        <v>6.48</v>
      </c>
      <c r="R1242" t="s">
        <v>26</v>
      </c>
      <c r="S1242" t="b">
        <v>0</v>
      </c>
      <c r="T1242" t="b">
        <v>0</v>
      </c>
    </row>
    <row r="1243" spans="1:20" x14ac:dyDescent="0.3">
      <c r="A1243" t="s">
        <v>2136</v>
      </c>
      <c r="B1243" s="1">
        <v>41375</v>
      </c>
      <c r="C1243" s="1">
        <v>41381</v>
      </c>
      <c r="D1243" t="s">
        <v>1053</v>
      </c>
      <c r="E1243" t="s">
        <v>1515</v>
      </c>
      <c r="F1243" t="s">
        <v>33</v>
      </c>
      <c r="G1243" t="s">
        <v>1591</v>
      </c>
      <c r="H1243">
        <v>23.2</v>
      </c>
      <c r="I1243">
        <v>5</v>
      </c>
      <c r="J1243">
        <v>8.1199999999999992</v>
      </c>
      <c r="K1243">
        <v>2013</v>
      </c>
      <c r="L1243">
        <v>4</v>
      </c>
      <c r="M1243" t="s">
        <v>236</v>
      </c>
      <c r="N1243">
        <v>11</v>
      </c>
      <c r="O1243">
        <v>6</v>
      </c>
      <c r="P1243">
        <v>35</v>
      </c>
      <c r="Q1243">
        <v>4.6399999999999997</v>
      </c>
      <c r="R1243" t="s">
        <v>26</v>
      </c>
      <c r="S1243" t="b">
        <v>0</v>
      </c>
      <c r="T1243" t="b">
        <v>0</v>
      </c>
    </row>
    <row r="1244" spans="1:20" x14ac:dyDescent="0.3">
      <c r="A1244" t="s">
        <v>2138</v>
      </c>
      <c r="B1244" s="1">
        <v>40901</v>
      </c>
      <c r="C1244" s="1">
        <v>40906</v>
      </c>
      <c r="D1244" t="s">
        <v>725</v>
      </c>
      <c r="E1244" t="s">
        <v>22</v>
      </c>
      <c r="F1244" t="s">
        <v>54</v>
      </c>
      <c r="G1244" t="s">
        <v>2139</v>
      </c>
      <c r="H1244">
        <v>173.65600000000001</v>
      </c>
      <c r="I1244">
        <v>7</v>
      </c>
      <c r="J1244">
        <v>17.365600000000001</v>
      </c>
      <c r="K1244">
        <v>2011</v>
      </c>
      <c r="L1244">
        <v>12</v>
      </c>
      <c r="M1244" t="s">
        <v>41</v>
      </c>
      <c r="N1244">
        <v>24</v>
      </c>
      <c r="O1244">
        <v>5</v>
      </c>
      <c r="P1244">
        <v>10</v>
      </c>
      <c r="Q1244">
        <v>24.808</v>
      </c>
      <c r="R1244" t="s">
        <v>26</v>
      </c>
      <c r="S1244" t="b">
        <v>0</v>
      </c>
      <c r="T1244" t="b">
        <v>0</v>
      </c>
    </row>
    <row r="1245" spans="1:20" x14ac:dyDescent="0.3">
      <c r="A1245" t="s">
        <v>2138</v>
      </c>
      <c r="B1245" s="1">
        <v>40901</v>
      </c>
      <c r="C1245" s="1">
        <v>40906</v>
      </c>
      <c r="D1245" t="s">
        <v>725</v>
      </c>
      <c r="E1245" t="s">
        <v>22</v>
      </c>
      <c r="F1245" t="s">
        <v>35</v>
      </c>
      <c r="G1245" t="s">
        <v>2140</v>
      </c>
      <c r="H1245">
        <v>361.96</v>
      </c>
      <c r="I1245">
        <v>2</v>
      </c>
      <c r="J1245">
        <v>101.3488</v>
      </c>
      <c r="K1245">
        <v>2011</v>
      </c>
      <c r="L1245">
        <v>12</v>
      </c>
      <c r="M1245" t="s">
        <v>41</v>
      </c>
      <c r="N1245">
        <v>24</v>
      </c>
      <c r="O1245">
        <v>5</v>
      </c>
      <c r="P1245">
        <v>28</v>
      </c>
      <c r="Q1245">
        <v>180.98</v>
      </c>
      <c r="R1245" t="s">
        <v>26</v>
      </c>
      <c r="S1245" t="b">
        <v>0</v>
      </c>
      <c r="T1245" t="b">
        <v>1</v>
      </c>
    </row>
    <row r="1246" spans="1:20" x14ac:dyDescent="0.3">
      <c r="A1246" t="s">
        <v>2138</v>
      </c>
      <c r="B1246" s="1">
        <v>40901</v>
      </c>
      <c r="C1246" s="1">
        <v>40906</v>
      </c>
      <c r="D1246" t="s">
        <v>725</v>
      </c>
      <c r="E1246" t="s">
        <v>22</v>
      </c>
      <c r="F1246" t="s">
        <v>61</v>
      </c>
      <c r="G1246" t="s">
        <v>2141</v>
      </c>
      <c r="H1246">
        <v>62.85</v>
      </c>
      <c r="I1246">
        <v>3</v>
      </c>
      <c r="J1246">
        <v>13.198499999999999</v>
      </c>
      <c r="K1246">
        <v>2011</v>
      </c>
      <c r="L1246">
        <v>12</v>
      </c>
      <c r="M1246" t="s">
        <v>41</v>
      </c>
      <c r="N1246">
        <v>24</v>
      </c>
      <c r="O1246">
        <v>5</v>
      </c>
      <c r="P1246">
        <v>21</v>
      </c>
      <c r="Q1246">
        <v>20.95</v>
      </c>
      <c r="R1246" t="s">
        <v>26</v>
      </c>
      <c r="S1246" t="b">
        <v>0</v>
      </c>
      <c r="T1246" t="b">
        <v>0</v>
      </c>
    </row>
    <row r="1247" spans="1:20" x14ac:dyDescent="0.3">
      <c r="A1247" t="s">
        <v>2138</v>
      </c>
      <c r="B1247" s="1">
        <v>40901</v>
      </c>
      <c r="C1247" s="1">
        <v>40906</v>
      </c>
      <c r="D1247" t="s">
        <v>725</v>
      </c>
      <c r="E1247" t="s">
        <v>22</v>
      </c>
      <c r="F1247" t="s">
        <v>45</v>
      </c>
      <c r="G1247" t="s">
        <v>2142</v>
      </c>
      <c r="H1247">
        <v>20.34</v>
      </c>
      <c r="I1247">
        <v>1</v>
      </c>
      <c r="J1247">
        <v>0.2034</v>
      </c>
      <c r="K1247">
        <v>2011</v>
      </c>
      <c r="L1247">
        <v>12</v>
      </c>
      <c r="M1247" t="s">
        <v>41</v>
      </c>
      <c r="N1247">
        <v>24</v>
      </c>
      <c r="O1247">
        <v>5</v>
      </c>
      <c r="P1247">
        <v>1</v>
      </c>
      <c r="Q1247">
        <v>20.34</v>
      </c>
      <c r="R1247" t="s">
        <v>26</v>
      </c>
      <c r="S1247" t="b">
        <v>0</v>
      </c>
      <c r="T1247" t="b">
        <v>0</v>
      </c>
    </row>
    <row r="1248" spans="1:20" x14ac:dyDescent="0.3">
      <c r="A1248" t="s">
        <v>2138</v>
      </c>
      <c r="B1248" s="1">
        <v>40901</v>
      </c>
      <c r="C1248" s="1">
        <v>40906</v>
      </c>
      <c r="D1248" t="s">
        <v>725</v>
      </c>
      <c r="E1248" t="s">
        <v>22</v>
      </c>
      <c r="F1248" t="s">
        <v>29</v>
      </c>
      <c r="G1248" t="s">
        <v>2143</v>
      </c>
      <c r="H1248">
        <v>23.99</v>
      </c>
      <c r="I1248">
        <v>1</v>
      </c>
      <c r="J1248">
        <v>5.5176999999999996</v>
      </c>
      <c r="K1248">
        <v>2011</v>
      </c>
      <c r="L1248">
        <v>12</v>
      </c>
      <c r="M1248" t="s">
        <v>41</v>
      </c>
      <c r="N1248">
        <v>24</v>
      </c>
      <c r="O1248">
        <v>5</v>
      </c>
      <c r="P1248">
        <v>23</v>
      </c>
      <c r="Q1248">
        <v>23.99</v>
      </c>
      <c r="R1248" t="s">
        <v>26</v>
      </c>
      <c r="S1248" t="b">
        <v>0</v>
      </c>
      <c r="T1248" t="b">
        <v>0</v>
      </c>
    </row>
    <row r="1249" spans="1:20" x14ac:dyDescent="0.3">
      <c r="A1249" t="s">
        <v>2144</v>
      </c>
      <c r="B1249" s="1">
        <v>41783</v>
      </c>
      <c r="C1249" s="1">
        <v>41789</v>
      </c>
      <c r="D1249" t="s">
        <v>2145</v>
      </c>
      <c r="E1249" t="s">
        <v>22</v>
      </c>
      <c r="F1249" t="s">
        <v>174</v>
      </c>
      <c r="G1249" t="s">
        <v>1639</v>
      </c>
      <c r="H1249">
        <v>171.28800000000001</v>
      </c>
      <c r="I1249">
        <v>3</v>
      </c>
      <c r="J1249">
        <v>-6.4233000000000002</v>
      </c>
      <c r="K1249">
        <v>2014</v>
      </c>
      <c r="L1249">
        <v>5</v>
      </c>
      <c r="M1249" t="s">
        <v>47</v>
      </c>
      <c r="N1249">
        <v>24</v>
      </c>
      <c r="O1249">
        <v>6</v>
      </c>
      <c r="P1249">
        <v>-3.75</v>
      </c>
      <c r="Q1249">
        <v>57.095999999999997</v>
      </c>
      <c r="R1249" t="s">
        <v>48</v>
      </c>
      <c r="S1249" t="b">
        <v>1</v>
      </c>
      <c r="T1249" t="b">
        <v>0</v>
      </c>
    </row>
    <row r="1250" spans="1:20" x14ac:dyDescent="0.3">
      <c r="A1250" t="s">
        <v>2146</v>
      </c>
      <c r="B1250" s="1">
        <v>41550</v>
      </c>
      <c r="C1250" s="1">
        <v>41551</v>
      </c>
      <c r="D1250" t="s">
        <v>2147</v>
      </c>
      <c r="E1250" t="s">
        <v>105</v>
      </c>
      <c r="F1250" t="s">
        <v>33</v>
      </c>
      <c r="G1250" t="s">
        <v>2148</v>
      </c>
      <c r="H1250">
        <v>54.792000000000002</v>
      </c>
      <c r="I1250">
        <v>6</v>
      </c>
      <c r="J1250">
        <v>-40.180799999999998</v>
      </c>
      <c r="K1250">
        <v>2013</v>
      </c>
      <c r="L1250">
        <v>10</v>
      </c>
      <c r="M1250" t="s">
        <v>82</v>
      </c>
      <c r="N1250">
        <v>3</v>
      </c>
      <c r="O1250">
        <v>1</v>
      </c>
      <c r="P1250">
        <v>-73.33</v>
      </c>
      <c r="Q1250">
        <v>9.1319999999999997</v>
      </c>
      <c r="R1250" t="s">
        <v>26</v>
      </c>
      <c r="S1250" t="b">
        <v>1</v>
      </c>
      <c r="T1250" t="b">
        <v>0</v>
      </c>
    </row>
    <row r="1251" spans="1:20" x14ac:dyDescent="0.3">
      <c r="A1251" t="s">
        <v>2149</v>
      </c>
      <c r="B1251" s="1">
        <v>41533</v>
      </c>
      <c r="C1251" s="1">
        <v>41538</v>
      </c>
      <c r="D1251" t="s">
        <v>2150</v>
      </c>
      <c r="E1251" t="s">
        <v>39</v>
      </c>
      <c r="F1251" t="s">
        <v>72</v>
      </c>
      <c r="G1251" t="s">
        <v>2151</v>
      </c>
      <c r="H1251">
        <v>21.4</v>
      </c>
      <c r="I1251">
        <v>5</v>
      </c>
      <c r="J1251">
        <v>10.058</v>
      </c>
      <c r="K1251">
        <v>2013</v>
      </c>
      <c r="L1251">
        <v>9</v>
      </c>
      <c r="M1251" t="s">
        <v>87</v>
      </c>
      <c r="N1251">
        <v>16</v>
      </c>
      <c r="O1251">
        <v>5</v>
      </c>
      <c r="P1251">
        <v>47</v>
      </c>
      <c r="Q1251">
        <v>4.2799999999999994</v>
      </c>
      <c r="R1251" t="s">
        <v>26</v>
      </c>
      <c r="S1251" t="b">
        <v>0</v>
      </c>
      <c r="T1251" t="b">
        <v>0</v>
      </c>
    </row>
    <row r="1252" spans="1:20" x14ac:dyDescent="0.3">
      <c r="A1252" t="s">
        <v>2149</v>
      </c>
      <c r="B1252" s="1">
        <v>41533</v>
      </c>
      <c r="C1252" s="1">
        <v>41538</v>
      </c>
      <c r="D1252" t="s">
        <v>2150</v>
      </c>
      <c r="E1252" t="s">
        <v>39</v>
      </c>
      <c r="F1252" t="s">
        <v>33</v>
      </c>
      <c r="G1252" t="s">
        <v>757</v>
      </c>
      <c r="H1252">
        <v>48.664000000000001</v>
      </c>
      <c r="I1252">
        <v>7</v>
      </c>
      <c r="J1252">
        <v>15.815799999999999</v>
      </c>
      <c r="K1252">
        <v>2013</v>
      </c>
      <c r="L1252">
        <v>9</v>
      </c>
      <c r="M1252" t="s">
        <v>87</v>
      </c>
      <c r="N1252">
        <v>16</v>
      </c>
      <c r="O1252">
        <v>5</v>
      </c>
      <c r="P1252">
        <v>32.5</v>
      </c>
      <c r="Q1252">
        <v>6.952</v>
      </c>
      <c r="R1252" t="s">
        <v>26</v>
      </c>
      <c r="S1252" t="b">
        <v>0</v>
      </c>
      <c r="T1252" t="b">
        <v>0</v>
      </c>
    </row>
    <row r="1253" spans="1:20" x14ac:dyDescent="0.3">
      <c r="A1253" t="s">
        <v>2152</v>
      </c>
      <c r="B1253" s="1">
        <v>41543</v>
      </c>
      <c r="C1253" s="1">
        <v>41549</v>
      </c>
      <c r="D1253" t="s">
        <v>2153</v>
      </c>
      <c r="E1253" t="s">
        <v>51</v>
      </c>
      <c r="F1253" t="s">
        <v>31</v>
      </c>
      <c r="G1253" t="s">
        <v>2154</v>
      </c>
      <c r="H1253">
        <v>16.559999999999999</v>
      </c>
      <c r="I1253">
        <v>4</v>
      </c>
      <c r="J1253">
        <v>6.9551999999999996</v>
      </c>
      <c r="K1253">
        <v>2013</v>
      </c>
      <c r="L1253">
        <v>9</v>
      </c>
      <c r="M1253" t="s">
        <v>87</v>
      </c>
      <c r="N1253">
        <v>26</v>
      </c>
      <c r="O1253">
        <v>6</v>
      </c>
      <c r="P1253">
        <v>42</v>
      </c>
      <c r="Q1253">
        <v>4.1399999999999997</v>
      </c>
      <c r="R1253" t="s">
        <v>48</v>
      </c>
      <c r="S1253" t="b">
        <v>0</v>
      </c>
      <c r="T1253" t="b">
        <v>0</v>
      </c>
    </row>
    <row r="1254" spans="1:20" x14ac:dyDescent="0.3">
      <c r="A1254" t="s">
        <v>2155</v>
      </c>
      <c r="B1254" s="1">
        <v>41691</v>
      </c>
      <c r="C1254" s="1">
        <v>41696</v>
      </c>
      <c r="D1254" t="s">
        <v>2100</v>
      </c>
      <c r="E1254" t="s">
        <v>297</v>
      </c>
      <c r="F1254" t="s">
        <v>119</v>
      </c>
      <c r="G1254" t="s">
        <v>155</v>
      </c>
      <c r="H1254">
        <v>9.4320000000000004</v>
      </c>
      <c r="I1254">
        <v>3</v>
      </c>
      <c r="J1254">
        <v>3.0653999999999999</v>
      </c>
      <c r="K1254">
        <v>2014</v>
      </c>
      <c r="L1254">
        <v>2</v>
      </c>
      <c r="M1254" t="s">
        <v>303</v>
      </c>
      <c r="N1254">
        <v>21</v>
      </c>
      <c r="O1254">
        <v>5</v>
      </c>
      <c r="P1254">
        <v>32.5</v>
      </c>
      <c r="Q1254">
        <v>3.1440000000000001</v>
      </c>
      <c r="R1254" t="s">
        <v>26</v>
      </c>
      <c r="S1254" t="b">
        <v>0</v>
      </c>
      <c r="T1254" t="b">
        <v>0</v>
      </c>
    </row>
    <row r="1255" spans="1:20" x14ac:dyDescent="0.3">
      <c r="A1255" t="s">
        <v>2156</v>
      </c>
      <c r="B1255" s="1">
        <v>40826</v>
      </c>
      <c r="C1255" s="1">
        <v>40826</v>
      </c>
      <c r="D1255" t="s">
        <v>309</v>
      </c>
      <c r="E1255" t="s">
        <v>1225</v>
      </c>
      <c r="F1255" t="s">
        <v>110</v>
      </c>
      <c r="G1255" t="s">
        <v>1302</v>
      </c>
      <c r="H1255">
        <v>122.352</v>
      </c>
      <c r="I1255">
        <v>3</v>
      </c>
      <c r="J1255">
        <v>13.7646</v>
      </c>
      <c r="K1255">
        <v>2011</v>
      </c>
      <c r="L1255">
        <v>10</v>
      </c>
      <c r="M1255" t="s">
        <v>82</v>
      </c>
      <c r="N1255">
        <v>10</v>
      </c>
      <c r="O1255">
        <v>0</v>
      </c>
      <c r="P1255">
        <v>11.25</v>
      </c>
      <c r="Q1255">
        <v>40.783999999999999</v>
      </c>
      <c r="R1255" t="s">
        <v>26</v>
      </c>
      <c r="S1255" t="b">
        <v>0</v>
      </c>
      <c r="T1255" t="b">
        <v>0</v>
      </c>
    </row>
    <row r="1256" spans="1:20" x14ac:dyDescent="0.3">
      <c r="A1256" t="s">
        <v>2156</v>
      </c>
      <c r="B1256" s="1">
        <v>40826</v>
      </c>
      <c r="C1256" s="1">
        <v>40826</v>
      </c>
      <c r="D1256" t="s">
        <v>309</v>
      </c>
      <c r="E1256" t="s">
        <v>1225</v>
      </c>
      <c r="F1256" t="s">
        <v>128</v>
      </c>
      <c r="G1256" t="s">
        <v>728</v>
      </c>
      <c r="H1256">
        <v>15.28</v>
      </c>
      <c r="I1256">
        <v>2</v>
      </c>
      <c r="J1256">
        <v>7.4871999999999996</v>
      </c>
      <c r="K1256">
        <v>2011</v>
      </c>
      <c r="L1256">
        <v>10</v>
      </c>
      <c r="M1256" t="s">
        <v>82</v>
      </c>
      <c r="N1256">
        <v>10</v>
      </c>
      <c r="O1256">
        <v>0</v>
      </c>
      <c r="P1256">
        <v>49</v>
      </c>
      <c r="Q1256">
        <v>7.64</v>
      </c>
      <c r="R1256" t="s">
        <v>26</v>
      </c>
      <c r="S1256" t="b">
        <v>0</v>
      </c>
      <c r="T1256" t="b">
        <v>0</v>
      </c>
    </row>
    <row r="1257" spans="1:20" x14ac:dyDescent="0.3">
      <c r="A1257" t="s">
        <v>2157</v>
      </c>
      <c r="B1257" s="1">
        <v>40987</v>
      </c>
      <c r="C1257" s="1">
        <v>40994</v>
      </c>
      <c r="D1257" t="s">
        <v>2158</v>
      </c>
      <c r="E1257" t="s">
        <v>22</v>
      </c>
      <c r="F1257" t="s">
        <v>72</v>
      </c>
      <c r="G1257" t="s">
        <v>494</v>
      </c>
      <c r="H1257">
        <v>11.96</v>
      </c>
      <c r="I1257">
        <v>2</v>
      </c>
      <c r="J1257">
        <v>5.8604000000000003</v>
      </c>
      <c r="K1257">
        <v>2012</v>
      </c>
      <c r="L1257">
        <v>3</v>
      </c>
      <c r="M1257" t="s">
        <v>135</v>
      </c>
      <c r="N1257">
        <v>19</v>
      </c>
      <c r="O1257">
        <v>7</v>
      </c>
      <c r="P1257">
        <v>49</v>
      </c>
      <c r="Q1257">
        <v>5.98</v>
      </c>
      <c r="R1257" t="s">
        <v>26</v>
      </c>
      <c r="S1257" t="b">
        <v>0</v>
      </c>
      <c r="T1257" t="b">
        <v>0</v>
      </c>
    </row>
    <row r="1258" spans="1:20" x14ac:dyDescent="0.3">
      <c r="A1258" t="s">
        <v>2159</v>
      </c>
      <c r="B1258" s="1">
        <v>41829</v>
      </c>
      <c r="C1258" s="1">
        <v>41833</v>
      </c>
      <c r="D1258" t="s">
        <v>1851</v>
      </c>
      <c r="E1258" t="s">
        <v>39</v>
      </c>
      <c r="F1258" t="s">
        <v>29</v>
      </c>
      <c r="G1258" t="s">
        <v>2160</v>
      </c>
      <c r="H1258">
        <v>15.84</v>
      </c>
      <c r="I1258">
        <v>3</v>
      </c>
      <c r="J1258">
        <v>4.9104000000000001</v>
      </c>
      <c r="K1258">
        <v>2014</v>
      </c>
      <c r="L1258">
        <v>7</v>
      </c>
      <c r="M1258" t="s">
        <v>66</v>
      </c>
      <c r="N1258">
        <v>9</v>
      </c>
      <c r="O1258">
        <v>4</v>
      </c>
      <c r="P1258">
        <v>31</v>
      </c>
      <c r="Q1258">
        <v>5.28</v>
      </c>
      <c r="R1258" t="s">
        <v>26</v>
      </c>
      <c r="S1258" t="b">
        <v>0</v>
      </c>
      <c r="T1258" t="b">
        <v>0</v>
      </c>
    </row>
    <row r="1259" spans="1:20" x14ac:dyDescent="0.3">
      <c r="A1259" t="s">
        <v>2159</v>
      </c>
      <c r="B1259" s="1">
        <v>41829</v>
      </c>
      <c r="C1259" s="1">
        <v>41833</v>
      </c>
      <c r="D1259" t="s">
        <v>1851</v>
      </c>
      <c r="E1259" t="s">
        <v>39</v>
      </c>
      <c r="F1259" t="s">
        <v>33</v>
      </c>
      <c r="G1259" t="s">
        <v>1625</v>
      </c>
      <c r="H1259">
        <v>86.376000000000005</v>
      </c>
      <c r="I1259">
        <v>3</v>
      </c>
      <c r="J1259">
        <v>30.2316</v>
      </c>
      <c r="K1259">
        <v>2014</v>
      </c>
      <c r="L1259">
        <v>7</v>
      </c>
      <c r="M1259" t="s">
        <v>66</v>
      </c>
      <c r="N1259">
        <v>9</v>
      </c>
      <c r="O1259">
        <v>4</v>
      </c>
      <c r="P1259">
        <v>35</v>
      </c>
      <c r="Q1259">
        <v>28.792000000000002</v>
      </c>
      <c r="R1259" t="s">
        <v>26</v>
      </c>
      <c r="S1259" t="b">
        <v>0</v>
      </c>
      <c r="T1259" t="b">
        <v>0</v>
      </c>
    </row>
    <row r="1260" spans="1:20" x14ac:dyDescent="0.3">
      <c r="A1260" t="s">
        <v>2159</v>
      </c>
      <c r="B1260" s="1">
        <v>41829</v>
      </c>
      <c r="C1260" s="1">
        <v>41833</v>
      </c>
      <c r="D1260" t="s">
        <v>1851</v>
      </c>
      <c r="E1260" t="s">
        <v>39</v>
      </c>
      <c r="F1260" t="s">
        <v>31</v>
      </c>
      <c r="G1260" t="s">
        <v>2161</v>
      </c>
      <c r="H1260">
        <v>18.239999999999998</v>
      </c>
      <c r="I1260">
        <v>3</v>
      </c>
      <c r="J1260">
        <v>6.2016</v>
      </c>
      <c r="K1260">
        <v>2014</v>
      </c>
      <c r="L1260">
        <v>7</v>
      </c>
      <c r="M1260" t="s">
        <v>66</v>
      </c>
      <c r="N1260">
        <v>9</v>
      </c>
      <c r="O1260">
        <v>4</v>
      </c>
      <c r="P1260">
        <v>34</v>
      </c>
      <c r="Q1260">
        <v>6.0799999999999992</v>
      </c>
      <c r="R1260" t="s">
        <v>26</v>
      </c>
      <c r="S1260" t="b">
        <v>0</v>
      </c>
      <c r="T1260" t="b">
        <v>0</v>
      </c>
    </row>
    <row r="1261" spans="1:20" x14ac:dyDescent="0.3">
      <c r="A1261" t="s">
        <v>2159</v>
      </c>
      <c r="B1261" s="1">
        <v>41829</v>
      </c>
      <c r="C1261" s="1">
        <v>41833</v>
      </c>
      <c r="D1261" t="s">
        <v>1851</v>
      </c>
      <c r="E1261" t="s">
        <v>39</v>
      </c>
      <c r="F1261" t="s">
        <v>31</v>
      </c>
      <c r="G1261" t="s">
        <v>1866</v>
      </c>
      <c r="H1261">
        <v>13.12</v>
      </c>
      <c r="I1261">
        <v>4</v>
      </c>
      <c r="J1261">
        <v>4.3296000000000001</v>
      </c>
      <c r="K1261">
        <v>2014</v>
      </c>
      <c r="L1261">
        <v>7</v>
      </c>
      <c r="M1261" t="s">
        <v>66</v>
      </c>
      <c r="N1261">
        <v>9</v>
      </c>
      <c r="O1261">
        <v>4</v>
      </c>
      <c r="P1261">
        <v>33</v>
      </c>
      <c r="Q1261">
        <v>3.28</v>
      </c>
      <c r="R1261" t="s">
        <v>26</v>
      </c>
      <c r="S1261" t="b">
        <v>0</v>
      </c>
      <c r="T1261" t="b">
        <v>0</v>
      </c>
    </row>
    <row r="1262" spans="1:20" x14ac:dyDescent="0.3">
      <c r="A1262" t="s">
        <v>2162</v>
      </c>
      <c r="B1262" s="1">
        <v>40737</v>
      </c>
      <c r="C1262" s="1">
        <v>40741</v>
      </c>
      <c r="D1262" t="s">
        <v>234</v>
      </c>
      <c r="E1262" t="s">
        <v>22</v>
      </c>
      <c r="F1262" t="s">
        <v>174</v>
      </c>
      <c r="G1262" t="s">
        <v>2163</v>
      </c>
      <c r="H1262">
        <v>351.21600000000001</v>
      </c>
      <c r="I1262">
        <v>3</v>
      </c>
      <c r="J1262">
        <v>4.3902000000000001</v>
      </c>
      <c r="K1262">
        <v>2011</v>
      </c>
      <c r="L1262">
        <v>7</v>
      </c>
      <c r="M1262" t="s">
        <v>66</v>
      </c>
      <c r="N1262">
        <v>13</v>
      </c>
      <c r="O1262">
        <v>4</v>
      </c>
      <c r="P1262">
        <v>1.25</v>
      </c>
      <c r="Q1262">
        <v>117.072</v>
      </c>
      <c r="R1262" t="s">
        <v>26</v>
      </c>
      <c r="S1262" t="b">
        <v>0</v>
      </c>
      <c r="T1262" t="b">
        <v>1</v>
      </c>
    </row>
    <row r="1263" spans="1:20" x14ac:dyDescent="0.3">
      <c r="A1263" t="s">
        <v>2164</v>
      </c>
      <c r="B1263" s="1">
        <v>40904</v>
      </c>
      <c r="C1263" s="1">
        <v>40910</v>
      </c>
      <c r="D1263" t="s">
        <v>382</v>
      </c>
      <c r="E1263" t="s">
        <v>51</v>
      </c>
      <c r="F1263" t="s">
        <v>110</v>
      </c>
      <c r="G1263" t="s">
        <v>290</v>
      </c>
      <c r="H1263">
        <v>230.28</v>
      </c>
      <c r="I1263">
        <v>3</v>
      </c>
      <c r="J1263">
        <v>23.027999999999999</v>
      </c>
      <c r="K1263">
        <v>2011</v>
      </c>
      <c r="L1263">
        <v>12</v>
      </c>
      <c r="M1263" t="s">
        <v>41</v>
      </c>
      <c r="N1263">
        <v>27</v>
      </c>
      <c r="O1263">
        <v>6</v>
      </c>
      <c r="P1263">
        <v>10</v>
      </c>
      <c r="Q1263">
        <v>76.760000000000005</v>
      </c>
      <c r="R1263" t="s">
        <v>26</v>
      </c>
      <c r="S1263" t="b">
        <v>0</v>
      </c>
      <c r="T1263" t="b">
        <v>1</v>
      </c>
    </row>
    <row r="1264" spans="1:20" x14ac:dyDescent="0.3">
      <c r="A1264" t="s">
        <v>2164</v>
      </c>
      <c r="B1264" s="1">
        <v>40904</v>
      </c>
      <c r="C1264" s="1">
        <v>40910</v>
      </c>
      <c r="D1264" t="s">
        <v>382</v>
      </c>
      <c r="E1264" t="s">
        <v>51</v>
      </c>
      <c r="F1264" t="s">
        <v>72</v>
      </c>
      <c r="G1264" t="s">
        <v>495</v>
      </c>
      <c r="H1264">
        <v>12.84</v>
      </c>
      <c r="I1264">
        <v>3</v>
      </c>
      <c r="J1264">
        <v>5.7779999999999996</v>
      </c>
      <c r="K1264">
        <v>2011</v>
      </c>
      <c r="L1264">
        <v>12</v>
      </c>
      <c r="M1264" t="s">
        <v>41</v>
      </c>
      <c r="N1264">
        <v>27</v>
      </c>
      <c r="O1264">
        <v>6</v>
      </c>
      <c r="P1264">
        <v>45</v>
      </c>
      <c r="Q1264">
        <v>4.28</v>
      </c>
      <c r="R1264" t="s">
        <v>26</v>
      </c>
      <c r="S1264" t="b">
        <v>0</v>
      </c>
      <c r="T1264" t="b">
        <v>0</v>
      </c>
    </row>
    <row r="1265" spans="1:20" x14ac:dyDescent="0.3">
      <c r="A1265" t="s">
        <v>2165</v>
      </c>
      <c r="B1265" s="1">
        <v>41934</v>
      </c>
      <c r="C1265" s="1">
        <v>41941</v>
      </c>
      <c r="D1265" t="s">
        <v>1540</v>
      </c>
      <c r="E1265" t="s">
        <v>849</v>
      </c>
      <c r="F1265" t="s">
        <v>33</v>
      </c>
      <c r="G1265" t="s">
        <v>698</v>
      </c>
      <c r="H1265">
        <v>8.5589999999999993</v>
      </c>
      <c r="I1265">
        <v>1</v>
      </c>
      <c r="J1265">
        <v>-6.5618999999999996</v>
      </c>
      <c r="K1265">
        <v>2014</v>
      </c>
      <c r="L1265">
        <v>10</v>
      </c>
      <c r="M1265" t="s">
        <v>82</v>
      </c>
      <c r="N1265">
        <v>22</v>
      </c>
      <c r="O1265">
        <v>7</v>
      </c>
      <c r="P1265">
        <v>-76.67</v>
      </c>
      <c r="Q1265">
        <v>8.5589999999999993</v>
      </c>
      <c r="R1265" t="s">
        <v>26</v>
      </c>
      <c r="S1265" t="b">
        <v>1</v>
      </c>
      <c r="T1265" t="b">
        <v>0</v>
      </c>
    </row>
    <row r="1266" spans="1:20" x14ac:dyDescent="0.3">
      <c r="A1266" t="s">
        <v>2166</v>
      </c>
      <c r="B1266" s="1">
        <v>41247</v>
      </c>
      <c r="C1266" s="1">
        <v>41252</v>
      </c>
      <c r="D1266" t="s">
        <v>1372</v>
      </c>
      <c r="E1266" t="s">
        <v>22</v>
      </c>
      <c r="F1266" t="s">
        <v>128</v>
      </c>
      <c r="G1266" t="s">
        <v>2167</v>
      </c>
      <c r="H1266">
        <v>271.44</v>
      </c>
      <c r="I1266">
        <v>3</v>
      </c>
      <c r="J1266">
        <v>122.148</v>
      </c>
      <c r="K1266">
        <v>2012</v>
      </c>
      <c r="L1266">
        <v>12</v>
      </c>
      <c r="M1266" t="s">
        <v>41</v>
      </c>
      <c r="N1266">
        <v>4</v>
      </c>
      <c r="O1266">
        <v>5</v>
      </c>
      <c r="P1266">
        <v>45</v>
      </c>
      <c r="Q1266">
        <v>90.48</v>
      </c>
      <c r="R1266" t="s">
        <v>26</v>
      </c>
      <c r="S1266" t="b">
        <v>0</v>
      </c>
      <c r="T1266" t="b">
        <v>1</v>
      </c>
    </row>
    <row r="1267" spans="1:20" x14ac:dyDescent="0.3">
      <c r="A1267" t="s">
        <v>2166</v>
      </c>
      <c r="B1267" s="1">
        <v>41247</v>
      </c>
      <c r="C1267" s="1">
        <v>41252</v>
      </c>
      <c r="D1267" t="s">
        <v>1372</v>
      </c>
      <c r="E1267" t="s">
        <v>22</v>
      </c>
      <c r="F1267" t="s">
        <v>54</v>
      </c>
      <c r="G1267" t="s">
        <v>2168</v>
      </c>
      <c r="H1267">
        <v>110.352</v>
      </c>
      <c r="I1267">
        <v>3</v>
      </c>
      <c r="J1267">
        <v>8.2764000000000006</v>
      </c>
      <c r="K1267">
        <v>2012</v>
      </c>
      <c r="L1267">
        <v>12</v>
      </c>
      <c r="M1267" t="s">
        <v>41</v>
      </c>
      <c r="N1267">
        <v>4</v>
      </c>
      <c r="O1267">
        <v>5</v>
      </c>
      <c r="P1267">
        <v>7.5</v>
      </c>
      <c r="Q1267">
        <v>36.783999999999999</v>
      </c>
      <c r="R1267" t="s">
        <v>26</v>
      </c>
      <c r="S1267" t="b">
        <v>0</v>
      </c>
      <c r="T1267" t="b">
        <v>0</v>
      </c>
    </row>
    <row r="1268" spans="1:20" x14ac:dyDescent="0.3">
      <c r="A1268" t="s">
        <v>2166</v>
      </c>
      <c r="B1268" s="1">
        <v>41247</v>
      </c>
      <c r="C1268" s="1">
        <v>41252</v>
      </c>
      <c r="D1268" t="s">
        <v>1372</v>
      </c>
      <c r="E1268" t="s">
        <v>22</v>
      </c>
      <c r="F1268" t="s">
        <v>29</v>
      </c>
      <c r="G1268" t="s">
        <v>2169</v>
      </c>
      <c r="H1268">
        <v>36.4</v>
      </c>
      <c r="I1268">
        <v>5</v>
      </c>
      <c r="J1268">
        <v>13.832000000000001</v>
      </c>
      <c r="K1268">
        <v>2012</v>
      </c>
      <c r="L1268">
        <v>12</v>
      </c>
      <c r="M1268" t="s">
        <v>41</v>
      </c>
      <c r="N1268">
        <v>4</v>
      </c>
      <c r="O1268">
        <v>5</v>
      </c>
      <c r="P1268">
        <v>38</v>
      </c>
      <c r="Q1268">
        <v>7.2799999999999994</v>
      </c>
      <c r="R1268" t="s">
        <v>26</v>
      </c>
      <c r="S1268" t="b">
        <v>0</v>
      </c>
      <c r="T1268" t="b">
        <v>0</v>
      </c>
    </row>
    <row r="1269" spans="1:20" x14ac:dyDescent="0.3">
      <c r="A1269" t="s">
        <v>2170</v>
      </c>
      <c r="B1269" s="1">
        <v>40886</v>
      </c>
      <c r="C1269" s="1">
        <v>40891</v>
      </c>
      <c r="D1269" t="s">
        <v>1807</v>
      </c>
      <c r="E1269" t="s">
        <v>368</v>
      </c>
      <c r="F1269" t="s">
        <v>45</v>
      </c>
      <c r="G1269" t="s">
        <v>2171</v>
      </c>
      <c r="H1269">
        <v>100.70399999999999</v>
      </c>
      <c r="I1269">
        <v>6</v>
      </c>
      <c r="J1269">
        <v>-1.2587999999999999</v>
      </c>
      <c r="K1269">
        <v>2011</v>
      </c>
      <c r="L1269">
        <v>12</v>
      </c>
      <c r="M1269" t="s">
        <v>41</v>
      </c>
      <c r="N1269">
        <v>9</v>
      </c>
      <c r="O1269">
        <v>5</v>
      </c>
      <c r="P1269">
        <v>-1.25</v>
      </c>
      <c r="Q1269">
        <v>16.783999999999999</v>
      </c>
      <c r="R1269" t="s">
        <v>26</v>
      </c>
      <c r="S1269" t="b">
        <v>1</v>
      </c>
      <c r="T1269" t="b">
        <v>0</v>
      </c>
    </row>
    <row r="1270" spans="1:20" x14ac:dyDescent="0.3">
      <c r="A1270" t="s">
        <v>2172</v>
      </c>
      <c r="B1270" s="1">
        <v>40652</v>
      </c>
      <c r="C1270" s="1">
        <v>40654</v>
      </c>
      <c r="D1270" t="s">
        <v>2052</v>
      </c>
      <c r="E1270" t="s">
        <v>139</v>
      </c>
      <c r="F1270" t="s">
        <v>29</v>
      </c>
      <c r="G1270" t="s">
        <v>2173</v>
      </c>
      <c r="H1270">
        <v>76.14</v>
      </c>
      <c r="I1270">
        <v>3</v>
      </c>
      <c r="J1270">
        <v>26.649000000000001</v>
      </c>
      <c r="K1270">
        <v>2011</v>
      </c>
      <c r="L1270">
        <v>4</v>
      </c>
      <c r="M1270" t="s">
        <v>236</v>
      </c>
      <c r="N1270">
        <v>19</v>
      </c>
      <c r="O1270">
        <v>2</v>
      </c>
      <c r="P1270">
        <v>35</v>
      </c>
      <c r="Q1270">
        <v>25.38</v>
      </c>
      <c r="R1270" t="s">
        <v>26</v>
      </c>
      <c r="S1270" t="b">
        <v>0</v>
      </c>
      <c r="T1270" t="b">
        <v>0</v>
      </c>
    </row>
    <row r="1271" spans="1:20" x14ac:dyDescent="0.3">
      <c r="A1271" t="s">
        <v>2174</v>
      </c>
      <c r="B1271" s="1">
        <v>41838</v>
      </c>
      <c r="C1271" s="1">
        <v>41842</v>
      </c>
      <c r="D1271" t="s">
        <v>1474</v>
      </c>
      <c r="E1271" t="s">
        <v>22</v>
      </c>
      <c r="F1271" t="s">
        <v>1342</v>
      </c>
      <c r="G1271" t="s">
        <v>2175</v>
      </c>
      <c r="H1271">
        <v>479.98399999999998</v>
      </c>
      <c r="I1271">
        <v>2</v>
      </c>
      <c r="J1271">
        <v>89.997</v>
      </c>
      <c r="K1271">
        <v>2014</v>
      </c>
      <c r="L1271">
        <v>7</v>
      </c>
      <c r="M1271" t="s">
        <v>66</v>
      </c>
      <c r="N1271">
        <v>18</v>
      </c>
      <c r="O1271">
        <v>4</v>
      </c>
      <c r="P1271">
        <v>18.75</v>
      </c>
      <c r="Q1271">
        <v>239.99199999999999</v>
      </c>
      <c r="R1271" t="s">
        <v>26</v>
      </c>
      <c r="S1271" t="b">
        <v>0</v>
      </c>
      <c r="T1271" t="b">
        <v>1</v>
      </c>
    </row>
    <row r="1272" spans="1:20" x14ac:dyDescent="0.3">
      <c r="A1272" t="s">
        <v>2176</v>
      </c>
      <c r="B1272" s="1">
        <v>40644</v>
      </c>
      <c r="C1272" s="1">
        <v>40649</v>
      </c>
      <c r="D1272" t="s">
        <v>1482</v>
      </c>
      <c r="E1272" t="s">
        <v>2177</v>
      </c>
      <c r="F1272" t="s">
        <v>33</v>
      </c>
      <c r="G1272" t="s">
        <v>1157</v>
      </c>
      <c r="H1272">
        <v>9.5839999999999996</v>
      </c>
      <c r="I1272">
        <v>1</v>
      </c>
      <c r="J1272">
        <v>3.3544</v>
      </c>
      <c r="K1272">
        <v>2011</v>
      </c>
      <c r="L1272">
        <v>4</v>
      </c>
      <c r="M1272" t="s">
        <v>236</v>
      </c>
      <c r="N1272">
        <v>11</v>
      </c>
      <c r="O1272">
        <v>5</v>
      </c>
      <c r="P1272">
        <v>35</v>
      </c>
      <c r="Q1272">
        <v>9.5839999999999996</v>
      </c>
      <c r="R1272" t="s">
        <v>26</v>
      </c>
      <c r="S1272" t="b">
        <v>0</v>
      </c>
      <c r="T1272" t="b">
        <v>0</v>
      </c>
    </row>
    <row r="1273" spans="1:20" x14ac:dyDescent="0.3">
      <c r="A1273" t="s">
        <v>2178</v>
      </c>
      <c r="B1273" s="1">
        <v>41513</v>
      </c>
      <c r="C1273" s="1">
        <v>41515</v>
      </c>
      <c r="D1273" t="s">
        <v>2179</v>
      </c>
      <c r="E1273" t="s">
        <v>22</v>
      </c>
      <c r="F1273" t="s">
        <v>31</v>
      </c>
      <c r="G1273" t="s">
        <v>2180</v>
      </c>
      <c r="H1273">
        <v>8.26</v>
      </c>
      <c r="I1273">
        <v>2</v>
      </c>
      <c r="J1273">
        <v>3.7995999999999999</v>
      </c>
      <c r="K1273">
        <v>2013</v>
      </c>
      <c r="L1273">
        <v>8</v>
      </c>
      <c r="M1273" t="s">
        <v>53</v>
      </c>
      <c r="N1273">
        <v>27</v>
      </c>
      <c r="O1273">
        <v>2</v>
      </c>
      <c r="P1273">
        <v>46</v>
      </c>
      <c r="Q1273">
        <v>4.13</v>
      </c>
      <c r="R1273" t="s">
        <v>26</v>
      </c>
      <c r="S1273" t="b">
        <v>0</v>
      </c>
      <c r="T1273" t="b">
        <v>0</v>
      </c>
    </row>
    <row r="1274" spans="1:20" x14ac:dyDescent="0.3">
      <c r="A1274" t="s">
        <v>2181</v>
      </c>
      <c r="B1274" s="1">
        <v>41946</v>
      </c>
      <c r="C1274" s="1">
        <v>41948</v>
      </c>
      <c r="D1274" t="s">
        <v>1454</v>
      </c>
      <c r="E1274" t="s">
        <v>2182</v>
      </c>
      <c r="F1274" t="s">
        <v>128</v>
      </c>
      <c r="G1274" t="s">
        <v>598</v>
      </c>
      <c r="H1274">
        <v>76.58</v>
      </c>
      <c r="I1274">
        <v>7</v>
      </c>
      <c r="J1274">
        <v>38.29</v>
      </c>
      <c r="K1274">
        <v>2014</v>
      </c>
      <c r="L1274">
        <v>11</v>
      </c>
      <c r="M1274" t="s">
        <v>70</v>
      </c>
      <c r="N1274">
        <v>3</v>
      </c>
      <c r="O1274">
        <v>2</v>
      </c>
      <c r="P1274">
        <v>50</v>
      </c>
      <c r="Q1274">
        <v>10.94</v>
      </c>
      <c r="R1274" t="s">
        <v>26</v>
      </c>
      <c r="S1274" t="b">
        <v>0</v>
      </c>
      <c r="T1274" t="b">
        <v>0</v>
      </c>
    </row>
    <row r="1275" spans="1:20" x14ac:dyDescent="0.3">
      <c r="A1275" t="s">
        <v>2181</v>
      </c>
      <c r="B1275" s="1">
        <v>41946</v>
      </c>
      <c r="C1275" s="1">
        <v>41948</v>
      </c>
      <c r="D1275" t="s">
        <v>1454</v>
      </c>
      <c r="E1275" t="s">
        <v>2182</v>
      </c>
      <c r="F1275" t="s">
        <v>31</v>
      </c>
      <c r="G1275" t="s">
        <v>2183</v>
      </c>
      <c r="H1275">
        <v>8.8000000000000007</v>
      </c>
      <c r="I1275">
        <v>5</v>
      </c>
      <c r="J1275">
        <v>4.2240000000000002</v>
      </c>
      <c r="K1275">
        <v>2014</v>
      </c>
      <c r="L1275">
        <v>11</v>
      </c>
      <c r="M1275" t="s">
        <v>70</v>
      </c>
      <c r="N1275">
        <v>3</v>
      </c>
      <c r="O1275">
        <v>2</v>
      </c>
      <c r="P1275">
        <v>48</v>
      </c>
      <c r="Q1275">
        <v>1.76</v>
      </c>
      <c r="R1275" t="s">
        <v>26</v>
      </c>
      <c r="S1275" t="b">
        <v>0</v>
      </c>
      <c r="T1275" t="b">
        <v>0</v>
      </c>
    </row>
    <row r="1276" spans="1:20" x14ac:dyDescent="0.3">
      <c r="A1276" t="s">
        <v>2181</v>
      </c>
      <c r="B1276" s="1">
        <v>41946</v>
      </c>
      <c r="C1276" s="1">
        <v>41948</v>
      </c>
      <c r="D1276" t="s">
        <v>1454</v>
      </c>
      <c r="E1276" t="s">
        <v>2182</v>
      </c>
      <c r="F1276" t="s">
        <v>119</v>
      </c>
      <c r="G1276" t="s">
        <v>2184</v>
      </c>
      <c r="H1276">
        <v>5.58</v>
      </c>
      <c r="I1276">
        <v>3</v>
      </c>
      <c r="J1276">
        <v>0.16739999999999999</v>
      </c>
      <c r="K1276">
        <v>2014</v>
      </c>
      <c r="L1276">
        <v>11</v>
      </c>
      <c r="M1276" t="s">
        <v>70</v>
      </c>
      <c r="N1276">
        <v>3</v>
      </c>
      <c r="O1276">
        <v>2</v>
      </c>
      <c r="P1276">
        <v>3</v>
      </c>
      <c r="Q1276">
        <v>1.86</v>
      </c>
      <c r="R1276" t="s">
        <v>26</v>
      </c>
      <c r="S1276" t="b">
        <v>0</v>
      </c>
      <c r="T1276" t="b">
        <v>0</v>
      </c>
    </row>
    <row r="1277" spans="1:20" x14ac:dyDescent="0.3">
      <c r="A1277" t="s">
        <v>2181</v>
      </c>
      <c r="B1277" s="1">
        <v>41946</v>
      </c>
      <c r="C1277" s="1">
        <v>41948</v>
      </c>
      <c r="D1277" t="s">
        <v>1454</v>
      </c>
      <c r="E1277" t="s">
        <v>2182</v>
      </c>
      <c r="F1277" t="s">
        <v>29</v>
      </c>
      <c r="G1277" t="s">
        <v>2185</v>
      </c>
      <c r="H1277">
        <v>25.02</v>
      </c>
      <c r="I1277">
        <v>3</v>
      </c>
      <c r="J1277">
        <v>10.5084</v>
      </c>
      <c r="K1277">
        <v>2014</v>
      </c>
      <c r="L1277">
        <v>11</v>
      </c>
      <c r="M1277" t="s">
        <v>70</v>
      </c>
      <c r="N1277">
        <v>3</v>
      </c>
      <c r="O1277">
        <v>2</v>
      </c>
      <c r="P1277">
        <v>42</v>
      </c>
      <c r="Q1277">
        <v>8.34</v>
      </c>
      <c r="R1277" t="s">
        <v>26</v>
      </c>
      <c r="S1277" t="b">
        <v>0</v>
      </c>
      <c r="T1277" t="b">
        <v>0</v>
      </c>
    </row>
    <row r="1278" spans="1:20" x14ac:dyDescent="0.3">
      <c r="A1278" t="s">
        <v>2181</v>
      </c>
      <c r="B1278" s="1">
        <v>41946</v>
      </c>
      <c r="C1278" s="1">
        <v>41948</v>
      </c>
      <c r="D1278" t="s">
        <v>1454</v>
      </c>
      <c r="E1278" t="s">
        <v>2182</v>
      </c>
      <c r="F1278" t="s">
        <v>45</v>
      </c>
      <c r="G1278" t="s">
        <v>1572</v>
      </c>
      <c r="H1278">
        <v>452.55</v>
      </c>
      <c r="I1278">
        <v>7</v>
      </c>
      <c r="J1278">
        <v>22.627500000000001</v>
      </c>
      <c r="K1278">
        <v>2014</v>
      </c>
      <c r="L1278">
        <v>11</v>
      </c>
      <c r="M1278" t="s">
        <v>70</v>
      </c>
      <c r="N1278">
        <v>3</v>
      </c>
      <c r="O1278">
        <v>2</v>
      </c>
      <c r="P1278">
        <v>5</v>
      </c>
      <c r="Q1278">
        <v>64.650000000000006</v>
      </c>
      <c r="R1278" t="s">
        <v>26</v>
      </c>
      <c r="S1278" t="b">
        <v>0</v>
      </c>
      <c r="T1278" t="b">
        <v>1</v>
      </c>
    </row>
    <row r="1279" spans="1:20" x14ac:dyDescent="0.3">
      <c r="A1279" t="s">
        <v>2186</v>
      </c>
      <c r="B1279" s="1">
        <v>41635</v>
      </c>
      <c r="C1279" s="1">
        <v>41640</v>
      </c>
      <c r="D1279" t="s">
        <v>2158</v>
      </c>
      <c r="E1279" t="s">
        <v>22</v>
      </c>
      <c r="F1279" t="s">
        <v>122</v>
      </c>
      <c r="G1279" t="s">
        <v>1268</v>
      </c>
      <c r="H1279">
        <v>17.760000000000002</v>
      </c>
      <c r="I1279">
        <v>2</v>
      </c>
      <c r="J1279">
        <v>4.9728000000000003</v>
      </c>
      <c r="K1279">
        <v>2013</v>
      </c>
      <c r="L1279">
        <v>12</v>
      </c>
      <c r="M1279" t="s">
        <v>41</v>
      </c>
      <c r="N1279">
        <v>27</v>
      </c>
      <c r="O1279">
        <v>5</v>
      </c>
      <c r="P1279">
        <v>28</v>
      </c>
      <c r="Q1279">
        <v>8.8800000000000008</v>
      </c>
      <c r="R1279" t="s">
        <v>26</v>
      </c>
      <c r="S1279" t="b">
        <v>0</v>
      </c>
      <c r="T1279" t="b">
        <v>0</v>
      </c>
    </row>
    <row r="1280" spans="1:20" x14ac:dyDescent="0.3">
      <c r="A1280" t="s">
        <v>2186</v>
      </c>
      <c r="B1280" s="1">
        <v>41635</v>
      </c>
      <c r="C1280" s="1">
        <v>41640</v>
      </c>
      <c r="D1280" t="s">
        <v>2158</v>
      </c>
      <c r="E1280" t="s">
        <v>22</v>
      </c>
      <c r="F1280" t="s">
        <v>54</v>
      </c>
      <c r="G1280" t="s">
        <v>1992</v>
      </c>
      <c r="H1280">
        <v>302.38400000000001</v>
      </c>
      <c r="I1280">
        <v>2</v>
      </c>
      <c r="J1280">
        <v>30.238399999999999</v>
      </c>
      <c r="K1280">
        <v>2013</v>
      </c>
      <c r="L1280">
        <v>12</v>
      </c>
      <c r="M1280" t="s">
        <v>41</v>
      </c>
      <c r="N1280">
        <v>27</v>
      </c>
      <c r="O1280">
        <v>5</v>
      </c>
      <c r="P1280">
        <v>10</v>
      </c>
      <c r="Q1280">
        <v>151.19200000000001</v>
      </c>
      <c r="R1280" t="s">
        <v>26</v>
      </c>
      <c r="S1280" t="b">
        <v>0</v>
      </c>
      <c r="T1280" t="b">
        <v>1</v>
      </c>
    </row>
    <row r="1281" spans="1:20" x14ac:dyDescent="0.3">
      <c r="A1281" t="s">
        <v>2186</v>
      </c>
      <c r="B1281" s="1">
        <v>41635</v>
      </c>
      <c r="C1281" s="1">
        <v>41640</v>
      </c>
      <c r="D1281" t="s">
        <v>2158</v>
      </c>
      <c r="E1281" t="s">
        <v>22</v>
      </c>
      <c r="F1281" t="s">
        <v>110</v>
      </c>
      <c r="G1281" t="s">
        <v>2187</v>
      </c>
      <c r="H1281">
        <v>146.352</v>
      </c>
      <c r="I1281">
        <v>3</v>
      </c>
      <c r="J1281">
        <v>-5.4882</v>
      </c>
      <c r="K1281">
        <v>2013</v>
      </c>
      <c r="L1281">
        <v>12</v>
      </c>
      <c r="M1281" t="s">
        <v>41</v>
      </c>
      <c r="N1281">
        <v>27</v>
      </c>
      <c r="O1281">
        <v>5</v>
      </c>
      <c r="P1281">
        <v>-3.75</v>
      </c>
      <c r="Q1281">
        <v>48.783999999999999</v>
      </c>
      <c r="R1281" t="s">
        <v>26</v>
      </c>
      <c r="S1281" t="b">
        <v>1</v>
      </c>
      <c r="T1281" t="b">
        <v>0</v>
      </c>
    </row>
    <row r="1282" spans="1:20" x14ac:dyDescent="0.3">
      <c r="A1282" t="s">
        <v>2186</v>
      </c>
      <c r="B1282" s="1">
        <v>41635</v>
      </c>
      <c r="C1282" s="1">
        <v>41640</v>
      </c>
      <c r="D1282" t="s">
        <v>2158</v>
      </c>
      <c r="E1282" t="s">
        <v>22</v>
      </c>
      <c r="F1282" t="s">
        <v>35</v>
      </c>
      <c r="G1282" t="s">
        <v>2188</v>
      </c>
      <c r="H1282">
        <v>7.9</v>
      </c>
      <c r="I1282">
        <v>2</v>
      </c>
      <c r="J1282">
        <v>2.0539999999999998</v>
      </c>
      <c r="K1282">
        <v>2013</v>
      </c>
      <c r="L1282">
        <v>12</v>
      </c>
      <c r="M1282" t="s">
        <v>41</v>
      </c>
      <c r="N1282">
        <v>27</v>
      </c>
      <c r="O1282">
        <v>5</v>
      </c>
      <c r="P1282">
        <v>26</v>
      </c>
      <c r="Q1282">
        <v>3.95</v>
      </c>
      <c r="R1282" t="s">
        <v>26</v>
      </c>
      <c r="S1282" t="b">
        <v>0</v>
      </c>
      <c r="T1282" t="b">
        <v>0</v>
      </c>
    </row>
    <row r="1283" spans="1:20" x14ac:dyDescent="0.3">
      <c r="A1283" t="s">
        <v>2186</v>
      </c>
      <c r="B1283" s="1">
        <v>41635</v>
      </c>
      <c r="C1283" s="1">
        <v>41640</v>
      </c>
      <c r="D1283" t="s">
        <v>2158</v>
      </c>
      <c r="E1283" t="s">
        <v>22</v>
      </c>
      <c r="F1283" t="s">
        <v>31</v>
      </c>
      <c r="G1283" t="s">
        <v>519</v>
      </c>
      <c r="H1283">
        <v>53.97</v>
      </c>
      <c r="I1283">
        <v>3</v>
      </c>
      <c r="J1283">
        <v>15.111599999999999</v>
      </c>
      <c r="K1283">
        <v>2013</v>
      </c>
      <c r="L1283">
        <v>12</v>
      </c>
      <c r="M1283" t="s">
        <v>41</v>
      </c>
      <c r="N1283">
        <v>27</v>
      </c>
      <c r="O1283">
        <v>5</v>
      </c>
      <c r="P1283">
        <v>28</v>
      </c>
      <c r="Q1283">
        <v>17.989999999999998</v>
      </c>
      <c r="R1283" t="s">
        <v>26</v>
      </c>
      <c r="S1283" t="b">
        <v>0</v>
      </c>
      <c r="T1283" t="b">
        <v>0</v>
      </c>
    </row>
    <row r="1284" spans="1:20" x14ac:dyDescent="0.3">
      <c r="A1284" t="s">
        <v>2189</v>
      </c>
      <c r="B1284" s="1">
        <v>41953</v>
      </c>
      <c r="C1284" s="1">
        <v>41958</v>
      </c>
      <c r="D1284" t="s">
        <v>296</v>
      </c>
      <c r="E1284" t="s">
        <v>592</v>
      </c>
      <c r="F1284" t="s">
        <v>29</v>
      </c>
      <c r="G1284" t="s">
        <v>310</v>
      </c>
      <c r="H1284">
        <v>47.12</v>
      </c>
      <c r="I1284">
        <v>8</v>
      </c>
      <c r="J1284">
        <v>20.732800000000001</v>
      </c>
      <c r="K1284">
        <v>2014</v>
      </c>
      <c r="L1284">
        <v>11</v>
      </c>
      <c r="M1284" t="s">
        <v>70</v>
      </c>
      <c r="N1284">
        <v>10</v>
      </c>
      <c r="O1284">
        <v>5</v>
      </c>
      <c r="P1284">
        <v>44</v>
      </c>
      <c r="Q1284">
        <v>5.89</v>
      </c>
      <c r="R1284" t="s">
        <v>26</v>
      </c>
      <c r="S1284" t="b">
        <v>0</v>
      </c>
      <c r="T1284" t="b">
        <v>0</v>
      </c>
    </row>
    <row r="1285" spans="1:20" x14ac:dyDescent="0.3">
      <c r="A1285" t="s">
        <v>2190</v>
      </c>
      <c r="B1285" s="1">
        <v>41998</v>
      </c>
      <c r="C1285" s="1">
        <v>41999</v>
      </c>
      <c r="D1285" t="s">
        <v>2191</v>
      </c>
      <c r="E1285" t="s">
        <v>22</v>
      </c>
      <c r="F1285" t="s">
        <v>33</v>
      </c>
      <c r="G1285" t="s">
        <v>344</v>
      </c>
      <c r="H1285">
        <v>90.48</v>
      </c>
      <c r="I1285">
        <v>3</v>
      </c>
      <c r="J1285">
        <v>33.93</v>
      </c>
      <c r="K1285">
        <v>2014</v>
      </c>
      <c r="L1285">
        <v>12</v>
      </c>
      <c r="M1285" t="s">
        <v>41</v>
      </c>
      <c r="N1285">
        <v>25</v>
      </c>
      <c r="O1285">
        <v>1</v>
      </c>
      <c r="P1285">
        <v>37.5</v>
      </c>
      <c r="Q1285">
        <v>30.16</v>
      </c>
      <c r="R1285" t="s">
        <v>26</v>
      </c>
      <c r="S1285" t="b">
        <v>0</v>
      </c>
      <c r="T1285" t="b">
        <v>0</v>
      </c>
    </row>
    <row r="1286" spans="1:20" x14ac:dyDescent="0.3">
      <c r="A1286" t="s">
        <v>2192</v>
      </c>
      <c r="B1286" s="1">
        <v>41855</v>
      </c>
      <c r="C1286" s="1">
        <v>41860</v>
      </c>
      <c r="D1286" t="s">
        <v>2193</v>
      </c>
      <c r="E1286" t="s">
        <v>51</v>
      </c>
      <c r="F1286" t="s">
        <v>23</v>
      </c>
      <c r="G1286" t="s">
        <v>375</v>
      </c>
      <c r="H1286">
        <v>51.75</v>
      </c>
      <c r="I1286">
        <v>5</v>
      </c>
      <c r="J1286">
        <v>24.84</v>
      </c>
      <c r="K1286">
        <v>2014</v>
      </c>
      <c r="L1286">
        <v>8</v>
      </c>
      <c r="M1286" t="s">
        <v>53</v>
      </c>
      <c r="N1286">
        <v>4</v>
      </c>
      <c r="O1286">
        <v>5</v>
      </c>
      <c r="P1286">
        <v>48</v>
      </c>
      <c r="Q1286">
        <v>10.35</v>
      </c>
      <c r="R1286" t="s">
        <v>26</v>
      </c>
      <c r="S1286" t="b">
        <v>0</v>
      </c>
      <c r="T1286" t="b">
        <v>0</v>
      </c>
    </row>
    <row r="1287" spans="1:20" x14ac:dyDescent="0.3">
      <c r="A1287" t="s">
        <v>2192</v>
      </c>
      <c r="B1287" s="1">
        <v>41855</v>
      </c>
      <c r="C1287" s="1">
        <v>41860</v>
      </c>
      <c r="D1287" t="s">
        <v>2193</v>
      </c>
      <c r="E1287" t="s">
        <v>51</v>
      </c>
      <c r="F1287" t="s">
        <v>29</v>
      </c>
      <c r="G1287" t="s">
        <v>2194</v>
      </c>
      <c r="H1287">
        <v>123.96</v>
      </c>
      <c r="I1287">
        <v>3</v>
      </c>
      <c r="J1287">
        <v>11.1564</v>
      </c>
      <c r="K1287">
        <v>2014</v>
      </c>
      <c r="L1287">
        <v>8</v>
      </c>
      <c r="M1287" t="s">
        <v>53</v>
      </c>
      <c r="N1287">
        <v>4</v>
      </c>
      <c r="O1287">
        <v>5</v>
      </c>
      <c r="P1287">
        <v>9</v>
      </c>
      <c r="Q1287">
        <v>41.32</v>
      </c>
      <c r="R1287" t="s">
        <v>26</v>
      </c>
      <c r="S1287" t="b">
        <v>0</v>
      </c>
      <c r="T1287" t="b">
        <v>0</v>
      </c>
    </row>
    <row r="1288" spans="1:20" x14ac:dyDescent="0.3">
      <c r="A1288" t="s">
        <v>2195</v>
      </c>
      <c r="B1288" s="1">
        <v>41142</v>
      </c>
      <c r="C1288" s="1">
        <v>41147</v>
      </c>
      <c r="D1288" t="s">
        <v>2196</v>
      </c>
      <c r="E1288" t="s">
        <v>51</v>
      </c>
      <c r="F1288" t="s">
        <v>45</v>
      </c>
      <c r="G1288" t="s">
        <v>475</v>
      </c>
      <c r="H1288">
        <v>80.98</v>
      </c>
      <c r="I1288">
        <v>1</v>
      </c>
      <c r="J1288">
        <v>3.2391999999999999</v>
      </c>
      <c r="K1288">
        <v>2012</v>
      </c>
      <c r="L1288">
        <v>8</v>
      </c>
      <c r="M1288" t="s">
        <v>53</v>
      </c>
      <c r="N1288">
        <v>21</v>
      </c>
      <c r="O1288">
        <v>5</v>
      </c>
      <c r="P1288">
        <v>4</v>
      </c>
      <c r="Q1288">
        <v>80.98</v>
      </c>
      <c r="R1288" t="s">
        <v>26</v>
      </c>
      <c r="S1288" t="b">
        <v>0</v>
      </c>
      <c r="T1288" t="b">
        <v>0</v>
      </c>
    </row>
    <row r="1289" spans="1:20" x14ac:dyDescent="0.3">
      <c r="A1289" t="s">
        <v>2197</v>
      </c>
      <c r="B1289" s="1">
        <v>41711</v>
      </c>
      <c r="C1289" s="1">
        <v>41716</v>
      </c>
      <c r="D1289" t="s">
        <v>2198</v>
      </c>
      <c r="E1289" t="s">
        <v>51</v>
      </c>
      <c r="F1289" t="s">
        <v>45</v>
      </c>
      <c r="G1289" t="s">
        <v>475</v>
      </c>
      <c r="H1289">
        <v>242.94</v>
      </c>
      <c r="I1289">
        <v>3</v>
      </c>
      <c r="J1289">
        <v>9.7175999999999991</v>
      </c>
      <c r="K1289">
        <v>2014</v>
      </c>
      <c r="L1289">
        <v>3</v>
      </c>
      <c r="M1289" t="s">
        <v>135</v>
      </c>
      <c r="N1289">
        <v>13</v>
      </c>
      <c r="O1289">
        <v>5</v>
      </c>
      <c r="P1289">
        <v>4</v>
      </c>
      <c r="Q1289">
        <v>80.98</v>
      </c>
      <c r="R1289" t="s">
        <v>26</v>
      </c>
      <c r="S1289" t="b">
        <v>0</v>
      </c>
      <c r="T1289" t="b">
        <v>1</v>
      </c>
    </row>
    <row r="1290" spans="1:20" x14ac:dyDescent="0.3">
      <c r="A1290" t="s">
        <v>2199</v>
      </c>
      <c r="B1290" s="1">
        <v>41757</v>
      </c>
      <c r="C1290" s="1">
        <v>41759</v>
      </c>
      <c r="D1290" t="s">
        <v>691</v>
      </c>
      <c r="E1290" t="s">
        <v>22</v>
      </c>
      <c r="F1290" t="s">
        <v>31</v>
      </c>
      <c r="G1290" t="s">
        <v>2200</v>
      </c>
      <c r="H1290">
        <v>123.92</v>
      </c>
      <c r="I1290">
        <v>4</v>
      </c>
      <c r="J1290">
        <v>33.458399999999997</v>
      </c>
      <c r="K1290">
        <v>2014</v>
      </c>
      <c r="L1290">
        <v>4</v>
      </c>
      <c r="M1290" t="s">
        <v>236</v>
      </c>
      <c r="N1290">
        <v>28</v>
      </c>
      <c r="O1290">
        <v>2</v>
      </c>
      <c r="P1290">
        <v>27</v>
      </c>
      <c r="Q1290">
        <v>30.98</v>
      </c>
      <c r="R1290" t="s">
        <v>26</v>
      </c>
      <c r="S1290" t="b">
        <v>0</v>
      </c>
      <c r="T1290" t="b">
        <v>0</v>
      </c>
    </row>
    <row r="1291" spans="1:20" x14ac:dyDescent="0.3">
      <c r="A1291" t="s">
        <v>2199</v>
      </c>
      <c r="B1291" s="1">
        <v>41757</v>
      </c>
      <c r="C1291" s="1">
        <v>41759</v>
      </c>
      <c r="D1291" t="s">
        <v>691</v>
      </c>
      <c r="E1291" t="s">
        <v>22</v>
      </c>
      <c r="F1291" t="s">
        <v>31</v>
      </c>
      <c r="G1291" t="s">
        <v>2180</v>
      </c>
      <c r="H1291">
        <v>12.39</v>
      </c>
      <c r="I1291">
        <v>3</v>
      </c>
      <c r="J1291">
        <v>5.6993999999999998</v>
      </c>
      <c r="K1291">
        <v>2014</v>
      </c>
      <c r="L1291">
        <v>4</v>
      </c>
      <c r="M1291" t="s">
        <v>236</v>
      </c>
      <c r="N1291">
        <v>28</v>
      </c>
      <c r="O1291">
        <v>2</v>
      </c>
      <c r="P1291">
        <v>46</v>
      </c>
      <c r="Q1291">
        <v>4.13</v>
      </c>
      <c r="R1291" t="s">
        <v>26</v>
      </c>
      <c r="S1291" t="b">
        <v>0</v>
      </c>
      <c r="T1291" t="b">
        <v>0</v>
      </c>
    </row>
    <row r="1292" spans="1:20" x14ac:dyDescent="0.3">
      <c r="A1292" t="s">
        <v>2199</v>
      </c>
      <c r="B1292" s="1">
        <v>41757</v>
      </c>
      <c r="C1292" s="1">
        <v>41759</v>
      </c>
      <c r="D1292" t="s">
        <v>691</v>
      </c>
      <c r="E1292" t="s">
        <v>22</v>
      </c>
      <c r="F1292" t="s">
        <v>31</v>
      </c>
      <c r="G1292" t="s">
        <v>1847</v>
      </c>
      <c r="H1292">
        <v>47.3</v>
      </c>
      <c r="I1292">
        <v>2</v>
      </c>
      <c r="J1292">
        <v>12.298</v>
      </c>
      <c r="K1292">
        <v>2014</v>
      </c>
      <c r="L1292">
        <v>4</v>
      </c>
      <c r="M1292" t="s">
        <v>236</v>
      </c>
      <c r="N1292">
        <v>28</v>
      </c>
      <c r="O1292">
        <v>2</v>
      </c>
      <c r="P1292">
        <v>26</v>
      </c>
      <c r="Q1292">
        <v>23.65</v>
      </c>
      <c r="R1292" t="s">
        <v>26</v>
      </c>
      <c r="S1292" t="b">
        <v>0</v>
      </c>
      <c r="T1292" t="b">
        <v>0</v>
      </c>
    </row>
    <row r="1293" spans="1:20" x14ac:dyDescent="0.3">
      <c r="A1293" t="s">
        <v>2201</v>
      </c>
      <c r="B1293" s="1">
        <v>41935</v>
      </c>
      <c r="C1293" s="1">
        <v>41937</v>
      </c>
      <c r="D1293" t="s">
        <v>2202</v>
      </c>
      <c r="E1293" t="s">
        <v>1316</v>
      </c>
      <c r="F1293" t="s">
        <v>33</v>
      </c>
      <c r="G1293" t="s">
        <v>346</v>
      </c>
      <c r="H1293">
        <v>3.1680000000000001</v>
      </c>
      <c r="I1293">
        <v>4</v>
      </c>
      <c r="J1293">
        <v>-2.5344000000000002</v>
      </c>
      <c r="K1293">
        <v>2014</v>
      </c>
      <c r="L1293">
        <v>10</v>
      </c>
      <c r="M1293" t="s">
        <v>82</v>
      </c>
      <c r="N1293">
        <v>23</v>
      </c>
      <c r="O1293">
        <v>2</v>
      </c>
      <c r="P1293">
        <v>-80</v>
      </c>
      <c r="Q1293">
        <v>0.79200000000000004</v>
      </c>
      <c r="R1293" t="s">
        <v>26</v>
      </c>
      <c r="S1293" t="b">
        <v>1</v>
      </c>
      <c r="T1293" t="b">
        <v>0</v>
      </c>
    </row>
    <row r="1294" spans="1:20" x14ac:dyDescent="0.3">
      <c r="A1294" t="s">
        <v>2203</v>
      </c>
      <c r="B1294" s="1">
        <v>41123</v>
      </c>
      <c r="C1294" s="1">
        <v>41127</v>
      </c>
      <c r="D1294" t="s">
        <v>2204</v>
      </c>
      <c r="E1294" t="s">
        <v>39</v>
      </c>
      <c r="F1294" t="s">
        <v>33</v>
      </c>
      <c r="G1294" t="s">
        <v>2205</v>
      </c>
      <c r="H1294">
        <v>6.3680000000000003</v>
      </c>
      <c r="I1294">
        <v>2</v>
      </c>
      <c r="J1294">
        <v>2.1492</v>
      </c>
      <c r="K1294">
        <v>2012</v>
      </c>
      <c r="L1294">
        <v>8</v>
      </c>
      <c r="M1294" t="s">
        <v>53</v>
      </c>
      <c r="N1294">
        <v>2</v>
      </c>
      <c r="O1294">
        <v>4</v>
      </c>
      <c r="P1294">
        <v>33.75</v>
      </c>
      <c r="Q1294">
        <v>3.1840000000000002</v>
      </c>
      <c r="R1294" t="s">
        <v>26</v>
      </c>
      <c r="S1294" t="b">
        <v>0</v>
      </c>
      <c r="T1294" t="b">
        <v>0</v>
      </c>
    </row>
    <row r="1295" spans="1:20" x14ac:dyDescent="0.3">
      <c r="A1295" t="s">
        <v>2206</v>
      </c>
      <c r="B1295" s="1">
        <v>41774</v>
      </c>
      <c r="C1295" s="1">
        <v>41779</v>
      </c>
      <c r="D1295" t="s">
        <v>2044</v>
      </c>
      <c r="E1295" t="s">
        <v>39</v>
      </c>
      <c r="F1295" t="s">
        <v>72</v>
      </c>
      <c r="G1295" t="s">
        <v>2207</v>
      </c>
      <c r="H1295">
        <v>440.19</v>
      </c>
      <c r="I1295">
        <v>9</v>
      </c>
      <c r="J1295">
        <v>206.88929999999999</v>
      </c>
      <c r="K1295">
        <v>2014</v>
      </c>
      <c r="L1295">
        <v>5</v>
      </c>
      <c r="M1295" t="s">
        <v>47</v>
      </c>
      <c r="N1295">
        <v>15</v>
      </c>
      <c r="O1295">
        <v>5</v>
      </c>
      <c r="P1295">
        <v>47</v>
      </c>
      <c r="Q1295">
        <v>48.91</v>
      </c>
      <c r="R1295" t="s">
        <v>26</v>
      </c>
      <c r="S1295" t="b">
        <v>0</v>
      </c>
      <c r="T1295" t="b">
        <v>1</v>
      </c>
    </row>
    <row r="1296" spans="1:20" x14ac:dyDescent="0.3">
      <c r="A1296" t="s">
        <v>2206</v>
      </c>
      <c r="B1296" s="1">
        <v>41774</v>
      </c>
      <c r="C1296" s="1">
        <v>41779</v>
      </c>
      <c r="D1296" t="s">
        <v>2044</v>
      </c>
      <c r="E1296" t="s">
        <v>39</v>
      </c>
      <c r="F1296" t="s">
        <v>122</v>
      </c>
      <c r="G1296" t="s">
        <v>403</v>
      </c>
      <c r="H1296">
        <v>64.400000000000006</v>
      </c>
      <c r="I1296">
        <v>5</v>
      </c>
      <c r="J1296">
        <v>1.9319999999999999</v>
      </c>
      <c r="K1296">
        <v>2014</v>
      </c>
      <c r="L1296">
        <v>5</v>
      </c>
      <c r="M1296" t="s">
        <v>47</v>
      </c>
      <c r="N1296">
        <v>15</v>
      </c>
      <c r="O1296">
        <v>5</v>
      </c>
      <c r="P1296">
        <v>3</v>
      </c>
      <c r="Q1296">
        <v>12.88</v>
      </c>
      <c r="R1296" t="s">
        <v>26</v>
      </c>
      <c r="S1296" t="b">
        <v>0</v>
      </c>
      <c r="T1296" t="b">
        <v>0</v>
      </c>
    </row>
    <row r="1297" spans="1:20" x14ac:dyDescent="0.3">
      <c r="A1297" t="s">
        <v>2208</v>
      </c>
      <c r="B1297" s="1">
        <v>41738</v>
      </c>
      <c r="C1297" s="1">
        <v>41742</v>
      </c>
      <c r="D1297" t="s">
        <v>1198</v>
      </c>
      <c r="E1297" t="s">
        <v>51</v>
      </c>
      <c r="F1297" t="s">
        <v>72</v>
      </c>
      <c r="G1297" t="s">
        <v>1414</v>
      </c>
      <c r="H1297">
        <v>244.55</v>
      </c>
      <c r="I1297">
        <v>5</v>
      </c>
      <c r="J1297">
        <v>114.9385</v>
      </c>
      <c r="K1297">
        <v>2014</v>
      </c>
      <c r="L1297">
        <v>4</v>
      </c>
      <c r="M1297" t="s">
        <v>236</v>
      </c>
      <c r="N1297">
        <v>9</v>
      </c>
      <c r="O1297">
        <v>4</v>
      </c>
      <c r="P1297">
        <v>47</v>
      </c>
      <c r="Q1297">
        <v>48.91</v>
      </c>
      <c r="R1297" t="s">
        <v>26</v>
      </c>
      <c r="S1297" t="b">
        <v>0</v>
      </c>
      <c r="T1297" t="b">
        <v>1</v>
      </c>
    </row>
    <row r="1298" spans="1:20" x14ac:dyDescent="0.3">
      <c r="A1298" t="s">
        <v>2208</v>
      </c>
      <c r="B1298" s="1">
        <v>41738</v>
      </c>
      <c r="C1298" s="1">
        <v>41742</v>
      </c>
      <c r="D1298" t="s">
        <v>1198</v>
      </c>
      <c r="E1298" t="s">
        <v>51</v>
      </c>
      <c r="F1298" t="s">
        <v>72</v>
      </c>
      <c r="G1298" t="s">
        <v>1957</v>
      </c>
      <c r="H1298">
        <v>195.76</v>
      </c>
      <c r="I1298">
        <v>4</v>
      </c>
      <c r="J1298">
        <v>97.88</v>
      </c>
      <c r="K1298">
        <v>2014</v>
      </c>
      <c r="L1298">
        <v>4</v>
      </c>
      <c r="M1298" t="s">
        <v>236</v>
      </c>
      <c r="N1298">
        <v>9</v>
      </c>
      <c r="O1298">
        <v>4</v>
      </c>
      <c r="P1298">
        <v>50</v>
      </c>
      <c r="Q1298">
        <v>48.94</v>
      </c>
      <c r="R1298" t="s">
        <v>26</v>
      </c>
      <c r="S1298" t="b">
        <v>0</v>
      </c>
      <c r="T1298" t="b">
        <v>0</v>
      </c>
    </row>
    <row r="1299" spans="1:20" x14ac:dyDescent="0.3">
      <c r="A1299" t="s">
        <v>2209</v>
      </c>
      <c r="B1299" s="1">
        <v>41815</v>
      </c>
      <c r="C1299" s="1">
        <v>41817</v>
      </c>
      <c r="D1299" t="s">
        <v>1195</v>
      </c>
      <c r="E1299" t="s">
        <v>51</v>
      </c>
      <c r="F1299" t="s">
        <v>119</v>
      </c>
      <c r="G1299" t="s">
        <v>2210</v>
      </c>
      <c r="H1299">
        <v>2.88</v>
      </c>
      <c r="I1299">
        <v>1</v>
      </c>
      <c r="J1299">
        <v>1.3535999999999999</v>
      </c>
      <c r="K1299">
        <v>2014</v>
      </c>
      <c r="L1299">
        <v>6</v>
      </c>
      <c r="M1299" t="s">
        <v>25</v>
      </c>
      <c r="N1299">
        <v>25</v>
      </c>
      <c r="O1299">
        <v>2</v>
      </c>
      <c r="P1299">
        <v>47</v>
      </c>
      <c r="Q1299">
        <v>2.88</v>
      </c>
      <c r="R1299" t="s">
        <v>26</v>
      </c>
      <c r="S1299" t="b">
        <v>0</v>
      </c>
      <c r="T1299" t="b">
        <v>0</v>
      </c>
    </row>
    <row r="1300" spans="1:20" x14ac:dyDescent="0.3">
      <c r="A1300" t="s">
        <v>2211</v>
      </c>
      <c r="B1300" s="1">
        <v>41284</v>
      </c>
      <c r="C1300" s="1">
        <v>41291</v>
      </c>
      <c r="D1300" t="s">
        <v>2044</v>
      </c>
      <c r="E1300" t="s">
        <v>39</v>
      </c>
      <c r="F1300" t="s">
        <v>29</v>
      </c>
      <c r="G1300" t="s">
        <v>1439</v>
      </c>
      <c r="H1300">
        <v>79.92</v>
      </c>
      <c r="I1300">
        <v>4</v>
      </c>
      <c r="J1300">
        <v>34.365600000000001</v>
      </c>
      <c r="K1300">
        <v>2013</v>
      </c>
      <c r="L1300">
        <v>1</v>
      </c>
      <c r="M1300" t="s">
        <v>60</v>
      </c>
      <c r="N1300">
        <v>10</v>
      </c>
      <c r="O1300">
        <v>7</v>
      </c>
      <c r="P1300">
        <v>43</v>
      </c>
      <c r="Q1300">
        <v>19.98</v>
      </c>
      <c r="R1300" t="s">
        <v>26</v>
      </c>
      <c r="S1300" t="b">
        <v>0</v>
      </c>
      <c r="T1300" t="b">
        <v>0</v>
      </c>
    </row>
    <row r="1301" spans="1:20" x14ac:dyDescent="0.3">
      <c r="A1301" t="s">
        <v>2211</v>
      </c>
      <c r="B1301" s="1">
        <v>41284</v>
      </c>
      <c r="C1301" s="1">
        <v>41291</v>
      </c>
      <c r="D1301" t="s">
        <v>2044</v>
      </c>
      <c r="E1301" t="s">
        <v>39</v>
      </c>
      <c r="F1301" t="s">
        <v>61</v>
      </c>
      <c r="G1301" t="s">
        <v>2212</v>
      </c>
      <c r="H1301">
        <v>69.98</v>
      </c>
      <c r="I1301">
        <v>2</v>
      </c>
      <c r="J1301">
        <v>13.296200000000001</v>
      </c>
      <c r="K1301">
        <v>2013</v>
      </c>
      <c r="L1301">
        <v>1</v>
      </c>
      <c r="M1301" t="s">
        <v>60</v>
      </c>
      <c r="N1301">
        <v>10</v>
      </c>
      <c r="O1301">
        <v>7</v>
      </c>
      <c r="P1301">
        <v>19</v>
      </c>
      <c r="Q1301">
        <v>34.99</v>
      </c>
      <c r="R1301" t="s">
        <v>26</v>
      </c>
      <c r="S1301" t="b">
        <v>0</v>
      </c>
      <c r="T1301" t="b">
        <v>0</v>
      </c>
    </row>
    <row r="1302" spans="1:20" x14ac:dyDescent="0.3">
      <c r="A1302" t="s">
        <v>2213</v>
      </c>
      <c r="B1302" s="1">
        <v>40616</v>
      </c>
      <c r="C1302" s="1">
        <v>40621</v>
      </c>
      <c r="D1302" t="s">
        <v>1438</v>
      </c>
      <c r="E1302" t="s">
        <v>2214</v>
      </c>
      <c r="F1302" t="s">
        <v>33</v>
      </c>
      <c r="G1302" t="s">
        <v>1785</v>
      </c>
      <c r="H1302">
        <v>33.088000000000001</v>
      </c>
      <c r="I1302">
        <v>4</v>
      </c>
      <c r="J1302">
        <v>11.167199999999999</v>
      </c>
      <c r="K1302">
        <v>2011</v>
      </c>
      <c r="L1302">
        <v>3</v>
      </c>
      <c r="M1302" t="s">
        <v>135</v>
      </c>
      <c r="N1302">
        <v>14</v>
      </c>
      <c r="O1302">
        <v>5</v>
      </c>
      <c r="P1302">
        <v>33.75</v>
      </c>
      <c r="Q1302">
        <v>8.2720000000000002</v>
      </c>
      <c r="R1302" t="s">
        <v>26</v>
      </c>
      <c r="S1302" t="b">
        <v>0</v>
      </c>
      <c r="T1302" t="b">
        <v>0</v>
      </c>
    </row>
    <row r="1303" spans="1:20" x14ac:dyDescent="0.3">
      <c r="A1303" t="s">
        <v>2213</v>
      </c>
      <c r="B1303" s="1">
        <v>40616</v>
      </c>
      <c r="C1303" s="1">
        <v>40621</v>
      </c>
      <c r="D1303" t="s">
        <v>1438</v>
      </c>
      <c r="E1303" t="s">
        <v>2214</v>
      </c>
      <c r="F1303" t="s">
        <v>45</v>
      </c>
      <c r="G1303" t="s">
        <v>475</v>
      </c>
      <c r="H1303">
        <v>80.98</v>
      </c>
      <c r="I1303">
        <v>1</v>
      </c>
      <c r="J1303">
        <v>3.2391999999999999</v>
      </c>
      <c r="K1303">
        <v>2011</v>
      </c>
      <c r="L1303">
        <v>3</v>
      </c>
      <c r="M1303" t="s">
        <v>135</v>
      </c>
      <c r="N1303">
        <v>14</v>
      </c>
      <c r="O1303">
        <v>5</v>
      </c>
      <c r="P1303">
        <v>4</v>
      </c>
      <c r="Q1303">
        <v>80.98</v>
      </c>
      <c r="R1303" t="s">
        <v>26</v>
      </c>
      <c r="S1303" t="b">
        <v>0</v>
      </c>
      <c r="T1303" t="b">
        <v>0</v>
      </c>
    </row>
    <row r="1304" spans="1:20" x14ac:dyDescent="0.3">
      <c r="A1304" t="s">
        <v>2213</v>
      </c>
      <c r="B1304" s="1">
        <v>40616</v>
      </c>
      <c r="C1304" s="1">
        <v>40621</v>
      </c>
      <c r="D1304" t="s">
        <v>1438</v>
      </c>
      <c r="E1304" t="s">
        <v>2214</v>
      </c>
      <c r="F1304" t="s">
        <v>61</v>
      </c>
      <c r="G1304" t="s">
        <v>2215</v>
      </c>
      <c r="H1304">
        <v>82.8</v>
      </c>
      <c r="I1304">
        <v>12</v>
      </c>
      <c r="J1304">
        <v>6.6239999999999997</v>
      </c>
      <c r="K1304">
        <v>2011</v>
      </c>
      <c r="L1304">
        <v>3</v>
      </c>
      <c r="M1304" t="s">
        <v>135</v>
      </c>
      <c r="N1304">
        <v>14</v>
      </c>
      <c r="O1304">
        <v>5</v>
      </c>
      <c r="P1304">
        <v>8</v>
      </c>
      <c r="Q1304">
        <v>6.8999999999999986</v>
      </c>
      <c r="R1304" t="s">
        <v>26</v>
      </c>
      <c r="S1304" t="b">
        <v>0</v>
      </c>
      <c r="T1304" t="b">
        <v>0</v>
      </c>
    </row>
    <row r="1305" spans="1:20" x14ac:dyDescent="0.3">
      <c r="A1305" t="s">
        <v>2213</v>
      </c>
      <c r="B1305" s="1">
        <v>40616</v>
      </c>
      <c r="C1305" s="1">
        <v>40621</v>
      </c>
      <c r="D1305" t="s">
        <v>1438</v>
      </c>
      <c r="E1305" t="s">
        <v>2214</v>
      </c>
      <c r="F1305" t="s">
        <v>45</v>
      </c>
      <c r="G1305" t="s">
        <v>155</v>
      </c>
      <c r="H1305">
        <v>21.36</v>
      </c>
      <c r="I1305">
        <v>2</v>
      </c>
      <c r="J1305">
        <v>5.7671999999999999</v>
      </c>
      <c r="K1305">
        <v>2011</v>
      </c>
      <c r="L1305">
        <v>3</v>
      </c>
      <c r="M1305" t="s">
        <v>135</v>
      </c>
      <c r="N1305">
        <v>14</v>
      </c>
      <c r="O1305">
        <v>5</v>
      </c>
      <c r="P1305">
        <v>27</v>
      </c>
      <c r="Q1305">
        <v>10.68</v>
      </c>
      <c r="R1305" t="s">
        <v>26</v>
      </c>
      <c r="S1305" t="b">
        <v>0</v>
      </c>
      <c r="T1305" t="b">
        <v>0</v>
      </c>
    </row>
    <row r="1306" spans="1:20" x14ac:dyDescent="0.3">
      <c r="A1306" t="s">
        <v>2213</v>
      </c>
      <c r="B1306" s="1">
        <v>40616</v>
      </c>
      <c r="C1306" s="1">
        <v>40621</v>
      </c>
      <c r="D1306" t="s">
        <v>1438</v>
      </c>
      <c r="E1306" t="s">
        <v>2214</v>
      </c>
      <c r="F1306" t="s">
        <v>33</v>
      </c>
      <c r="G1306" t="s">
        <v>1849</v>
      </c>
      <c r="H1306">
        <v>62.048000000000002</v>
      </c>
      <c r="I1306">
        <v>2</v>
      </c>
      <c r="J1306">
        <v>20.165600000000001</v>
      </c>
      <c r="K1306">
        <v>2011</v>
      </c>
      <c r="L1306">
        <v>3</v>
      </c>
      <c r="M1306" t="s">
        <v>135</v>
      </c>
      <c r="N1306">
        <v>14</v>
      </c>
      <c r="O1306">
        <v>5</v>
      </c>
      <c r="P1306">
        <v>32.5</v>
      </c>
      <c r="Q1306">
        <v>31.024000000000001</v>
      </c>
      <c r="R1306" t="s">
        <v>26</v>
      </c>
      <c r="S1306" t="b">
        <v>0</v>
      </c>
      <c r="T1306" t="b">
        <v>0</v>
      </c>
    </row>
    <row r="1307" spans="1:20" x14ac:dyDescent="0.3">
      <c r="A1307" t="s">
        <v>2216</v>
      </c>
      <c r="B1307" s="1">
        <v>40897</v>
      </c>
      <c r="C1307" s="1">
        <v>40899</v>
      </c>
      <c r="D1307" t="s">
        <v>1462</v>
      </c>
      <c r="E1307" t="s">
        <v>257</v>
      </c>
      <c r="F1307" t="s">
        <v>29</v>
      </c>
      <c r="G1307" t="s">
        <v>1478</v>
      </c>
      <c r="H1307">
        <v>51.968000000000004</v>
      </c>
      <c r="I1307">
        <v>2</v>
      </c>
      <c r="J1307">
        <v>10.393599999999999</v>
      </c>
      <c r="K1307">
        <v>2011</v>
      </c>
      <c r="L1307">
        <v>12</v>
      </c>
      <c r="M1307" t="s">
        <v>41</v>
      </c>
      <c r="N1307">
        <v>20</v>
      </c>
      <c r="O1307">
        <v>2</v>
      </c>
      <c r="P1307">
        <v>20</v>
      </c>
      <c r="Q1307">
        <v>25.984000000000002</v>
      </c>
      <c r="R1307" t="s">
        <v>26</v>
      </c>
      <c r="S1307" t="b">
        <v>0</v>
      </c>
      <c r="T1307" t="b">
        <v>0</v>
      </c>
    </row>
    <row r="1308" spans="1:20" x14ac:dyDescent="0.3">
      <c r="A1308" t="s">
        <v>2216</v>
      </c>
      <c r="B1308" s="1">
        <v>40897</v>
      </c>
      <c r="C1308" s="1">
        <v>40899</v>
      </c>
      <c r="D1308" t="s">
        <v>1462</v>
      </c>
      <c r="E1308" t="s">
        <v>257</v>
      </c>
      <c r="F1308" t="s">
        <v>61</v>
      </c>
      <c r="G1308" t="s">
        <v>202</v>
      </c>
      <c r="H1308">
        <v>71.975999999999999</v>
      </c>
      <c r="I1308">
        <v>3</v>
      </c>
      <c r="J1308">
        <v>21.5928</v>
      </c>
      <c r="K1308">
        <v>2011</v>
      </c>
      <c r="L1308">
        <v>12</v>
      </c>
      <c r="M1308" t="s">
        <v>41</v>
      </c>
      <c r="N1308">
        <v>20</v>
      </c>
      <c r="O1308">
        <v>2</v>
      </c>
      <c r="P1308">
        <v>30</v>
      </c>
      <c r="Q1308">
        <v>23.992000000000001</v>
      </c>
      <c r="R1308" t="s">
        <v>26</v>
      </c>
      <c r="S1308" t="b">
        <v>0</v>
      </c>
      <c r="T1308" t="b">
        <v>0</v>
      </c>
    </row>
    <row r="1309" spans="1:20" x14ac:dyDescent="0.3">
      <c r="A1309" t="s">
        <v>2216</v>
      </c>
      <c r="B1309" s="1">
        <v>40897</v>
      </c>
      <c r="C1309" s="1">
        <v>40899</v>
      </c>
      <c r="D1309" t="s">
        <v>1462</v>
      </c>
      <c r="E1309" t="s">
        <v>257</v>
      </c>
      <c r="F1309" t="s">
        <v>110</v>
      </c>
      <c r="G1309" t="s">
        <v>2217</v>
      </c>
      <c r="H1309">
        <v>242.352</v>
      </c>
      <c r="I1309">
        <v>3</v>
      </c>
      <c r="J1309">
        <v>-42.4116</v>
      </c>
      <c r="K1309">
        <v>2011</v>
      </c>
      <c r="L1309">
        <v>12</v>
      </c>
      <c r="M1309" t="s">
        <v>41</v>
      </c>
      <c r="N1309">
        <v>20</v>
      </c>
      <c r="O1309">
        <v>2</v>
      </c>
      <c r="P1309">
        <v>-17.5</v>
      </c>
      <c r="Q1309">
        <v>80.784000000000006</v>
      </c>
      <c r="R1309" t="s">
        <v>26</v>
      </c>
      <c r="S1309" t="b">
        <v>1</v>
      </c>
      <c r="T1309" t="b">
        <v>1</v>
      </c>
    </row>
    <row r="1310" spans="1:20" x14ac:dyDescent="0.3">
      <c r="A1310" t="s">
        <v>2216</v>
      </c>
      <c r="B1310" s="1">
        <v>40897</v>
      </c>
      <c r="C1310" s="1">
        <v>40899</v>
      </c>
      <c r="D1310" t="s">
        <v>1462</v>
      </c>
      <c r="E1310" t="s">
        <v>257</v>
      </c>
      <c r="F1310" t="s">
        <v>72</v>
      </c>
      <c r="G1310" t="s">
        <v>1457</v>
      </c>
      <c r="H1310">
        <v>221.92</v>
      </c>
      <c r="I1310">
        <v>5</v>
      </c>
      <c r="J1310">
        <v>77.671999999999997</v>
      </c>
      <c r="K1310">
        <v>2011</v>
      </c>
      <c r="L1310">
        <v>12</v>
      </c>
      <c r="M1310" t="s">
        <v>41</v>
      </c>
      <c r="N1310">
        <v>20</v>
      </c>
      <c r="O1310">
        <v>2</v>
      </c>
      <c r="P1310">
        <v>35</v>
      </c>
      <c r="Q1310">
        <v>44.384</v>
      </c>
      <c r="R1310" t="s">
        <v>26</v>
      </c>
      <c r="S1310" t="b">
        <v>0</v>
      </c>
      <c r="T1310" t="b">
        <v>1</v>
      </c>
    </row>
    <row r="1311" spans="1:20" x14ac:dyDescent="0.3">
      <c r="A1311" t="s">
        <v>2216</v>
      </c>
      <c r="B1311" s="1">
        <v>40897</v>
      </c>
      <c r="C1311" s="1">
        <v>40899</v>
      </c>
      <c r="D1311" t="s">
        <v>1462</v>
      </c>
      <c r="E1311" t="s">
        <v>257</v>
      </c>
      <c r="F1311" t="s">
        <v>72</v>
      </c>
      <c r="G1311" t="s">
        <v>2218</v>
      </c>
      <c r="H1311">
        <v>8.4480000000000004</v>
      </c>
      <c r="I1311">
        <v>2</v>
      </c>
      <c r="J1311">
        <v>2.64</v>
      </c>
      <c r="K1311">
        <v>2011</v>
      </c>
      <c r="L1311">
        <v>12</v>
      </c>
      <c r="M1311" t="s">
        <v>41</v>
      </c>
      <c r="N1311">
        <v>20</v>
      </c>
      <c r="O1311">
        <v>2</v>
      </c>
      <c r="P1311">
        <v>31.25</v>
      </c>
      <c r="Q1311">
        <v>4.2240000000000002</v>
      </c>
      <c r="R1311" t="s">
        <v>26</v>
      </c>
      <c r="S1311" t="b">
        <v>0</v>
      </c>
      <c r="T1311" t="b">
        <v>0</v>
      </c>
    </row>
    <row r="1312" spans="1:20" x14ac:dyDescent="0.3">
      <c r="A1312" t="s">
        <v>2219</v>
      </c>
      <c r="B1312" s="1">
        <v>41820</v>
      </c>
      <c r="C1312" s="1">
        <v>41821</v>
      </c>
      <c r="D1312" t="s">
        <v>1216</v>
      </c>
      <c r="E1312" t="s">
        <v>22</v>
      </c>
      <c r="F1312" t="s">
        <v>45</v>
      </c>
      <c r="G1312" t="s">
        <v>107</v>
      </c>
      <c r="H1312">
        <v>130.71</v>
      </c>
      <c r="I1312">
        <v>3</v>
      </c>
      <c r="J1312">
        <v>39.213000000000001</v>
      </c>
      <c r="K1312">
        <v>2014</v>
      </c>
      <c r="L1312">
        <v>6</v>
      </c>
      <c r="M1312" t="s">
        <v>25</v>
      </c>
      <c r="N1312">
        <v>30</v>
      </c>
      <c r="O1312">
        <v>1</v>
      </c>
      <c r="P1312">
        <v>30</v>
      </c>
      <c r="Q1312">
        <v>43.57</v>
      </c>
      <c r="R1312" t="s">
        <v>26</v>
      </c>
      <c r="S1312" t="b">
        <v>0</v>
      </c>
      <c r="T1312" t="b">
        <v>0</v>
      </c>
    </row>
    <row r="1313" spans="1:20" x14ac:dyDescent="0.3">
      <c r="A1313" t="s">
        <v>2219</v>
      </c>
      <c r="B1313" s="1">
        <v>41820</v>
      </c>
      <c r="C1313" s="1">
        <v>41821</v>
      </c>
      <c r="D1313" t="s">
        <v>1216</v>
      </c>
      <c r="E1313" t="s">
        <v>22</v>
      </c>
      <c r="F1313" t="s">
        <v>31</v>
      </c>
      <c r="G1313" t="s">
        <v>2220</v>
      </c>
      <c r="H1313">
        <v>11.68</v>
      </c>
      <c r="I1313">
        <v>2</v>
      </c>
      <c r="J1313">
        <v>3.0367999999999999</v>
      </c>
      <c r="K1313">
        <v>2014</v>
      </c>
      <c r="L1313">
        <v>6</v>
      </c>
      <c r="M1313" t="s">
        <v>25</v>
      </c>
      <c r="N1313">
        <v>30</v>
      </c>
      <c r="O1313">
        <v>1</v>
      </c>
      <c r="P1313">
        <v>26</v>
      </c>
      <c r="Q1313">
        <v>5.84</v>
      </c>
      <c r="R1313" t="s">
        <v>26</v>
      </c>
      <c r="S1313" t="b">
        <v>0</v>
      </c>
      <c r="T1313" t="b">
        <v>0</v>
      </c>
    </row>
    <row r="1314" spans="1:20" x14ac:dyDescent="0.3">
      <c r="A1314" t="s">
        <v>2219</v>
      </c>
      <c r="B1314" s="1">
        <v>41820</v>
      </c>
      <c r="C1314" s="1">
        <v>41821</v>
      </c>
      <c r="D1314" t="s">
        <v>1216</v>
      </c>
      <c r="E1314" t="s">
        <v>22</v>
      </c>
      <c r="F1314" t="s">
        <v>61</v>
      </c>
      <c r="G1314" t="s">
        <v>1112</v>
      </c>
      <c r="H1314">
        <v>62.31</v>
      </c>
      <c r="I1314">
        <v>3</v>
      </c>
      <c r="J1314">
        <v>22.4316</v>
      </c>
      <c r="K1314">
        <v>2014</v>
      </c>
      <c r="L1314">
        <v>6</v>
      </c>
      <c r="M1314" t="s">
        <v>25</v>
      </c>
      <c r="N1314">
        <v>30</v>
      </c>
      <c r="O1314">
        <v>1</v>
      </c>
      <c r="P1314">
        <v>36</v>
      </c>
      <c r="Q1314">
        <v>20.77</v>
      </c>
      <c r="R1314" t="s">
        <v>26</v>
      </c>
      <c r="S1314" t="b">
        <v>0</v>
      </c>
      <c r="T1314" t="b">
        <v>0</v>
      </c>
    </row>
    <row r="1315" spans="1:20" x14ac:dyDescent="0.3">
      <c r="A1315" t="s">
        <v>2221</v>
      </c>
      <c r="B1315" s="1">
        <v>41778</v>
      </c>
      <c r="C1315" s="1">
        <v>41780</v>
      </c>
      <c r="D1315" t="s">
        <v>815</v>
      </c>
      <c r="E1315" t="s">
        <v>92</v>
      </c>
      <c r="F1315" t="s">
        <v>54</v>
      </c>
      <c r="G1315" t="s">
        <v>2222</v>
      </c>
      <c r="H1315">
        <v>344.70400000000001</v>
      </c>
      <c r="I1315">
        <v>2</v>
      </c>
      <c r="J1315">
        <v>38.779200000000003</v>
      </c>
      <c r="K1315">
        <v>2014</v>
      </c>
      <c r="L1315">
        <v>5</v>
      </c>
      <c r="M1315" t="s">
        <v>47</v>
      </c>
      <c r="N1315">
        <v>19</v>
      </c>
      <c r="O1315">
        <v>2</v>
      </c>
      <c r="P1315">
        <v>11.25</v>
      </c>
      <c r="Q1315">
        <v>172.352</v>
      </c>
      <c r="R1315" t="s">
        <v>26</v>
      </c>
      <c r="S1315" t="b">
        <v>0</v>
      </c>
      <c r="T1315" t="b">
        <v>1</v>
      </c>
    </row>
    <row r="1316" spans="1:20" x14ac:dyDescent="0.3">
      <c r="A1316" t="s">
        <v>2223</v>
      </c>
      <c r="B1316" s="1">
        <v>41041</v>
      </c>
      <c r="C1316" s="1">
        <v>41045</v>
      </c>
      <c r="D1316" t="s">
        <v>703</v>
      </c>
      <c r="E1316" t="s">
        <v>297</v>
      </c>
      <c r="F1316" t="s">
        <v>54</v>
      </c>
      <c r="G1316" t="s">
        <v>948</v>
      </c>
      <c r="H1316">
        <v>201.584</v>
      </c>
      <c r="I1316">
        <v>2</v>
      </c>
      <c r="J1316">
        <v>20.1584</v>
      </c>
      <c r="K1316">
        <v>2012</v>
      </c>
      <c r="L1316">
        <v>5</v>
      </c>
      <c r="M1316" t="s">
        <v>47</v>
      </c>
      <c r="N1316">
        <v>12</v>
      </c>
      <c r="O1316">
        <v>4</v>
      </c>
      <c r="P1316">
        <v>10</v>
      </c>
      <c r="Q1316">
        <v>100.792</v>
      </c>
      <c r="R1316" t="s">
        <v>26</v>
      </c>
      <c r="S1316" t="b">
        <v>0</v>
      </c>
      <c r="T1316" t="b">
        <v>0</v>
      </c>
    </row>
    <row r="1317" spans="1:20" x14ac:dyDescent="0.3">
      <c r="A1317" t="s">
        <v>2224</v>
      </c>
      <c r="B1317" s="1">
        <v>41192</v>
      </c>
      <c r="C1317" s="1">
        <v>41193</v>
      </c>
      <c r="D1317" t="s">
        <v>2225</v>
      </c>
      <c r="E1317" t="s">
        <v>51</v>
      </c>
      <c r="F1317" t="s">
        <v>72</v>
      </c>
      <c r="G1317" t="s">
        <v>415</v>
      </c>
      <c r="H1317">
        <v>45.36</v>
      </c>
      <c r="I1317">
        <v>7</v>
      </c>
      <c r="J1317">
        <v>21.7728</v>
      </c>
      <c r="K1317">
        <v>2012</v>
      </c>
      <c r="L1317">
        <v>10</v>
      </c>
      <c r="M1317" t="s">
        <v>82</v>
      </c>
      <c r="N1317">
        <v>10</v>
      </c>
      <c r="O1317">
        <v>1</v>
      </c>
      <c r="P1317">
        <v>48</v>
      </c>
      <c r="Q1317">
        <v>6.48</v>
      </c>
      <c r="R1317" t="s">
        <v>26</v>
      </c>
      <c r="S1317" t="b">
        <v>0</v>
      </c>
      <c r="T1317" t="b">
        <v>0</v>
      </c>
    </row>
    <row r="1318" spans="1:20" x14ac:dyDescent="0.3">
      <c r="A1318" t="s">
        <v>2226</v>
      </c>
      <c r="B1318" s="1">
        <v>41017</v>
      </c>
      <c r="C1318" s="1">
        <v>41019</v>
      </c>
      <c r="D1318" t="s">
        <v>2227</v>
      </c>
      <c r="E1318" t="s">
        <v>22</v>
      </c>
      <c r="F1318" t="s">
        <v>72</v>
      </c>
      <c r="G1318" t="s">
        <v>2228</v>
      </c>
      <c r="H1318">
        <v>61.96</v>
      </c>
      <c r="I1318">
        <v>2</v>
      </c>
      <c r="J1318">
        <v>27.882000000000001</v>
      </c>
      <c r="K1318">
        <v>2012</v>
      </c>
      <c r="L1318">
        <v>4</v>
      </c>
      <c r="M1318" t="s">
        <v>236</v>
      </c>
      <c r="N1318">
        <v>18</v>
      </c>
      <c r="O1318">
        <v>2</v>
      </c>
      <c r="P1318">
        <v>45</v>
      </c>
      <c r="Q1318">
        <v>30.98</v>
      </c>
      <c r="R1318" t="s">
        <v>26</v>
      </c>
      <c r="S1318" t="b">
        <v>0</v>
      </c>
      <c r="T1318" t="b">
        <v>0</v>
      </c>
    </row>
    <row r="1319" spans="1:20" x14ac:dyDescent="0.3">
      <c r="A1319" t="s">
        <v>2229</v>
      </c>
      <c r="B1319" s="1">
        <v>41884</v>
      </c>
      <c r="C1319" s="1">
        <v>41890</v>
      </c>
      <c r="D1319" t="s">
        <v>467</v>
      </c>
      <c r="E1319" t="s">
        <v>39</v>
      </c>
      <c r="F1319" t="s">
        <v>31</v>
      </c>
      <c r="G1319" t="s">
        <v>155</v>
      </c>
      <c r="H1319">
        <v>7.58</v>
      </c>
      <c r="I1319">
        <v>1</v>
      </c>
      <c r="J1319">
        <v>2.9561999999999999</v>
      </c>
      <c r="K1319">
        <v>2014</v>
      </c>
      <c r="L1319">
        <v>9</v>
      </c>
      <c r="M1319" t="s">
        <v>87</v>
      </c>
      <c r="N1319">
        <v>2</v>
      </c>
      <c r="O1319">
        <v>6</v>
      </c>
      <c r="P1319">
        <v>39</v>
      </c>
      <c r="Q1319">
        <v>7.58</v>
      </c>
      <c r="R1319" t="s">
        <v>26</v>
      </c>
      <c r="S1319" t="b">
        <v>0</v>
      </c>
      <c r="T1319" t="b">
        <v>0</v>
      </c>
    </row>
    <row r="1320" spans="1:20" x14ac:dyDescent="0.3">
      <c r="A1320" t="s">
        <v>2230</v>
      </c>
      <c r="B1320" s="1">
        <v>40854</v>
      </c>
      <c r="C1320" s="1">
        <v>40859</v>
      </c>
      <c r="D1320" t="s">
        <v>2231</v>
      </c>
      <c r="E1320" t="s">
        <v>51</v>
      </c>
      <c r="F1320" t="s">
        <v>33</v>
      </c>
      <c r="G1320" t="s">
        <v>779</v>
      </c>
      <c r="H1320">
        <v>123.14400000000001</v>
      </c>
      <c r="I1320">
        <v>7</v>
      </c>
      <c r="J1320">
        <v>46.179000000000002</v>
      </c>
      <c r="K1320">
        <v>2011</v>
      </c>
      <c r="L1320">
        <v>11</v>
      </c>
      <c r="M1320" t="s">
        <v>70</v>
      </c>
      <c r="N1320">
        <v>7</v>
      </c>
      <c r="O1320">
        <v>5</v>
      </c>
      <c r="P1320">
        <v>37.5</v>
      </c>
      <c r="Q1320">
        <v>17.591999999999999</v>
      </c>
      <c r="R1320" t="s">
        <v>48</v>
      </c>
      <c r="S1320" t="b">
        <v>0</v>
      </c>
      <c r="T1320" t="b">
        <v>0</v>
      </c>
    </row>
    <row r="1321" spans="1:20" x14ac:dyDescent="0.3">
      <c r="A1321" t="s">
        <v>2232</v>
      </c>
      <c r="B1321" s="1">
        <v>40997</v>
      </c>
      <c r="C1321" s="1">
        <v>40999</v>
      </c>
      <c r="D1321" t="s">
        <v>2233</v>
      </c>
      <c r="E1321" t="s">
        <v>194</v>
      </c>
      <c r="F1321" t="s">
        <v>72</v>
      </c>
      <c r="G1321" t="s">
        <v>117</v>
      </c>
      <c r="H1321">
        <v>212.64</v>
      </c>
      <c r="I1321">
        <v>6</v>
      </c>
      <c r="J1321">
        <v>99.940799999999996</v>
      </c>
      <c r="K1321">
        <v>2012</v>
      </c>
      <c r="L1321">
        <v>3</v>
      </c>
      <c r="M1321" t="s">
        <v>135</v>
      </c>
      <c r="N1321">
        <v>29</v>
      </c>
      <c r="O1321">
        <v>2</v>
      </c>
      <c r="P1321">
        <v>47</v>
      </c>
      <c r="Q1321">
        <v>35.44</v>
      </c>
      <c r="R1321" t="s">
        <v>26</v>
      </c>
      <c r="S1321" t="b">
        <v>0</v>
      </c>
      <c r="T1321" t="b">
        <v>0</v>
      </c>
    </row>
    <row r="1322" spans="1:20" x14ac:dyDescent="0.3">
      <c r="A1322" t="s">
        <v>2232</v>
      </c>
      <c r="B1322" s="1">
        <v>40997</v>
      </c>
      <c r="C1322" s="1">
        <v>40999</v>
      </c>
      <c r="D1322" t="s">
        <v>2233</v>
      </c>
      <c r="E1322" t="s">
        <v>194</v>
      </c>
      <c r="F1322" t="s">
        <v>72</v>
      </c>
      <c r="G1322" t="s">
        <v>2234</v>
      </c>
      <c r="H1322">
        <v>9.8699999999999992</v>
      </c>
      <c r="I1322">
        <v>3</v>
      </c>
      <c r="J1322">
        <v>4.5401999999999996</v>
      </c>
      <c r="K1322">
        <v>2012</v>
      </c>
      <c r="L1322">
        <v>3</v>
      </c>
      <c r="M1322" t="s">
        <v>135</v>
      </c>
      <c r="N1322">
        <v>29</v>
      </c>
      <c r="O1322">
        <v>2</v>
      </c>
      <c r="P1322">
        <v>46</v>
      </c>
      <c r="Q1322">
        <v>3.29</v>
      </c>
      <c r="R1322" t="s">
        <v>26</v>
      </c>
      <c r="S1322" t="b">
        <v>0</v>
      </c>
      <c r="T1322" t="b">
        <v>0</v>
      </c>
    </row>
    <row r="1323" spans="1:20" x14ac:dyDescent="0.3">
      <c r="A1323" t="s">
        <v>2232</v>
      </c>
      <c r="B1323" s="1">
        <v>40997</v>
      </c>
      <c r="C1323" s="1">
        <v>40999</v>
      </c>
      <c r="D1323" t="s">
        <v>2233</v>
      </c>
      <c r="E1323" t="s">
        <v>194</v>
      </c>
      <c r="F1323" t="s">
        <v>61</v>
      </c>
      <c r="G1323" t="s">
        <v>1091</v>
      </c>
      <c r="H1323">
        <v>53.25</v>
      </c>
      <c r="I1323">
        <v>3</v>
      </c>
      <c r="J1323">
        <v>20.767499999999998</v>
      </c>
      <c r="K1323">
        <v>2012</v>
      </c>
      <c r="L1323">
        <v>3</v>
      </c>
      <c r="M1323" t="s">
        <v>135</v>
      </c>
      <c r="N1323">
        <v>29</v>
      </c>
      <c r="O1323">
        <v>2</v>
      </c>
      <c r="P1323">
        <v>39</v>
      </c>
      <c r="Q1323">
        <v>17.75</v>
      </c>
      <c r="R1323" t="s">
        <v>26</v>
      </c>
      <c r="S1323" t="b">
        <v>0</v>
      </c>
      <c r="T1323" t="b">
        <v>0</v>
      </c>
    </row>
    <row r="1324" spans="1:20" x14ac:dyDescent="0.3">
      <c r="A1324" t="s">
        <v>2232</v>
      </c>
      <c r="B1324" s="1">
        <v>40997</v>
      </c>
      <c r="C1324" s="1">
        <v>40999</v>
      </c>
      <c r="D1324" t="s">
        <v>2233</v>
      </c>
      <c r="E1324" t="s">
        <v>194</v>
      </c>
      <c r="F1324" t="s">
        <v>29</v>
      </c>
      <c r="G1324" t="s">
        <v>2235</v>
      </c>
      <c r="H1324">
        <v>19.920000000000002</v>
      </c>
      <c r="I1324">
        <v>3</v>
      </c>
      <c r="J1324">
        <v>9.5616000000000003</v>
      </c>
      <c r="K1324">
        <v>2012</v>
      </c>
      <c r="L1324">
        <v>3</v>
      </c>
      <c r="M1324" t="s">
        <v>135</v>
      </c>
      <c r="N1324">
        <v>29</v>
      </c>
      <c r="O1324">
        <v>2</v>
      </c>
      <c r="P1324">
        <v>48</v>
      </c>
      <c r="Q1324">
        <v>6.6400000000000006</v>
      </c>
      <c r="R1324" t="s">
        <v>26</v>
      </c>
      <c r="S1324" t="b">
        <v>0</v>
      </c>
      <c r="T1324" t="b">
        <v>0</v>
      </c>
    </row>
    <row r="1325" spans="1:20" x14ac:dyDescent="0.3">
      <c r="A1325" t="s">
        <v>2236</v>
      </c>
      <c r="B1325" s="1">
        <v>40957</v>
      </c>
      <c r="C1325" s="1">
        <v>40963</v>
      </c>
      <c r="D1325" t="s">
        <v>1826</v>
      </c>
      <c r="E1325" t="s">
        <v>231</v>
      </c>
      <c r="F1325" t="s">
        <v>23</v>
      </c>
      <c r="G1325" t="s">
        <v>831</v>
      </c>
      <c r="H1325">
        <v>61.06</v>
      </c>
      <c r="I1325">
        <v>2</v>
      </c>
      <c r="J1325">
        <v>28.087599999999998</v>
      </c>
      <c r="K1325">
        <v>2012</v>
      </c>
      <c r="L1325">
        <v>2</v>
      </c>
      <c r="M1325" t="s">
        <v>303</v>
      </c>
      <c r="N1325">
        <v>18</v>
      </c>
      <c r="O1325">
        <v>6</v>
      </c>
      <c r="P1325">
        <v>46</v>
      </c>
      <c r="Q1325">
        <v>30.53</v>
      </c>
      <c r="R1325" t="s">
        <v>26</v>
      </c>
      <c r="S1325" t="b">
        <v>0</v>
      </c>
      <c r="T1325" t="b">
        <v>0</v>
      </c>
    </row>
    <row r="1326" spans="1:20" x14ac:dyDescent="0.3">
      <c r="A1326" t="s">
        <v>2236</v>
      </c>
      <c r="B1326" s="1">
        <v>40957</v>
      </c>
      <c r="C1326" s="1">
        <v>40963</v>
      </c>
      <c r="D1326" t="s">
        <v>1826</v>
      </c>
      <c r="E1326" t="s">
        <v>231</v>
      </c>
      <c r="F1326" t="s">
        <v>174</v>
      </c>
      <c r="G1326" t="s">
        <v>2237</v>
      </c>
      <c r="H1326">
        <v>35.543999999999997</v>
      </c>
      <c r="I1326">
        <v>1</v>
      </c>
      <c r="J1326">
        <v>-0.88859999999999995</v>
      </c>
      <c r="K1326">
        <v>2012</v>
      </c>
      <c r="L1326">
        <v>2</v>
      </c>
      <c r="M1326" t="s">
        <v>303</v>
      </c>
      <c r="N1326">
        <v>18</v>
      </c>
      <c r="O1326">
        <v>6</v>
      </c>
      <c r="P1326">
        <v>-2.5</v>
      </c>
      <c r="Q1326">
        <v>35.543999999999997</v>
      </c>
      <c r="R1326" t="s">
        <v>26</v>
      </c>
      <c r="S1326" t="b">
        <v>1</v>
      </c>
      <c r="T1326" t="b">
        <v>0</v>
      </c>
    </row>
    <row r="1327" spans="1:20" x14ac:dyDescent="0.3">
      <c r="A1327" t="s">
        <v>2238</v>
      </c>
      <c r="B1327" s="1">
        <v>41956</v>
      </c>
      <c r="C1327" s="1">
        <v>41960</v>
      </c>
      <c r="D1327" t="s">
        <v>2239</v>
      </c>
      <c r="E1327" t="s">
        <v>39</v>
      </c>
      <c r="F1327" t="s">
        <v>23</v>
      </c>
      <c r="G1327" t="s">
        <v>2240</v>
      </c>
      <c r="H1327">
        <v>9.9600000000000009</v>
      </c>
      <c r="I1327">
        <v>2</v>
      </c>
      <c r="J1327">
        <v>4.5815999999999999</v>
      </c>
      <c r="K1327">
        <v>2014</v>
      </c>
      <c r="L1327">
        <v>11</v>
      </c>
      <c r="M1327" t="s">
        <v>70</v>
      </c>
      <c r="N1327">
        <v>13</v>
      </c>
      <c r="O1327">
        <v>4</v>
      </c>
      <c r="P1327">
        <v>46</v>
      </c>
      <c r="Q1327">
        <v>4.9800000000000004</v>
      </c>
      <c r="R1327" t="s">
        <v>26</v>
      </c>
      <c r="S1327" t="b">
        <v>0</v>
      </c>
      <c r="T1327" t="b">
        <v>0</v>
      </c>
    </row>
    <row r="1328" spans="1:20" x14ac:dyDescent="0.3">
      <c r="A1328" t="s">
        <v>2238</v>
      </c>
      <c r="B1328" s="1">
        <v>41956</v>
      </c>
      <c r="C1328" s="1">
        <v>41960</v>
      </c>
      <c r="D1328" t="s">
        <v>2239</v>
      </c>
      <c r="E1328" t="s">
        <v>39</v>
      </c>
      <c r="F1328" t="s">
        <v>31</v>
      </c>
      <c r="G1328" t="s">
        <v>2241</v>
      </c>
      <c r="H1328">
        <v>9.2100000000000009</v>
      </c>
      <c r="I1328">
        <v>3</v>
      </c>
      <c r="J1328">
        <v>2.3025000000000002</v>
      </c>
      <c r="K1328">
        <v>2014</v>
      </c>
      <c r="L1328">
        <v>11</v>
      </c>
      <c r="M1328" t="s">
        <v>70</v>
      </c>
      <c r="N1328">
        <v>13</v>
      </c>
      <c r="O1328">
        <v>4</v>
      </c>
      <c r="P1328">
        <v>25</v>
      </c>
      <c r="Q1328">
        <v>3.07</v>
      </c>
      <c r="R1328" t="s">
        <v>26</v>
      </c>
      <c r="S1328" t="b">
        <v>0</v>
      </c>
      <c r="T1328" t="b">
        <v>0</v>
      </c>
    </row>
    <row r="1329" spans="1:20" x14ac:dyDescent="0.3">
      <c r="A1329" t="s">
        <v>2238</v>
      </c>
      <c r="B1329" s="1">
        <v>41956</v>
      </c>
      <c r="C1329" s="1">
        <v>41960</v>
      </c>
      <c r="D1329" t="s">
        <v>2239</v>
      </c>
      <c r="E1329" t="s">
        <v>39</v>
      </c>
      <c r="F1329" t="s">
        <v>122</v>
      </c>
      <c r="G1329" t="s">
        <v>2242</v>
      </c>
      <c r="H1329">
        <v>27.93</v>
      </c>
      <c r="I1329">
        <v>3</v>
      </c>
      <c r="J1329">
        <v>8.0997000000000003</v>
      </c>
      <c r="K1329">
        <v>2014</v>
      </c>
      <c r="L1329">
        <v>11</v>
      </c>
      <c r="M1329" t="s">
        <v>70</v>
      </c>
      <c r="N1329">
        <v>13</v>
      </c>
      <c r="O1329">
        <v>4</v>
      </c>
      <c r="P1329">
        <v>29</v>
      </c>
      <c r="Q1329">
        <v>9.31</v>
      </c>
      <c r="R1329" t="s">
        <v>26</v>
      </c>
      <c r="S1329" t="b">
        <v>0</v>
      </c>
      <c r="T1329" t="b">
        <v>0</v>
      </c>
    </row>
    <row r="1330" spans="1:20" x14ac:dyDescent="0.3">
      <c r="A1330" t="s">
        <v>2243</v>
      </c>
      <c r="B1330" s="1">
        <v>41337</v>
      </c>
      <c r="C1330" s="1">
        <v>41337</v>
      </c>
      <c r="D1330" t="s">
        <v>2244</v>
      </c>
      <c r="E1330" t="s">
        <v>51</v>
      </c>
      <c r="F1330" t="s">
        <v>122</v>
      </c>
      <c r="G1330" t="s">
        <v>1856</v>
      </c>
      <c r="H1330">
        <v>25.35</v>
      </c>
      <c r="I1330">
        <v>3</v>
      </c>
      <c r="J1330">
        <v>7.6050000000000004</v>
      </c>
      <c r="K1330">
        <v>2013</v>
      </c>
      <c r="L1330">
        <v>3</v>
      </c>
      <c r="M1330" t="s">
        <v>135</v>
      </c>
      <c r="N1330">
        <v>4</v>
      </c>
      <c r="O1330">
        <v>0</v>
      </c>
      <c r="P1330">
        <v>30</v>
      </c>
      <c r="Q1330">
        <v>8.4500000000000011</v>
      </c>
      <c r="R1330" t="s">
        <v>26</v>
      </c>
      <c r="S1330" t="b">
        <v>0</v>
      </c>
      <c r="T1330" t="b">
        <v>0</v>
      </c>
    </row>
    <row r="1331" spans="1:20" x14ac:dyDescent="0.3">
      <c r="A1331" t="s">
        <v>2243</v>
      </c>
      <c r="B1331" s="1">
        <v>41337</v>
      </c>
      <c r="C1331" s="1">
        <v>41337</v>
      </c>
      <c r="D1331" t="s">
        <v>2244</v>
      </c>
      <c r="E1331" t="s">
        <v>51</v>
      </c>
      <c r="F1331" t="s">
        <v>29</v>
      </c>
      <c r="G1331" t="s">
        <v>1980</v>
      </c>
      <c r="H1331">
        <v>35.28</v>
      </c>
      <c r="I1331">
        <v>3</v>
      </c>
      <c r="J1331">
        <v>11.995200000000001</v>
      </c>
      <c r="K1331">
        <v>2013</v>
      </c>
      <c r="L1331">
        <v>3</v>
      </c>
      <c r="M1331" t="s">
        <v>135</v>
      </c>
      <c r="N1331">
        <v>4</v>
      </c>
      <c r="O1331">
        <v>0</v>
      </c>
      <c r="P1331">
        <v>34</v>
      </c>
      <c r="Q1331">
        <v>11.76</v>
      </c>
      <c r="R1331" t="s">
        <v>26</v>
      </c>
      <c r="S1331" t="b">
        <v>0</v>
      </c>
      <c r="T1331" t="b">
        <v>0</v>
      </c>
    </row>
    <row r="1332" spans="1:20" x14ac:dyDescent="0.3">
      <c r="A1332" t="s">
        <v>2245</v>
      </c>
      <c r="B1332" s="1">
        <v>41633</v>
      </c>
      <c r="C1332" s="1">
        <v>41634</v>
      </c>
      <c r="D1332" t="s">
        <v>2246</v>
      </c>
      <c r="E1332" t="s">
        <v>39</v>
      </c>
      <c r="F1332" t="s">
        <v>72</v>
      </c>
      <c r="G1332" t="s">
        <v>764</v>
      </c>
      <c r="H1332">
        <v>33.4</v>
      </c>
      <c r="I1332">
        <v>5</v>
      </c>
      <c r="J1332">
        <v>16.032</v>
      </c>
      <c r="K1332">
        <v>2013</v>
      </c>
      <c r="L1332">
        <v>12</v>
      </c>
      <c r="M1332" t="s">
        <v>41</v>
      </c>
      <c r="N1332">
        <v>25</v>
      </c>
      <c r="O1332">
        <v>1</v>
      </c>
      <c r="P1332">
        <v>48</v>
      </c>
      <c r="Q1332">
        <v>6.68</v>
      </c>
      <c r="R1332" t="s">
        <v>48</v>
      </c>
      <c r="S1332" t="b">
        <v>0</v>
      </c>
      <c r="T1332" t="b">
        <v>0</v>
      </c>
    </row>
    <row r="1333" spans="1:20" x14ac:dyDescent="0.3">
      <c r="A1333" t="s">
        <v>2247</v>
      </c>
      <c r="B1333" s="1">
        <v>40803</v>
      </c>
      <c r="C1333" s="1">
        <v>40807</v>
      </c>
      <c r="D1333" t="s">
        <v>2248</v>
      </c>
      <c r="E1333" t="s">
        <v>2249</v>
      </c>
      <c r="F1333" t="s">
        <v>128</v>
      </c>
      <c r="G1333" t="s">
        <v>2250</v>
      </c>
      <c r="H1333">
        <v>182.94</v>
      </c>
      <c r="I1333">
        <v>3</v>
      </c>
      <c r="J1333">
        <v>85.981800000000007</v>
      </c>
      <c r="K1333">
        <v>2011</v>
      </c>
      <c r="L1333">
        <v>9</v>
      </c>
      <c r="M1333" t="s">
        <v>87</v>
      </c>
      <c r="N1333">
        <v>17</v>
      </c>
      <c r="O1333">
        <v>4</v>
      </c>
      <c r="P1333">
        <v>47</v>
      </c>
      <c r="Q1333">
        <v>60.98</v>
      </c>
      <c r="R1333" t="s">
        <v>48</v>
      </c>
      <c r="S1333" t="b">
        <v>0</v>
      </c>
      <c r="T1333" t="b">
        <v>0</v>
      </c>
    </row>
    <row r="1334" spans="1:20" x14ac:dyDescent="0.3">
      <c r="A1334" t="s">
        <v>2251</v>
      </c>
      <c r="B1334" s="1">
        <v>41968</v>
      </c>
      <c r="C1334" s="1">
        <v>41971</v>
      </c>
      <c r="D1334" t="s">
        <v>529</v>
      </c>
      <c r="E1334" t="s">
        <v>51</v>
      </c>
      <c r="F1334" t="s">
        <v>31</v>
      </c>
      <c r="G1334" t="s">
        <v>2252</v>
      </c>
      <c r="H1334">
        <v>27.76</v>
      </c>
      <c r="I1334">
        <v>4</v>
      </c>
      <c r="J1334">
        <v>9.9936000000000007</v>
      </c>
      <c r="K1334">
        <v>2014</v>
      </c>
      <c r="L1334">
        <v>11</v>
      </c>
      <c r="M1334" t="s">
        <v>70</v>
      </c>
      <c r="N1334">
        <v>25</v>
      </c>
      <c r="O1334">
        <v>3</v>
      </c>
      <c r="P1334">
        <v>36</v>
      </c>
      <c r="Q1334">
        <v>6.94</v>
      </c>
      <c r="R1334" t="s">
        <v>26</v>
      </c>
      <c r="S1334" t="b">
        <v>0</v>
      </c>
      <c r="T1334" t="b">
        <v>0</v>
      </c>
    </row>
    <row r="1335" spans="1:20" x14ac:dyDescent="0.3">
      <c r="A1335" t="s">
        <v>2253</v>
      </c>
      <c r="B1335" s="1">
        <v>41537</v>
      </c>
      <c r="C1335" s="1">
        <v>41542</v>
      </c>
      <c r="D1335" t="s">
        <v>748</v>
      </c>
      <c r="E1335" t="s">
        <v>51</v>
      </c>
      <c r="F1335" t="s">
        <v>33</v>
      </c>
      <c r="G1335" t="s">
        <v>465</v>
      </c>
      <c r="H1335">
        <v>11.952</v>
      </c>
      <c r="I1335">
        <v>3</v>
      </c>
      <c r="J1335">
        <v>4.1832000000000003</v>
      </c>
      <c r="K1335">
        <v>2013</v>
      </c>
      <c r="L1335">
        <v>9</v>
      </c>
      <c r="M1335" t="s">
        <v>87</v>
      </c>
      <c r="N1335">
        <v>20</v>
      </c>
      <c r="O1335">
        <v>5</v>
      </c>
      <c r="P1335">
        <v>35</v>
      </c>
      <c r="Q1335">
        <v>3.984</v>
      </c>
      <c r="R1335" t="s">
        <v>26</v>
      </c>
      <c r="S1335" t="b">
        <v>0</v>
      </c>
      <c r="T1335" t="b">
        <v>0</v>
      </c>
    </row>
    <row r="1336" spans="1:20" x14ac:dyDescent="0.3">
      <c r="A1336" t="s">
        <v>2253</v>
      </c>
      <c r="B1336" s="1">
        <v>41537</v>
      </c>
      <c r="C1336" s="1">
        <v>41542</v>
      </c>
      <c r="D1336" t="s">
        <v>748</v>
      </c>
      <c r="E1336" t="s">
        <v>51</v>
      </c>
      <c r="F1336" t="s">
        <v>122</v>
      </c>
      <c r="G1336" t="s">
        <v>2254</v>
      </c>
      <c r="H1336">
        <v>6.24</v>
      </c>
      <c r="I1336">
        <v>3</v>
      </c>
      <c r="J1336">
        <v>1.8720000000000001</v>
      </c>
      <c r="K1336">
        <v>2013</v>
      </c>
      <c r="L1336">
        <v>9</v>
      </c>
      <c r="M1336" t="s">
        <v>87</v>
      </c>
      <c r="N1336">
        <v>20</v>
      </c>
      <c r="O1336">
        <v>5</v>
      </c>
      <c r="P1336">
        <v>30</v>
      </c>
      <c r="Q1336">
        <v>2.08</v>
      </c>
      <c r="R1336" t="s">
        <v>26</v>
      </c>
      <c r="S1336" t="b">
        <v>0</v>
      </c>
      <c r="T1336" t="b">
        <v>0</v>
      </c>
    </row>
    <row r="1337" spans="1:20" x14ac:dyDescent="0.3">
      <c r="A1337" t="s">
        <v>2255</v>
      </c>
      <c r="B1337" s="1">
        <v>41960</v>
      </c>
      <c r="C1337" s="1">
        <v>41965</v>
      </c>
      <c r="D1337" t="s">
        <v>2016</v>
      </c>
      <c r="E1337" t="s">
        <v>704</v>
      </c>
      <c r="F1337" t="s">
        <v>31</v>
      </c>
      <c r="G1337" t="s">
        <v>2220</v>
      </c>
      <c r="H1337">
        <v>23.36</v>
      </c>
      <c r="I1337">
        <v>4</v>
      </c>
      <c r="J1337">
        <v>6.0735999999999999</v>
      </c>
      <c r="K1337">
        <v>2014</v>
      </c>
      <c r="L1337">
        <v>11</v>
      </c>
      <c r="M1337" t="s">
        <v>70</v>
      </c>
      <c r="N1337">
        <v>17</v>
      </c>
      <c r="O1337">
        <v>5</v>
      </c>
      <c r="P1337">
        <v>26</v>
      </c>
      <c r="Q1337">
        <v>5.84</v>
      </c>
      <c r="R1337" t="s">
        <v>26</v>
      </c>
      <c r="S1337" t="b">
        <v>0</v>
      </c>
      <c r="T1337" t="b">
        <v>0</v>
      </c>
    </row>
    <row r="1338" spans="1:20" x14ac:dyDescent="0.3">
      <c r="A1338" t="s">
        <v>2256</v>
      </c>
      <c r="B1338" s="1">
        <v>41254</v>
      </c>
      <c r="C1338" s="1">
        <v>41259</v>
      </c>
      <c r="D1338" t="s">
        <v>38</v>
      </c>
      <c r="E1338" t="s">
        <v>216</v>
      </c>
      <c r="F1338" t="s">
        <v>31</v>
      </c>
      <c r="G1338" t="s">
        <v>2257</v>
      </c>
      <c r="H1338">
        <v>13.12</v>
      </c>
      <c r="I1338">
        <v>5</v>
      </c>
      <c r="J1338">
        <v>1.1479999999999999</v>
      </c>
      <c r="K1338">
        <v>2012</v>
      </c>
      <c r="L1338">
        <v>12</v>
      </c>
      <c r="M1338" t="s">
        <v>41</v>
      </c>
      <c r="N1338">
        <v>11</v>
      </c>
      <c r="O1338">
        <v>5</v>
      </c>
      <c r="P1338">
        <v>8.75</v>
      </c>
      <c r="Q1338">
        <v>2.6240000000000001</v>
      </c>
      <c r="R1338" t="s">
        <v>26</v>
      </c>
      <c r="S1338" t="b">
        <v>0</v>
      </c>
      <c r="T1338" t="b">
        <v>0</v>
      </c>
    </row>
    <row r="1339" spans="1:20" x14ac:dyDescent="0.3">
      <c r="A1339" t="s">
        <v>2256</v>
      </c>
      <c r="B1339" s="1">
        <v>41254</v>
      </c>
      <c r="C1339" s="1">
        <v>41259</v>
      </c>
      <c r="D1339" t="s">
        <v>38</v>
      </c>
      <c r="E1339" t="s">
        <v>216</v>
      </c>
      <c r="F1339" t="s">
        <v>317</v>
      </c>
      <c r="G1339" t="s">
        <v>2258</v>
      </c>
      <c r="H1339">
        <v>69.575999999999993</v>
      </c>
      <c r="I1339">
        <v>4</v>
      </c>
      <c r="J1339">
        <v>-143.79040000000001</v>
      </c>
      <c r="K1339">
        <v>2012</v>
      </c>
      <c r="L1339">
        <v>12</v>
      </c>
      <c r="M1339" t="s">
        <v>41</v>
      </c>
      <c r="N1339">
        <v>11</v>
      </c>
      <c r="O1339">
        <v>5</v>
      </c>
      <c r="P1339">
        <v>-206.67</v>
      </c>
      <c r="Q1339">
        <v>17.393999999999998</v>
      </c>
      <c r="R1339" t="s">
        <v>26</v>
      </c>
      <c r="S1339" t="b">
        <v>1</v>
      </c>
      <c r="T1339" t="b">
        <v>0</v>
      </c>
    </row>
    <row r="1340" spans="1:20" x14ac:dyDescent="0.3">
      <c r="A1340" t="s">
        <v>2256</v>
      </c>
      <c r="B1340" s="1">
        <v>41254</v>
      </c>
      <c r="C1340" s="1">
        <v>41259</v>
      </c>
      <c r="D1340" t="s">
        <v>38</v>
      </c>
      <c r="E1340" t="s">
        <v>216</v>
      </c>
      <c r="F1340" t="s">
        <v>31</v>
      </c>
      <c r="G1340" t="s">
        <v>675</v>
      </c>
      <c r="H1340">
        <v>4.2240000000000002</v>
      </c>
      <c r="I1340">
        <v>3</v>
      </c>
      <c r="J1340">
        <v>0.47520000000000001</v>
      </c>
      <c r="K1340">
        <v>2012</v>
      </c>
      <c r="L1340">
        <v>12</v>
      </c>
      <c r="M1340" t="s">
        <v>41</v>
      </c>
      <c r="N1340">
        <v>11</v>
      </c>
      <c r="O1340">
        <v>5</v>
      </c>
      <c r="P1340">
        <v>11.25</v>
      </c>
      <c r="Q1340">
        <v>1.4079999999999999</v>
      </c>
      <c r="R1340" t="s">
        <v>26</v>
      </c>
      <c r="S1340" t="b">
        <v>0</v>
      </c>
      <c r="T1340" t="b">
        <v>0</v>
      </c>
    </row>
    <row r="1341" spans="1:20" x14ac:dyDescent="0.3">
      <c r="A1341" t="s">
        <v>2256</v>
      </c>
      <c r="B1341" s="1">
        <v>41254</v>
      </c>
      <c r="C1341" s="1">
        <v>41259</v>
      </c>
      <c r="D1341" t="s">
        <v>38</v>
      </c>
      <c r="E1341" t="s">
        <v>216</v>
      </c>
      <c r="F1341" t="s">
        <v>61</v>
      </c>
      <c r="G1341" t="s">
        <v>2259</v>
      </c>
      <c r="H1341">
        <v>58.08</v>
      </c>
      <c r="I1341">
        <v>4</v>
      </c>
      <c r="J1341">
        <v>-6.5339999999999998</v>
      </c>
      <c r="K1341">
        <v>2012</v>
      </c>
      <c r="L1341">
        <v>12</v>
      </c>
      <c r="M1341" t="s">
        <v>41</v>
      </c>
      <c r="N1341">
        <v>11</v>
      </c>
      <c r="O1341">
        <v>5</v>
      </c>
      <c r="P1341">
        <v>-11.25</v>
      </c>
      <c r="Q1341">
        <v>14.52</v>
      </c>
      <c r="R1341" t="s">
        <v>26</v>
      </c>
      <c r="S1341" t="b">
        <v>1</v>
      </c>
      <c r="T1341" t="b">
        <v>0</v>
      </c>
    </row>
    <row r="1342" spans="1:20" x14ac:dyDescent="0.3">
      <c r="A1342" t="s">
        <v>2256</v>
      </c>
      <c r="B1342" s="1">
        <v>41254</v>
      </c>
      <c r="C1342" s="1">
        <v>41259</v>
      </c>
      <c r="D1342" t="s">
        <v>38</v>
      </c>
      <c r="E1342" t="s">
        <v>216</v>
      </c>
      <c r="F1342" t="s">
        <v>29</v>
      </c>
      <c r="G1342" t="s">
        <v>2260</v>
      </c>
      <c r="H1342">
        <v>52.415999999999997</v>
      </c>
      <c r="I1342">
        <v>9</v>
      </c>
      <c r="J1342">
        <v>15.069599999999999</v>
      </c>
      <c r="K1342">
        <v>2012</v>
      </c>
      <c r="L1342">
        <v>12</v>
      </c>
      <c r="M1342" t="s">
        <v>41</v>
      </c>
      <c r="N1342">
        <v>11</v>
      </c>
      <c r="O1342">
        <v>5</v>
      </c>
      <c r="P1342">
        <v>28.75</v>
      </c>
      <c r="Q1342">
        <v>5.8239999999999998</v>
      </c>
      <c r="R1342" t="s">
        <v>26</v>
      </c>
      <c r="S1342" t="b">
        <v>0</v>
      </c>
      <c r="T1342" t="b">
        <v>0</v>
      </c>
    </row>
    <row r="1343" spans="1:20" x14ac:dyDescent="0.3">
      <c r="A1343" t="s">
        <v>2256</v>
      </c>
      <c r="B1343" s="1">
        <v>41254</v>
      </c>
      <c r="C1343" s="1">
        <v>41259</v>
      </c>
      <c r="D1343" t="s">
        <v>38</v>
      </c>
      <c r="E1343" t="s">
        <v>216</v>
      </c>
      <c r="F1343" t="s">
        <v>29</v>
      </c>
      <c r="G1343" t="s">
        <v>2261</v>
      </c>
      <c r="H1343">
        <v>54.92</v>
      </c>
      <c r="I1343">
        <v>5</v>
      </c>
      <c r="J1343">
        <v>10.984</v>
      </c>
      <c r="K1343">
        <v>2012</v>
      </c>
      <c r="L1343">
        <v>12</v>
      </c>
      <c r="M1343" t="s">
        <v>41</v>
      </c>
      <c r="N1343">
        <v>11</v>
      </c>
      <c r="O1343">
        <v>5</v>
      </c>
      <c r="P1343">
        <v>20</v>
      </c>
      <c r="Q1343">
        <v>10.984</v>
      </c>
      <c r="R1343" t="s">
        <v>26</v>
      </c>
      <c r="S1343" t="b">
        <v>0</v>
      </c>
      <c r="T1343" t="b">
        <v>0</v>
      </c>
    </row>
    <row r="1344" spans="1:20" x14ac:dyDescent="0.3">
      <c r="A1344" t="s">
        <v>2256</v>
      </c>
      <c r="B1344" s="1">
        <v>41254</v>
      </c>
      <c r="C1344" s="1">
        <v>41259</v>
      </c>
      <c r="D1344" t="s">
        <v>38</v>
      </c>
      <c r="E1344" t="s">
        <v>216</v>
      </c>
      <c r="F1344" t="s">
        <v>174</v>
      </c>
      <c r="G1344" t="s">
        <v>1375</v>
      </c>
      <c r="H1344">
        <v>364.95</v>
      </c>
      <c r="I1344">
        <v>5</v>
      </c>
      <c r="J1344">
        <v>-248.166</v>
      </c>
      <c r="K1344">
        <v>2012</v>
      </c>
      <c r="L1344">
        <v>12</v>
      </c>
      <c r="M1344" t="s">
        <v>41</v>
      </c>
      <c r="N1344">
        <v>11</v>
      </c>
      <c r="O1344">
        <v>5</v>
      </c>
      <c r="P1344">
        <v>-68</v>
      </c>
      <c r="Q1344">
        <v>72.989999999999995</v>
      </c>
      <c r="R1344" t="s">
        <v>26</v>
      </c>
      <c r="S1344" t="b">
        <v>1</v>
      </c>
      <c r="T1344" t="b">
        <v>1</v>
      </c>
    </row>
    <row r="1345" spans="1:20" x14ac:dyDescent="0.3">
      <c r="A1345" t="s">
        <v>2256</v>
      </c>
      <c r="B1345" s="1">
        <v>41254</v>
      </c>
      <c r="C1345" s="1">
        <v>41259</v>
      </c>
      <c r="D1345" t="s">
        <v>38</v>
      </c>
      <c r="E1345" t="s">
        <v>216</v>
      </c>
      <c r="F1345" t="s">
        <v>72</v>
      </c>
      <c r="G1345" t="s">
        <v>2262</v>
      </c>
      <c r="H1345">
        <v>85.055999999999997</v>
      </c>
      <c r="I1345">
        <v>3</v>
      </c>
      <c r="J1345">
        <v>28.706399999999999</v>
      </c>
      <c r="K1345">
        <v>2012</v>
      </c>
      <c r="L1345">
        <v>12</v>
      </c>
      <c r="M1345" t="s">
        <v>41</v>
      </c>
      <c r="N1345">
        <v>11</v>
      </c>
      <c r="O1345">
        <v>5</v>
      </c>
      <c r="P1345">
        <v>33.75</v>
      </c>
      <c r="Q1345">
        <v>28.352</v>
      </c>
      <c r="R1345" t="s">
        <v>26</v>
      </c>
      <c r="S1345" t="b">
        <v>0</v>
      </c>
      <c r="T1345" t="b">
        <v>0</v>
      </c>
    </row>
    <row r="1346" spans="1:20" x14ac:dyDescent="0.3">
      <c r="A1346" t="s">
        <v>2256</v>
      </c>
      <c r="B1346" s="1">
        <v>41254</v>
      </c>
      <c r="C1346" s="1">
        <v>41259</v>
      </c>
      <c r="D1346" t="s">
        <v>38</v>
      </c>
      <c r="E1346" t="s">
        <v>216</v>
      </c>
      <c r="F1346" t="s">
        <v>72</v>
      </c>
      <c r="G1346" t="s">
        <v>2263</v>
      </c>
      <c r="H1346">
        <v>27.696000000000002</v>
      </c>
      <c r="I1346">
        <v>3</v>
      </c>
      <c r="J1346">
        <v>9.6936</v>
      </c>
      <c r="K1346">
        <v>2012</v>
      </c>
      <c r="L1346">
        <v>12</v>
      </c>
      <c r="M1346" t="s">
        <v>41</v>
      </c>
      <c r="N1346">
        <v>11</v>
      </c>
      <c r="O1346">
        <v>5</v>
      </c>
      <c r="P1346">
        <v>35</v>
      </c>
      <c r="Q1346">
        <v>9.2320000000000011</v>
      </c>
      <c r="R1346" t="s">
        <v>26</v>
      </c>
      <c r="S1346" t="b">
        <v>0</v>
      </c>
      <c r="T1346" t="b">
        <v>0</v>
      </c>
    </row>
    <row r="1347" spans="1:20" x14ac:dyDescent="0.3">
      <c r="A1347" t="s">
        <v>2264</v>
      </c>
      <c r="B1347" s="1">
        <v>40984</v>
      </c>
      <c r="C1347" s="1">
        <v>40991</v>
      </c>
      <c r="D1347" t="s">
        <v>2265</v>
      </c>
      <c r="E1347" t="s">
        <v>22</v>
      </c>
      <c r="F1347" t="s">
        <v>29</v>
      </c>
      <c r="G1347" t="s">
        <v>1967</v>
      </c>
      <c r="H1347">
        <v>43.13</v>
      </c>
      <c r="I1347">
        <v>1</v>
      </c>
      <c r="J1347">
        <v>18.114599999999999</v>
      </c>
      <c r="K1347">
        <v>2012</v>
      </c>
      <c r="L1347">
        <v>3</v>
      </c>
      <c r="M1347" t="s">
        <v>135</v>
      </c>
      <c r="N1347">
        <v>16</v>
      </c>
      <c r="O1347">
        <v>7</v>
      </c>
      <c r="P1347">
        <v>42</v>
      </c>
      <c r="Q1347">
        <v>43.13</v>
      </c>
      <c r="R1347" t="s">
        <v>48</v>
      </c>
      <c r="S1347" t="b">
        <v>0</v>
      </c>
      <c r="T1347" t="b">
        <v>0</v>
      </c>
    </row>
    <row r="1348" spans="1:20" x14ac:dyDescent="0.3">
      <c r="A1348" t="s">
        <v>2266</v>
      </c>
      <c r="B1348" s="1">
        <v>41235</v>
      </c>
      <c r="C1348" s="1">
        <v>41238</v>
      </c>
      <c r="D1348" t="s">
        <v>2267</v>
      </c>
      <c r="E1348" t="s">
        <v>22</v>
      </c>
      <c r="F1348" t="s">
        <v>72</v>
      </c>
      <c r="G1348" t="s">
        <v>988</v>
      </c>
      <c r="H1348">
        <v>37.94</v>
      </c>
      <c r="I1348">
        <v>2</v>
      </c>
      <c r="J1348">
        <v>18.211200000000002</v>
      </c>
      <c r="K1348">
        <v>2012</v>
      </c>
      <c r="L1348">
        <v>11</v>
      </c>
      <c r="M1348" t="s">
        <v>70</v>
      </c>
      <c r="N1348">
        <v>22</v>
      </c>
      <c r="O1348">
        <v>3</v>
      </c>
      <c r="P1348">
        <v>48</v>
      </c>
      <c r="Q1348">
        <v>18.97</v>
      </c>
      <c r="R1348" t="s">
        <v>26</v>
      </c>
      <c r="S1348" t="b">
        <v>0</v>
      </c>
      <c r="T1348" t="b">
        <v>0</v>
      </c>
    </row>
    <row r="1349" spans="1:20" x14ac:dyDescent="0.3">
      <c r="A1349" t="s">
        <v>2266</v>
      </c>
      <c r="B1349" s="1">
        <v>41235</v>
      </c>
      <c r="C1349" s="1">
        <v>41238</v>
      </c>
      <c r="D1349" t="s">
        <v>2267</v>
      </c>
      <c r="E1349" t="s">
        <v>22</v>
      </c>
      <c r="F1349" t="s">
        <v>72</v>
      </c>
      <c r="G1349" t="s">
        <v>1683</v>
      </c>
      <c r="H1349">
        <v>42.8</v>
      </c>
      <c r="I1349">
        <v>10</v>
      </c>
      <c r="J1349">
        <v>19.260000000000002</v>
      </c>
      <c r="K1349">
        <v>2012</v>
      </c>
      <c r="L1349">
        <v>11</v>
      </c>
      <c r="M1349" t="s">
        <v>70</v>
      </c>
      <c r="N1349">
        <v>22</v>
      </c>
      <c r="O1349">
        <v>3</v>
      </c>
      <c r="P1349">
        <v>45</v>
      </c>
      <c r="Q1349">
        <v>4.2799999999999994</v>
      </c>
      <c r="R1349" t="s">
        <v>26</v>
      </c>
      <c r="S1349" t="b">
        <v>0</v>
      </c>
      <c r="T1349" t="b">
        <v>0</v>
      </c>
    </row>
    <row r="1350" spans="1:20" x14ac:dyDescent="0.3">
      <c r="A1350" t="s">
        <v>2266</v>
      </c>
      <c r="B1350" s="1">
        <v>41235</v>
      </c>
      <c r="C1350" s="1">
        <v>41238</v>
      </c>
      <c r="D1350" t="s">
        <v>2267</v>
      </c>
      <c r="E1350" t="s">
        <v>22</v>
      </c>
      <c r="F1350" t="s">
        <v>45</v>
      </c>
      <c r="G1350" t="s">
        <v>2268</v>
      </c>
      <c r="H1350">
        <v>33.630000000000003</v>
      </c>
      <c r="I1350">
        <v>3</v>
      </c>
      <c r="J1350">
        <v>10.089</v>
      </c>
      <c r="K1350">
        <v>2012</v>
      </c>
      <c r="L1350">
        <v>11</v>
      </c>
      <c r="M1350" t="s">
        <v>70</v>
      </c>
      <c r="N1350">
        <v>22</v>
      </c>
      <c r="O1350">
        <v>3</v>
      </c>
      <c r="P1350">
        <v>30</v>
      </c>
      <c r="Q1350">
        <v>11.21</v>
      </c>
      <c r="R1350" t="s">
        <v>26</v>
      </c>
      <c r="S1350" t="b">
        <v>0</v>
      </c>
      <c r="T1350" t="b">
        <v>0</v>
      </c>
    </row>
    <row r="1351" spans="1:20" x14ac:dyDescent="0.3">
      <c r="A1351" t="s">
        <v>2269</v>
      </c>
      <c r="B1351" s="1">
        <v>41403</v>
      </c>
      <c r="C1351" s="1">
        <v>41405</v>
      </c>
      <c r="D1351" t="s">
        <v>2097</v>
      </c>
      <c r="E1351" t="s">
        <v>22</v>
      </c>
      <c r="F1351" t="s">
        <v>72</v>
      </c>
      <c r="G1351" t="s">
        <v>151</v>
      </c>
      <c r="H1351">
        <v>17.940000000000001</v>
      </c>
      <c r="I1351">
        <v>3</v>
      </c>
      <c r="J1351">
        <v>8.0730000000000004</v>
      </c>
      <c r="K1351">
        <v>2013</v>
      </c>
      <c r="L1351">
        <v>5</v>
      </c>
      <c r="M1351" t="s">
        <v>47</v>
      </c>
      <c r="N1351">
        <v>9</v>
      </c>
      <c r="O1351">
        <v>2</v>
      </c>
      <c r="P1351">
        <v>45</v>
      </c>
      <c r="Q1351">
        <v>5.98</v>
      </c>
      <c r="R1351" t="s">
        <v>26</v>
      </c>
      <c r="S1351" t="b">
        <v>0</v>
      </c>
      <c r="T1351" t="b">
        <v>0</v>
      </c>
    </row>
    <row r="1352" spans="1:20" x14ac:dyDescent="0.3">
      <c r="A1352" t="s">
        <v>2270</v>
      </c>
      <c r="B1352" s="1">
        <v>41466</v>
      </c>
      <c r="C1352" s="1">
        <v>41467</v>
      </c>
      <c r="D1352" t="s">
        <v>493</v>
      </c>
      <c r="E1352" t="s">
        <v>2271</v>
      </c>
      <c r="F1352" t="s">
        <v>33</v>
      </c>
      <c r="G1352" t="s">
        <v>345</v>
      </c>
      <c r="H1352">
        <v>44.856000000000002</v>
      </c>
      <c r="I1352">
        <v>6</v>
      </c>
      <c r="J1352">
        <v>-35.884799999999998</v>
      </c>
      <c r="K1352">
        <v>2013</v>
      </c>
      <c r="L1352">
        <v>7</v>
      </c>
      <c r="M1352" t="s">
        <v>66</v>
      </c>
      <c r="N1352">
        <v>11</v>
      </c>
      <c r="O1352">
        <v>1</v>
      </c>
      <c r="P1352">
        <v>-80</v>
      </c>
      <c r="Q1352">
        <v>7.476</v>
      </c>
      <c r="R1352" t="s">
        <v>26</v>
      </c>
      <c r="S1352" t="b">
        <v>1</v>
      </c>
      <c r="T1352" t="b">
        <v>0</v>
      </c>
    </row>
    <row r="1353" spans="1:20" x14ac:dyDescent="0.3">
      <c r="A1353" t="s">
        <v>2272</v>
      </c>
      <c r="B1353" s="1">
        <v>41956</v>
      </c>
      <c r="C1353" s="1">
        <v>41959</v>
      </c>
      <c r="D1353" t="s">
        <v>2273</v>
      </c>
      <c r="E1353" t="s">
        <v>22</v>
      </c>
      <c r="F1353" t="s">
        <v>33</v>
      </c>
      <c r="G1353" t="s">
        <v>2274</v>
      </c>
      <c r="H1353">
        <v>14.016</v>
      </c>
      <c r="I1353">
        <v>4</v>
      </c>
      <c r="J1353">
        <v>4.9055999999999997</v>
      </c>
      <c r="K1353">
        <v>2014</v>
      </c>
      <c r="L1353">
        <v>11</v>
      </c>
      <c r="M1353" t="s">
        <v>70</v>
      </c>
      <c r="N1353">
        <v>13</v>
      </c>
      <c r="O1353">
        <v>3</v>
      </c>
      <c r="P1353">
        <v>35</v>
      </c>
      <c r="Q1353">
        <v>3.504</v>
      </c>
      <c r="R1353" t="s">
        <v>26</v>
      </c>
      <c r="S1353" t="b">
        <v>0</v>
      </c>
      <c r="T1353" t="b">
        <v>0</v>
      </c>
    </row>
    <row r="1354" spans="1:20" x14ac:dyDescent="0.3">
      <c r="A1354" t="s">
        <v>2275</v>
      </c>
      <c r="B1354" s="1">
        <v>41918</v>
      </c>
      <c r="C1354" s="1">
        <v>41923</v>
      </c>
      <c r="D1354" t="s">
        <v>903</v>
      </c>
      <c r="E1354" t="s">
        <v>51</v>
      </c>
      <c r="F1354" t="s">
        <v>33</v>
      </c>
      <c r="G1354" t="s">
        <v>1160</v>
      </c>
      <c r="H1354">
        <v>39.92</v>
      </c>
      <c r="I1354">
        <v>5</v>
      </c>
      <c r="J1354">
        <v>13.473000000000001</v>
      </c>
      <c r="K1354">
        <v>2014</v>
      </c>
      <c r="L1354">
        <v>10</v>
      </c>
      <c r="M1354" t="s">
        <v>82</v>
      </c>
      <c r="N1354">
        <v>6</v>
      </c>
      <c r="O1354">
        <v>5</v>
      </c>
      <c r="P1354">
        <v>33.75</v>
      </c>
      <c r="Q1354">
        <v>7.984</v>
      </c>
      <c r="R1354" t="s">
        <v>26</v>
      </c>
      <c r="S1354" t="b">
        <v>0</v>
      </c>
      <c r="T1354" t="b">
        <v>0</v>
      </c>
    </row>
    <row r="1355" spans="1:20" x14ac:dyDescent="0.3">
      <c r="A1355" t="s">
        <v>2275</v>
      </c>
      <c r="B1355" s="1">
        <v>41918</v>
      </c>
      <c r="C1355" s="1">
        <v>41923</v>
      </c>
      <c r="D1355" t="s">
        <v>903</v>
      </c>
      <c r="E1355" t="s">
        <v>51</v>
      </c>
      <c r="F1355" t="s">
        <v>72</v>
      </c>
      <c r="G1355" t="s">
        <v>1550</v>
      </c>
      <c r="H1355">
        <v>61.96</v>
      </c>
      <c r="I1355">
        <v>2</v>
      </c>
      <c r="J1355">
        <v>27.882000000000001</v>
      </c>
      <c r="K1355">
        <v>2014</v>
      </c>
      <c r="L1355">
        <v>10</v>
      </c>
      <c r="M1355" t="s">
        <v>82</v>
      </c>
      <c r="N1355">
        <v>6</v>
      </c>
      <c r="O1355">
        <v>5</v>
      </c>
      <c r="P1355">
        <v>45</v>
      </c>
      <c r="Q1355">
        <v>30.98</v>
      </c>
      <c r="R1355" t="s">
        <v>26</v>
      </c>
      <c r="S1355" t="b">
        <v>0</v>
      </c>
      <c r="T1355" t="b">
        <v>0</v>
      </c>
    </row>
    <row r="1356" spans="1:20" x14ac:dyDescent="0.3">
      <c r="A1356" t="s">
        <v>2275</v>
      </c>
      <c r="B1356" s="1">
        <v>41918</v>
      </c>
      <c r="C1356" s="1">
        <v>41923</v>
      </c>
      <c r="D1356" t="s">
        <v>903</v>
      </c>
      <c r="E1356" t="s">
        <v>51</v>
      </c>
      <c r="F1356" t="s">
        <v>33</v>
      </c>
      <c r="G1356" t="s">
        <v>641</v>
      </c>
      <c r="H1356">
        <v>19.936</v>
      </c>
      <c r="I1356">
        <v>4</v>
      </c>
      <c r="J1356">
        <v>7.2267999999999999</v>
      </c>
      <c r="K1356">
        <v>2014</v>
      </c>
      <c r="L1356">
        <v>10</v>
      </c>
      <c r="M1356" t="s">
        <v>82</v>
      </c>
      <c r="N1356">
        <v>6</v>
      </c>
      <c r="O1356">
        <v>5</v>
      </c>
      <c r="P1356">
        <v>36.25</v>
      </c>
      <c r="Q1356">
        <v>4.984</v>
      </c>
      <c r="R1356" t="s">
        <v>26</v>
      </c>
      <c r="S1356" t="b">
        <v>0</v>
      </c>
      <c r="T1356" t="b">
        <v>0</v>
      </c>
    </row>
    <row r="1357" spans="1:20" x14ac:dyDescent="0.3">
      <c r="A1357" t="s">
        <v>2276</v>
      </c>
      <c r="B1357" s="1">
        <v>40637</v>
      </c>
      <c r="C1357" s="1">
        <v>40638</v>
      </c>
      <c r="D1357" t="s">
        <v>168</v>
      </c>
      <c r="E1357" t="s">
        <v>22</v>
      </c>
      <c r="F1357" t="s">
        <v>33</v>
      </c>
      <c r="G1357" t="s">
        <v>241</v>
      </c>
      <c r="H1357">
        <v>7.1840000000000002</v>
      </c>
      <c r="I1357">
        <v>2</v>
      </c>
      <c r="J1357">
        <v>2.2450000000000001</v>
      </c>
      <c r="K1357">
        <v>2011</v>
      </c>
      <c r="L1357">
        <v>4</v>
      </c>
      <c r="M1357" t="s">
        <v>236</v>
      </c>
      <c r="N1357">
        <v>4</v>
      </c>
      <c r="O1357">
        <v>1</v>
      </c>
      <c r="P1357">
        <v>31.25</v>
      </c>
      <c r="Q1357">
        <v>3.5920000000000001</v>
      </c>
      <c r="R1357" t="s">
        <v>26</v>
      </c>
      <c r="S1357" t="b">
        <v>0</v>
      </c>
      <c r="T1357" t="b">
        <v>0</v>
      </c>
    </row>
    <row r="1358" spans="1:20" x14ac:dyDescent="0.3">
      <c r="A1358" t="s">
        <v>2277</v>
      </c>
      <c r="B1358" s="1">
        <v>40719</v>
      </c>
      <c r="C1358" s="1">
        <v>40721</v>
      </c>
      <c r="D1358" t="s">
        <v>234</v>
      </c>
      <c r="E1358" t="s">
        <v>412</v>
      </c>
      <c r="F1358" t="s">
        <v>54</v>
      </c>
      <c r="G1358" t="s">
        <v>2278</v>
      </c>
      <c r="H1358">
        <v>263.95999999999998</v>
      </c>
      <c r="I1358">
        <v>5</v>
      </c>
      <c r="J1358">
        <v>19.797000000000001</v>
      </c>
      <c r="K1358">
        <v>2011</v>
      </c>
      <c r="L1358">
        <v>6</v>
      </c>
      <c r="M1358" t="s">
        <v>25</v>
      </c>
      <c r="N1358">
        <v>25</v>
      </c>
      <c r="O1358">
        <v>2</v>
      </c>
      <c r="P1358">
        <v>7.5</v>
      </c>
      <c r="Q1358">
        <v>52.791999999999987</v>
      </c>
      <c r="R1358" t="s">
        <v>26</v>
      </c>
      <c r="S1358" t="b">
        <v>0</v>
      </c>
      <c r="T1358" t="b">
        <v>1</v>
      </c>
    </row>
    <row r="1359" spans="1:20" x14ac:dyDescent="0.3">
      <c r="A1359" t="s">
        <v>2277</v>
      </c>
      <c r="B1359" s="1">
        <v>40719</v>
      </c>
      <c r="C1359" s="1">
        <v>40721</v>
      </c>
      <c r="D1359" t="s">
        <v>234</v>
      </c>
      <c r="E1359" t="s">
        <v>412</v>
      </c>
      <c r="F1359" t="s">
        <v>31</v>
      </c>
      <c r="G1359" t="s">
        <v>2279</v>
      </c>
      <c r="H1359">
        <v>71.632000000000005</v>
      </c>
      <c r="I1359">
        <v>11</v>
      </c>
      <c r="J1359">
        <v>17.908000000000001</v>
      </c>
      <c r="K1359">
        <v>2011</v>
      </c>
      <c r="L1359">
        <v>6</v>
      </c>
      <c r="M1359" t="s">
        <v>25</v>
      </c>
      <c r="N1359">
        <v>25</v>
      </c>
      <c r="O1359">
        <v>2</v>
      </c>
      <c r="P1359">
        <v>25</v>
      </c>
      <c r="Q1359">
        <v>6.5119999999999996</v>
      </c>
      <c r="R1359" t="s">
        <v>26</v>
      </c>
      <c r="S1359" t="b">
        <v>0</v>
      </c>
      <c r="T1359" t="b">
        <v>0</v>
      </c>
    </row>
    <row r="1360" spans="1:20" x14ac:dyDescent="0.3">
      <c r="A1360" t="s">
        <v>2277</v>
      </c>
      <c r="B1360" s="1">
        <v>40719</v>
      </c>
      <c r="C1360" s="1">
        <v>40721</v>
      </c>
      <c r="D1360" t="s">
        <v>234</v>
      </c>
      <c r="E1360" t="s">
        <v>412</v>
      </c>
      <c r="F1360" t="s">
        <v>31</v>
      </c>
      <c r="G1360" t="s">
        <v>2280</v>
      </c>
      <c r="H1360">
        <v>9.3279999999999994</v>
      </c>
      <c r="I1360">
        <v>1</v>
      </c>
      <c r="J1360">
        <v>0.81620000000000004</v>
      </c>
      <c r="K1360">
        <v>2011</v>
      </c>
      <c r="L1360">
        <v>6</v>
      </c>
      <c r="M1360" t="s">
        <v>25</v>
      </c>
      <c r="N1360">
        <v>25</v>
      </c>
      <c r="O1360">
        <v>2</v>
      </c>
      <c r="P1360">
        <v>8.75</v>
      </c>
      <c r="Q1360">
        <v>9.3279999999999994</v>
      </c>
      <c r="R1360" t="s">
        <v>26</v>
      </c>
      <c r="S1360" t="b">
        <v>0</v>
      </c>
      <c r="T1360" t="b">
        <v>0</v>
      </c>
    </row>
    <row r="1361" spans="1:20" x14ac:dyDescent="0.3">
      <c r="A1361" t="s">
        <v>2281</v>
      </c>
      <c r="B1361" s="1">
        <v>40794</v>
      </c>
      <c r="C1361" s="1">
        <v>40800</v>
      </c>
      <c r="D1361" t="s">
        <v>1145</v>
      </c>
      <c r="E1361" t="s">
        <v>2282</v>
      </c>
      <c r="F1361" t="s">
        <v>31</v>
      </c>
      <c r="G1361" t="s">
        <v>1024</v>
      </c>
      <c r="H1361">
        <v>5.88</v>
      </c>
      <c r="I1361">
        <v>2</v>
      </c>
      <c r="J1361">
        <v>2.6459999999999999</v>
      </c>
      <c r="K1361">
        <v>2011</v>
      </c>
      <c r="L1361">
        <v>9</v>
      </c>
      <c r="M1361" t="s">
        <v>87</v>
      </c>
      <c r="N1361">
        <v>8</v>
      </c>
      <c r="O1361">
        <v>6</v>
      </c>
      <c r="P1361">
        <v>45</v>
      </c>
      <c r="Q1361">
        <v>2.94</v>
      </c>
      <c r="R1361" t="s">
        <v>26</v>
      </c>
      <c r="S1361" t="b">
        <v>0</v>
      </c>
      <c r="T1361" t="b">
        <v>0</v>
      </c>
    </row>
    <row r="1362" spans="1:20" x14ac:dyDescent="0.3">
      <c r="A1362" t="s">
        <v>2281</v>
      </c>
      <c r="B1362" s="1">
        <v>40794</v>
      </c>
      <c r="C1362" s="1">
        <v>40800</v>
      </c>
      <c r="D1362" t="s">
        <v>1145</v>
      </c>
      <c r="E1362" t="s">
        <v>2282</v>
      </c>
      <c r="F1362" t="s">
        <v>31</v>
      </c>
      <c r="G1362" t="s">
        <v>2283</v>
      </c>
      <c r="H1362">
        <v>303.83999999999997</v>
      </c>
      <c r="I1362">
        <v>8</v>
      </c>
      <c r="J1362">
        <v>91.152000000000001</v>
      </c>
      <c r="K1362">
        <v>2011</v>
      </c>
      <c r="L1362">
        <v>9</v>
      </c>
      <c r="M1362" t="s">
        <v>87</v>
      </c>
      <c r="N1362">
        <v>8</v>
      </c>
      <c r="O1362">
        <v>6</v>
      </c>
      <c r="P1362">
        <v>30</v>
      </c>
      <c r="Q1362">
        <v>37.979999999999997</v>
      </c>
      <c r="R1362" t="s">
        <v>26</v>
      </c>
      <c r="S1362" t="b">
        <v>0</v>
      </c>
      <c r="T1362" t="b">
        <v>1</v>
      </c>
    </row>
    <row r="1363" spans="1:20" x14ac:dyDescent="0.3">
      <c r="A1363" t="s">
        <v>2281</v>
      </c>
      <c r="B1363" s="1">
        <v>40794</v>
      </c>
      <c r="C1363" s="1">
        <v>40800</v>
      </c>
      <c r="D1363" t="s">
        <v>1145</v>
      </c>
      <c r="E1363" t="s">
        <v>2282</v>
      </c>
      <c r="F1363" t="s">
        <v>45</v>
      </c>
      <c r="G1363" t="s">
        <v>475</v>
      </c>
      <c r="H1363">
        <v>485.88</v>
      </c>
      <c r="I1363">
        <v>6</v>
      </c>
      <c r="J1363">
        <v>19.435199999999998</v>
      </c>
      <c r="K1363">
        <v>2011</v>
      </c>
      <c r="L1363">
        <v>9</v>
      </c>
      <c r="M1363" t="s">
        <v>87</v>
      </c>
      <c r="N1363">
        <v>8</v>
      </c>
      <c r="O1363">
        <v>6</v>
      </c>
      <c r="P1363">
        <v>4</v>
      </c>
      <c r="Q1363">
        <v>80.98</v>
      </c>
      <c r="R1363" t="s">
        <v>26</v>
      </c>
      <c r="S1363" t="b">
        <v>0</v>
      </c>
      <c r="T1363" t="b">
        <v>1</v>
      </c>
    </row>
    <row r="1364" spans="1:20" x14ac:dyDescent="0.3">
      <c r="A1364" t="s">
        <v>2284</v>
      </c>
      <c r="B1364" s="1">
        <v>40889</v>
      </c>
      <c r="C1364" s="1">
        <v>40892</v>
      </c>
      <c r="D1364" t="s">
        <v>190</v>
      </c>
      <c r="E1364" t="s">
        <v>663</v>
      </c>
      <c r="F1364" t="s">
        <v>29</v>
      </c>
      <c r="G1364" t="s">
        <v>881</v>
      </c>
      <c r="H1364">
        <v>12.54</v>
      </c>
      <c r="I1364">
        <v>3</v>
      </c>
      <c r="J1364">
        <v>4.5144000000000002</v>
      </c>
      <c r="K1364">
        <v>2011</v>
      </c>
      <c r="L1364">
        <v>12</v>
      </c>
      <c r="M1364" t="s">
        <v>41</v>
      </c>
      <c r="N1364">
        <v>12</v>
      </c>
      <c r="O1364">
        <v>3</v>
      </c>
      <c r="P1364">
        <v>36</v>
      </c>
      <c r="Q1364">
        <v>4.18</v>
      </c>
      <c r="R1364" t="s">
        <v>26</v>
      </c>
      <c r="S1364" t="b">
        <v>0</v>
      </c>
      <c r="T1364" t="b">
        <v>0</v>
      </c>
    </row>
    <row r="1365" spans="1:20" x14ac:dyDescent="0.3">
      <c r="A1365" t="s">
        <v>2284</v>
      </c>
      <c r="B1365" s="1">
        <v>40889</v>
      </c>
      <c r="C1365" s="1">
        <v>40892</v>
      </c>
      <c r="D1365" t="s">
        <v>190</v>
      </c>
      <c r="E1365" t="s">
        <v>663</v>
      </c>
      <c r="F1365" t="s">
        <v>45</v>
      </c>
      <c r="G1365" t="s">
        <v>2285</v>
      </c>
      <c r="H1365">
        <v>8.94</v>
      </c>
      <c r="I1365">
        <v>3</v>
      </c>
      <c r="J1365">
        <v>0.62580000000000002</v>
      </c>
      <c r="K1365">
        <v>2011</v>
      </c>
      <c r="L1365">
        <v>12</v>
      </c>
      <c r="M1365" t="s">
        <v>41</v>
      </c>
      <c r="N1365">
        <v>12</v>
      </c>
      <c r="O1365">
        <v>3</v>
      </c>
      <c r="P1365">
        <v>7</v>
      </c>
      <c r="Q1365">
        <v>2.98</v>
      </c>
      <c r="R1365" t="s">
        <v>26</v>
      </c>
      <c r="S1365" t="b">
        <v>0</v>
      </c>
      <c r="T1365" t="b">
        <v>0</v>
      </c>
    </row>
    <row r="1366" spans="1:20" x14ac:dyDescent="0.3">
      <c r="A1366" t="s">
        <v>2284</v>
      </c>
      <c r="B1366" s="1">
        <v>40889</v>
      </c>
      <c r="C1366" s="1">
        <v>40892</v>
      </c>
      <c r="D1366" t="s">
        <v>190</v>
      </c>
      <c r="E1366" t="s">
        <v>663</v>
      </c>
      <c r="F1366" t="s">
        <v>29</v>
      </c>
      <c r="G1366" t="s">
        <v>124</v>
      </c>
      <c r="H1366">
        <v>9.24</v>
      </c>
      <c r="I1366">
        <v>3</v>
      </c>
      <c r="J1366">
        <v>4.4352</v>
      </c>
      <c r="K1366">
        <v>2011</v>
      </c>
      <c r="L1366">
        <v>12</v>
      </c>
      <c r="M1366" t="s">
        <v>41</v>
      </c>
      <c r="N1366">
        <v>12</v>
      </c>
      <c r="O1366">
        <v>3</v>
      </c>
      <c r="P1366">
        <v>48</v>
      </c>
      <c r="Q1366">
        <v>3.08</v>
      </c>
      <c r="R1366" t="s">
        <v>26</v>
      </c>
      <c r="S1366" t="b">
        <v>0</v>
      </c>
      <c r="T1366" t="b">
        <v>0</v>
      </c>
    </row>
    <row r="1367" spans="1:20" x14ac:dyDescent="0.3">
      <c r="A1367" t="s">
        <v>2286</v>
      </c>
      <c r="B1367" s="1">
        <v>40921</v>
      </c>
      <c r="C1367" s="1">
        <v>40925</v>
      </c>
      <c r="D1367" t="s">
        <v>289</v>
      </c>
      <c r="E1367" t="s">
        <v>22</v>
      </c>
      <c r="F1367" t="s">
        <v>33</v>
      </c>
      <c r="G1367" t="s">
        <v>559</v>
      </c>
      <c r="H1367">
        <v>70.007999999999996</v>
      </c>
      <c r="I1367">
        <v>3</v>
      </c>
      <c r="J1367">
        <v>24.502800000000001</v>
      </c>
      <c r="K1367">
        <v>2012</v>
      </c>
      <c r="L1367">
        <v>1</v>
      </c>
      <c r="M1367" t="s">
        <v>60</v>
      </c>
      <c r="N1367">
        <v>13</v>
      </c>
      <c r="O1367">
        <v>4</v>
      </c>
      <c r="P1367">
        <v>35</v>
      </c>
      <c r="Q1367">
        <v>23.335999999999999</v>
      </c>
      <c r="R1367" t="s">
        <v>26</v>
      </c>
      <c r="S1367" t="b">
        <v>0</v>
      </c>
      <c r="T1367" t="b">
        <v>0</v>
      </c>
    </row>
    <row r="1368" spans="1:20" x14ac:dyDescent="0.3">
      <c r="A1368" t="s">
        <v>2286</v>
      </c>
      <c r="B1368" s="1">
        <v>40921</v>
      </c>
      <c r="C1368" s="1">
        <v>40925</v>
      </c>
      <c r="D1368" t="s">
        <v>289</v>
      </c>
      <c r="E1368" t="s">
        <v>22</v>
      </c>
      <c r="F1368" t="s">
        <v>29</v>
      </c>
      <c r="G1368" t="s">
        <v>1178</v>
      </c>
      <c r="H1368">
        <v>77.599999999999994</v>
      </c>
      <c r="I1368">
        <v>4</v>
      </c>
      <c r="J1368">
        <v>38.024000000000001</v>
      </c>
      <c r="K1368">
        <v>2012</v>
      </c>
      <c r="L1368">
        <v>1</v>
      </c>
      <c r="M1368" t="s">
        <v>60</v>
      </c>
      <c r="N1368">
        <v>13</v>
      </c>
      <c r="O1368">
        <v>4</v>
      </c>
      <c r="P1368">
        <v>49</v>
      </c>
      <c r="Q1368">
        <v>19.399999999999999</v>
      </c>
      <c r="R1368" t="s">
        <v>26</v>
      </c>
      <c r="S1368" t="b">
        <v>0</v>
      </c>
      <c r="T1368" t="b">
        <v>0</v>
      </c>
    </row>
    <row r="1369" spans="1:20" x14ac:dyDescent="0.3">
      <c r="A1369" t="s">
        <v>2286</v>
      </c>
      <c r="B1369" s="1">
        <v>40921</v>
      </c>
      <c r="C1369" s="1">
        <v>40925</v>
      </c>
      <c r="D1369" t="s">
        <v>289</v>
      </c>
      <c r="E1369" t="s">
        <v>22</v>
      </c>
      <c r="F1369" t="s">
        <v>29</v>
      </c>
      <c r="G1369" t="s">
        <v>2287</v>
      </c>
      <c r="H1369">
        <v>464.85</v>
      </c>
      <c r="I1369">
        <v>9</v>
      </c>
      <c r="J1369">
        <v>92.97</v>
      </c>
      <c r="K1369">
        <v>2012</v>
      </c>
      <c r="L1369">
        <v>1</v>
      </c>
      <c r="M1369" t="s">
        <v>60</v>
      </c>
      <c r="N1369">
        <v>13</v>
      </c>
      <c r="O1369">
        <v>4</v>
      </c>
      <c r="P1369">
        <v>20</v>
      </c>
      <c r="Q1369">
        <v>51.650000000000013</v>
      </c>
      <c r="R1369" t="s">
        <v>26</v>
      </c>
      <c r="S1369" t="b">
        <v>0</v>
      </c>
      <c r="T1369" t="b">
        <v>1</v>
      </c>
    </row>
    <row r="1370" spans="1:20" x14ac:dyDescent="0.3">
      <c r="A1370" t="s">
        <v>2288</v>
      </c>
      <c r="B1370" s="1">
        <v>41957</v>
      </c>
      <c r="C1370" s="1">
        <v>41962</v>
      </c>
      <c r="D1370" t="s">
        <v>150</v>
      </c>
      <c r="E1370" t="s">
        <v>39</v>
      </c>
      <c r="F1370" t="s">
        <v>45</v>
      </c>
      <c r="G1370" t="s">
        <v>2289</v>
      </c>
      <c r="H1370">
        <v>344.91</v>
      </c>
      <c r="I1370">
        <v>3</v>
      </c>
      <c r="J1370">
        <v>10.347300000000001</v>
      </c>
      <c r="K1370">
        <v>2014</v>
      </c>
      <c r="L1370">
        <v>11</v>
      </c>
      <c r="M1370" t="s">
        <v>70</v>
      </c>
      <c r="N1370">
        <v>14</v>
      </c>
      <c r="O1370">
        <v>5</v>
      </c>
      <c r="P1370">
        <v>3</v>
      </c>
      <c r="Q1370">
        <v>114.97</v>
      </c>
      <c r="R1370" t="s">
        <v>26</v>
      </c>
      <c r="S1370" t="b">
        <v>0</v>
      </c>
      <c r="T1370" t="b">
        <v>1</v>
      </c>
    </row>
    <row r="1371" spans="1:20" x14ac:dyDescent="0.3">
      <c r="A1371" t="s">
        <v>2288</v>
      </c>
      <c r="B1371" s="1">
        <v>41957</v>
      </c>
      <c r="C1371" s="1">
        <v>41962</v>
      </c>
      <c r="D1371" t="s">
        <v>150</v>
      </c>
      <c r="E1371" t="s">
        <v>39</v>
      </c>
      <c r="F1371" t="s">
        <v>23</v>
      </c>
      <c r="G1371" t="s">
        <v>1348</v>
      </c>
      <c r="H1371">
        <v>8.64</v>
      </c>
      <c r="I1371">
        <v>3</v>
      </c>
      <c r="J1371">
        <v>4.2336</v>
      </c>
      <c r="K1371">
        <v>2014</v>
      </c>
      <c r="L1371">
        <v>11</v>
      </c>
      <c r="M1371" t="s">
        <v>70</v>
      </c>
      <c r="N1371">
        <v>14</v>
      </c>
      <c r="O1371">
        <v>5</v>
      </c>
      <c r="P1371">
        <v>49</v>
      </c>
      <c r="Q1371">
        <v>2.88</v>
      </c>
      <c r="R1371" t="s">
        <v>26</v>
      </c>
      <c r="S1371" t="b">
        <v>0</v>
      </c>
      <c r="T1371" t="b">
        <v>0</v>
      </c>
    </row>
    <row r="1372" spans="1:20" x14ac:dyDescent="0.3">
      <c r="A1372" t="s">
        <v>2290</v>
      </c>
      <c r="B1372" s="1">
        <v>41707</v>
      </c>
      <c r="C1372" s="1">
        <v>41714</v>
      </c>
      <c r="D1372" t="s">
        <v>197</v>
      </c>
      <c r="E1372" t="s">
        <v>1538</v>
      </c>
      <c r="F1372" t="s">
        <v>33</v>
      </c>
      <c r="G1372" t="s">
        <v>2291</v>
      </c>
      <c r="H1372">
        <v>171.2</v>
      </c>
      <c r="I1372">
        <v>5</v>
      </c>
      <c r="J1372">
        <v>64.2</v>
      </c>
      <c r="K1372">
        <v>2014</v>
      </c>
      <c r="L1372">
        <v>3</v>
      </c>
      <c r="M1372" t="s">
        <v>135</v>
      </c>
      <c r="N1372">
        <v>9</v>
      </c>
      <c r="O1372">
        <v>7</v>
      </c>
      <c r="P1372">
        <v>37.5</v>
      </c>
      <c r="Q1372">
        <v>34.239999999999988</v>
      </c>
      <c r="R1372" t="s">
        <v>26</v>
      </c>
      <c r="S1372" t="b">
        <v>0</v>
      </c>
      <c r="T1372" t="b">
        <v>0</v>
      </c>
    </row>
    <row r="1373" spans="1:20" x14ac:dyDescent="0.3">
      <c r="A1373" t="s">
        <v>2290</v>
      </c>
      <c r="B1373" s="1">
        <v>41707</v>
      </c>
      <c r="C1373" s="1">
        <v>41714</v>
      </c>
      <c r="D1373" t="s">
        <v>197</v>
      </c>
      <c r="E1373" t="s">
        <v>1538</v>
      </c>
      <c r="F1373" t="s">
        <v>31</v>
      </c>
      <c r="G1373" t="s">
        <v>2292</v>
      </c>
      <c r="H1373">
        <v>3.36</v>
      </c>
      <c r="I1373">
        <v>2</v>
      </c>
      <c r="J1373">
        <v>0.87360000000000004</v>
      </c>
      <c r="K1373">
        <v>2014</v>
      </c>
      <c r="L1373">
        <v>3</v>
      </c>
      <c r="M1373" t="s">
        <v>135</v>
      </c>
      <c r="N1373">
        <v>9</v>
      </c>
      <c r="O1373">
        <v>7</v>
      </c>
      <c r="P1373">
        <v>26</v>
      </c>
      <c r="Q1373">
        <v>1.68</v>
      </c>
      <c r="R1373" t="s">
        <v>26</v>
      </c>
      <c r="S1373" t="b">
        <v>0</v>
      </c>
      <c r="T1373" t="b">
        <v>0</v>
      </c>
    </row>
    <row r="1374" spans="1:20" x14ac:dyDescent="0.3">
      <c r="A1374" t="s">
        <v>2293</v>
      </c>
      <c r="B1374" s="1">
        <v>41632</v>
      </c>
      <c r="C1374" s="1">
        <v>41639</v>
      </c>
      <c r="D1374" t="s">
        <v>2294</v>
      </c>
      <c r="E1374" t="s">
        <v>39</v>
      </c>
      <c r="F1374" t="s">
        <v>31</v>
      </c>
      <c r="G1374" t="s">
        <v>351</v>
      </c>
      <c r="H1374">
        <v>8.82</v>
      </c>
      <c r="I1374">
        <v>3</v>
      </c>
      <c r="J1374">
        <v>2.5577999999999999</v>
      </c>
      <c r="K1374">
        <v>2013</v>
      </c>
      <c r="L1374">
        <v>12</v>
      </c>
      <c r="M1374" t="s">
        <v>41</v>
      </c>
      <c r="N1374">
        <v>24</v>
      </c>
      <c r="O1374">
        <v>7</v>
      </c>
      <c r="P1374">
        <v>29</v>
      </c>
      <c r="Q1374">
        <v>2.94</v>
      </c>
      <c r="R1374" t="s">
        <v>26</v>
      </c>
      <c r="S1374" t="b">
        <v>0</v>
      </c>
      <c r="T1374" t="b">
        <v>0</v>
      </c>
    </row>
    <row r="1375" spans="1:20" x14ac:dyDescent="0.3">
      <c r="A1375" t="s">
        <v>2293</v>
      </c>
      <c r="B1375" s="1">
        <v>41632</v>
      </c>
      <c r="C1375" s="1">
        <v>41639</v>
      </c>
      <c r="D1375" t="s">
        <v>2294</v>
      </c>
      <c r="E1375" t="s">
        <v>39</v>
      </c>
      <c r="F1375" t="s">
        <v>72</v>
      </c>
      <c r="G1375" t="s">
        <v>1181</v>
      </c>
      <c r="H1375">
        <v>37.94</v>
      </c>
      <c r="I1375">
        <v>2</v>
      </c>
      <c r="J1375">
        <v>18.211200000000002</v>
      </c>
      <c r="K1375">
        <v>2013</v>
      </c>
      <c r="L1375">
        <v>12</v>
      </c>
      <c r="M1375" t="s">
        <v>41</v>
      </c>
      <c r="N1375">
        <v>24</v>
      </c>
      <c r="O1375">
        <v>7</v>
      </c>
      <c r="P1375">
        <v>48</v>
      </c>
      <c r="Q1375">
        <v>18.97</v>
      </c>
      <c r="R1375" t="s">
        <v>26</v>
      </c>
      <c r="S1375" t="b">
        <v>0</v>
      </c>
      <c r="T1375" t="b">
        <v>0</v>
      </c>
    </row>
    <row r="1376" spans="1:20" x14ac:dyDescent="0.3">
      <c r="A1376" t="s">
        <v>2293</v>
      </c>
      <c r="B1376" s="1">
        <v>41632</v>
      </c>
      <c r="C1376" s="1">
        <v>41639</v>
      </c>
      <c r="D1376" t="s">
        <v>2294</v>
      </c>
      <c r="E1376" t="s">
        <v>39</v>
      </c>
      <c r="F1376" t="s">
        <v>31</v>
      </c>
      <c r="G1376" t="s">
        <v>2295</v>
      </c>
      <c r="H1376">
        <v>4.2</v>
      </c>
      <c r="I1376">
        <v>2</v>
      </c>
      <c r="J1376">
        <v>1.1759999999999999</v>
      </c>
      <c r="K1376">
        <v>2013</v>
      </c>
      <c r="L1376">
        <v>12</v>
      </c>
      <c r="M1376" t="s">
        <v>41</v>
      </c>
      <c r="N1376">
        <v>24</v>
      </c>
      <c r="O1376">
        <v>7</v>
      </c>
      <c r="P1376">
        <v>28</v>
      </c>
      <c r="Q1376">
        <v>2.1</v>
      </c>
      <c r="R1376" t="s">
        <v>26</v>
      </c>
      <c r="S1376" t="b">
        <v>0</v>
      </c>
      <c r="T1376" t="b">
        <v>0</v>
      </c>
    </row>
    <row r="1377" spans="1:20" x14ac:dyDescent="0.3">
      <c r="A1377" t="s">
        <v>2293</v>
      </c>
      <c r="B1377" s="1">
        <v>41632</v>
      </c>
      <c r="C1377" s="1">
        <v>41639</v>
      </c>
      <c r="D1377" t="s">
        <v>2294</v>
      </c>
      <c r="E1377" t="s">
        <v>39</v>
      </c>
      <c r="F1377" t="s">
        <v>45</v>
      </c>
      <c r="G1377" t="s">
        <v>316</v>
      </c>
      <c r="H1377">
        <v>227.28</v>
      </c>
      <c r="I1377">
        <v>2</v>
      </c>
      <c r="J1377">
        <v>2.2728000000000002</v>
      </c>
      <c r="K1377">
        <v>2013</v>
      </c>
      <c r="L1377">
        <v>12</v>
      </c>
      <c r="M1377" t="s">
        <v>41</v>
      </c>
      <c r="N1377">
        <v>24</v>
      </c>
      <c r="O1377">
        <v>7</v>
      </c>
      <c r="P1377">
        <v>1</v>
      </c>
      <c r="Q1377">
        <v>113.64</v>
      </c>
      <c r="R1377" t="s">
        <v>26</v>
      </c>
      <c r="S1377" t="b">
        <v>0</v>
      </c>
      <c r="T1377" t="b">
        <v>1</v>
      </c>
    </row>
    <row r="1378" spans="1:20" x14ac:dyDescent="0.3">
      <c r="A1378" t="s">
        <v>2293</v>
      </c>
      <c r="B1378" s="1">
        <v>41632</v>
      </c>
      <c r="C1378" s="1">
        <v>41639</v>
      </c>
      <c r="D1378" t="s">
        <v>2294</v>
      </c>
      <c r="E1378" t="s">
        <v>39</v>
      </c>
      <c r="F1378" t="s">
        <v>72</v>
      </c>
      <c r="G1378" t="s">
        <v>130</v>
      </c>
      <c r="H1378">
        <v>47.9</v>
      </c>
      <c r="I1378">
        <v>1</v>
      </c>
      <c r="J1378">
        <v>22.992000000000001</v>
      </c>
      <c r="K1378">
        <v>2013</v>
      </c>
      <c r="L1378">
        <v>12</v>
      </c>
      <c r="M1378" t="s">
        <v>41</v>
      </c>
      <c r="N1378">
        <v>24</v>
      </c>
      <c r="O1378">
        <v>7</v>
      </c>
      <c r="P1378">
        <v>48</v>
      </c>
      <c r="Q1378">
        <v>47.9</v>
      </c>
      <c r="R1378" t="s">
        <v>26</v>
      </c>
      <c r="S1378" t="b">
        <v>0</v>
      </c>
      <c r="T1378" t="b">
        <v>0</v>
      </c>
    </row>
    <row r="1379" spans="1:20" x14ac:dyDescent="0.3">
      <c r="A1379" t="s">
        <v>2293</v>
      </c>
      <c r="B1379" s="1">
        <v>41632</v>
      </c>
      <c r="C1379" s="1">
        <v>41639</v>
      </c>
      <c r="D1379" t="s">
        <v>2294</v>
      </c>
      <c r="E1379" t="s">
        <v>39</v>
      </c>
      <c r="F1379" t="s">
        <v>128</v>
      </c>
      <c r="G1379" t="s">
        <v>155</v>
      </c>
      <c r="H1379">
        <v>61.96</v>
      </c>
      <c r="I1379">
        <v>2</v>
      </c>
      <c r="J1379">
        <v>30.360399999999998</v>
      </c>
      <c r="K1379">
        <v>2013</v>
      </c>
      <c r="L1379">
        <v>12</v>
      </c>
      <c r="M1379" t="s">
        <v>41</v>
      </c>
      <c r="N1379">
        <v>24</v>
      </c>
      <c r="O1379">
        <v>7</v>
      </c>
      <c r="P1379">
        <v>49</v>
      </c>
      <c r="Q1379">
        <v>30.98</v>
      </c>
      <c r="R1379" t="s">
        <v>26</v>
      </c>
      <c r="S1379" t="b">
        <v>0</v>
      </c>
      <c r="T1379" t="b">
        <v>0</v>
      </c>
    </row>
    <row r="1380" spans="1:20" x14ac:dyDescent="0.3">
      <c r="A1380" t="s">
        <v>2296</v>
      </c>
      <c r="B1380" s="1">
        <v>41509</v>
      </c>
      <c r="C1380" s="1">
        <v>41514</v>
      </c>
      <c r="D1380" t="s">
        <v>2297</v>
      </c>
      <c r="E1380" t="s">
        <v>1633</v>
      </c>
      <c r="F1380" t="s">
        <v>33</v>
      </c>
      <c r="G1380" t="s">
        <v>1138</v>
      </c>
      <c r="H1380">
        <v>26.352</v>
      </c>
      <c r="I1380">
        <v>8</v>
      </c>
      <c r="J1380">
        <v>-18.446400000000001</v>
      </c>
      <c r="K1380">
        <v>2013</v>
      </c>
      <c r="L1380">
        <v>8</v>
      </c>
      <c r="M1380" t="s">
        <v>53</v>
      </c>
      <c r="N1380">
        <v>23</v>
      </c>
      <c r="O1380">
        <v>5</v>
      </c>
      <c r="P1380">
        <v>-70</v>
      </c>
      <c r="Q1380">
        <v>3.294</v>
      </c>
      <c r="R1380" t="s">
        <v>26</v>
      </c>
      <c r="S1380" t="b">
        <v>1</v>
      </c>
      <c r="T1380" t="b">
        <v>0</v>
      </c>
    </row>
    <row r="1381" spans="1:20" x14ac:dyDescent="0.3">
      <c r="A1381" t="s">
        <v>2298</v>
      </c>
      <c r="B1381" s="1">
        <v>41991</v>
      </c>
      <c r="C1381" s="1">
        <v>41995</v>
      </c>
      <c r="D1381" t="s">
        <v>2299</v>
      </c>
      <c r="E1381" t="s">
        <v>1538</v>
      </c>
      <c r="F1381" t="s">
        <v>45</v>
      </c>
      <c r="G1381" t="s">
        <v>2300</v>
      </c>
      <c r="H1381">
        <v>481.32</v>
      </c>
      <c r="I1381">
        <v>4</v>
      </c>
      <c r="J1381">
        <v>125.14319999999999</v>
      </c>
      <c r="K1381">
        <v>2014</v>
      </c>
      <c r="L1381">
        <v>12</v>
      </c>
      <c r="M1381" t="s">
        <v>41</v>
      </c>
      <c r="N1381">
        <v>18</v>
      </c>
      <c r="O1381">
        <v>4</v>
      </c>
      <c r="P1381">
        <v>26</v>
      </c>
      <c r="Q1381">
        <v>120.33</v>
      </c>
      <c r="R1381" t="s">
        <v>26</v>
      </c>
      <c r="S1381" t="b">
        <v>0</v>
      </c>
      <c r="T1381" t="b">
        <v>1</v>
      </c>
    </row>
    <row r="1382" spans="1:20" x14ac:dyDescent="0.3">
      <c r="A1382" t="s">
        <v>2298</v>
      </c>
      <c r="B1382" s="1">
        <v>41991</v>
      </c>
      <c r="C1382" s="1">
        <v>41995</v>
      </c>
      <c r="D1382" t="s">
        <v>2299</v>
      </c>
      <c r="E1382" t="s">
        <v>1538</v>
      </c>
      <c r="F1382" t="s">
        <v>122</v>
      </c>
      <c r="G1382" t="s">
        <v>2301</v>
      </c>
      <c r="H1382">
        <v>13.98</v>
      </c>
      <c r="I1382">
        <v>1</v>
      </c>
      <c r="J1382">
        <v>3.6347999999999998</v>
      </c>
      <c r="K1382">
        <v>2014</v>
      </c>
      <c r="L1382">
        <v>12</v>
      </c>
      <c r="M1382" t="s">
        <v>41</v>
      </c>
      <c r="N1382">
        <v>18</v>
      </c>
      <c r="O1382">
        <v>4</v>
      </c>
      <c r="P1382">
        <v>26</v>
      </c>
      <c r="Q1382">
        <v>13.98</v>
      </c>
      <c r="R1382" t="s">
        <v>26</v>
      </c>
      <c r="S1382" t="b">
        <v>0</v>
      </c>
      <c r="T1382" t="b">
        <v>0</v>
      </c>
    </row>
    <row r="1383" spans="1:20" x14ac:dyDescent="0.3">
      <c r="A1383" t="s">
        <v>2302</v>
      </c>
      <c r="B1383" s="1">
        <v>41176</v>
      </c>
      <c r="C1383" s="1">
        <v>41178</v>
      </c>
      <c r="D1383" t="s">
        <v>433</v>
      </c>
      <c r="E1383" t="s">
        <v>39</v>
      </c>
      <c r="F1383" t="s">
        <v>31</v>
      </c>
      <c r="G1383" t="s">
        <v>705</v>
      </c>
      <c r="H1383">
        <v>35.96</v>
      </c>
      <c r="I1383">
        <v>2</v>
      </c>
      <c r="J1383">
        <v>10.4284</v>
      </c>
      <c r="K1383">
        <v>2012</v>
      </c>
      <c r="L1383">
        <v>9</v>
      </c>
      <c r="M1383" t="s">
        <v>87</v>
      </c>
      <c r="N1383">
        <v>24</v>
      </c>
      <c r="O1383">
        <v>2</v>
      </c>
      <c r="P1383">
        <v>29</v>
      </c>
      <c r="Q1383">
        <v>17.98</v>
      </c>
      <c r="R1383" t="s">
        <v>26</v>
      </c>
      <c r="S1383" t="b">
        <v>0</v>
      </c>
      <c r="T1383" t="b">
        <v>0</v>
      </c>
    </row>
    <row r="1384" spans="1:20" x14ac:dyDescent="0.3">
      <c r="A1384" t="s">
        <v>2302</v>
      </c>
      <c r="B1384" s="1">
        <v>41176</v>
      </c>
      <c r="C1384" s="1">
        <v>41178</v>
      </c>
      <c r="D1384" t="s">
        <v>433</v>
      </c>
      <c r="E1384" t="s">
        <v>39</v>
      </c>
      <c r="F1384" t="s">
        <v>33</v>
      </c>
      <c r="G1384" t="s">
        <v>641</v>
      </c>
      <c r="H1384">
        <v>14.952</v>
      </c>
      <c r="I1384">
        <v>3</v>
      </c>
      <c r="J1384">
        <v>5.4200999999999997</v>
      </c>
      <c r="K1384">
        <v>2012</v>
      </c>
      <c r="L1384">
        <v>9</v>
      </c>
      <c r="M1384" t="s">
        <v>87</v>
      </c>
      <c r="N1384">
        <v>24</v>
      </c>
      <c r="O1384">
        <v>2</v>
      </c>
      <c r="P1384">
        <v>36.25</v>
      </c>
      <c r="Q1384">
        <v>4.984</v>
      </c>
      <c r="R1384" t="s">
        <v>26</v>
      </c>
      <c r="S1384" t="b">
        <v>0</v>
      </c>
      <c r="T1384" t="b">
        <v>0</v>
      </c>
    </row>
    <row r="1385" spans="1:20" x14ac:dyDescent="0.3">
      <c r="A1385" t="s">
        <v>2303</v>
      </c>
      <c r="B1385" s="1">
        <v>41724</v>
      </c>
      <c r="C1385" s="1">
        <v>41729</v>
      </c>
      <c r="D1385" t="s">
        <v>1053</v>
      </c>
      <c r="E1385" t="s">
        <v>39</v>
      </c>
      <c r="F1385" t="s">
        <v>31</v>
      </c>
      <c r="G1385" t="s">
        <v>2304</v>
      </c>
      <c r="H1385">
        <v>23.1</v>
      </c>
      <c r="I1385">
        <v>2</v>
      </c>
      <c r="J1385">
        <v>6.93</v>
      </c>
      <c r="K1385">
        <v>2014</v>
      </c>
      <c r="L1385">
        <v>3</v>
      </c>
      <c r="M1385" t="s">
        <v>135</v>
      </c>
      <c r="N1385">
        <v>26</v>
      </c>
      <c r="O1385">
        <v>5</v>
      </c>
      <c r="P1385">
        <v>30</v>
      </c>
      <c r="Q1385">
        <v>11.55</v>
      </c>
      <c r="R1385" t="s">
        <v>26</v>
      </c>
      <c r="S1385" t="b">
        <v>0</v>
      </c>
      <c r="T1385" t="b">
        <v>0</v>
      </c>
    </row>
    <row r="1386" spans="1:20" x14ac:dyDescent="0.3">
      <c r="A1386" t="s">
        <v>2305</v>
      </c>
      <c r="B1386" s="1">
        <v>41180</v>
      </c>
      <c r="C1386" s="1">
        <v>41186</v>
      </c>
      <c r="D1386" t="s">
        <v>411</v>
      </c>
      <c r="E1386" t="s">
        <v>99</v>
      </c>
      <c r="F1386" t="s">
        <v>128</v>
      </c>
      <c r="G1386" t="s">
        <v>1681</v>
      </c>
      <c r="H1386">
        <v>12.536</v>
      </c>
      <c r="I1386">
        <v>1</v>
      </c>
      <c r="J1386">
        <v>4.2309000000000001</v>
      </c>
      <c r="K1386">
        <v>2012</v>
      </c>
      <c r="L1386">
        <v>9</v>
      </c>
      <c r="M1386" t="s">
        <v>87</v>
      </c>
      <c r="N1386">
        <v>28</v>
      </c>
      <c r="O1386">
        <v>6</v>
      </c>
      <c r="P1386">
        <v>33.75</v>
      </c>
      <c r="Q1386">
        <v>12.536</v>
      </c>
      <c r="R1386" t="s">
        <v>26</v>
      </c>
      <c r="S1386" t="b">
        <v>0</v>
      </c>
      <c r="T1386" t="b">
        <v>0</v>
      </c>
    </row>
    <row r="1387" spans="1:20" x14ac:dyDescent="0.3">
      <c r="A1387" t="s">
        <v>2305</v>
      </c>
      <c r="B1387" s="1">
        <v>41180</v>
      </c>
      <c r="C1387" s="1">
        <v>41186</v>
      </c>
      <c r="D1387" t="s">
        <v>411</v>
      </c>
      <c r="E1387" t="s">
        <v>99</v>
      </c>
      <c r="F1387" t="s">
        <v>33</v>
      </c>
      <c r="G1387" t="s">
        <v>601</v>
      </c>
      <c r="H1387">
        <v>1.08</v>
      </c>
      <c r="I1387">
        <v>2</v>
      </c>
      <c r="J1387">
        <v>-0.79200000000000004</v>
      </c>
      <c r="K1387">
        <v>2012</v>
      </c>
      <c r="L1387">
        <v>9</v>
      </c>
      <c r="M1387" t="s">
        <v>87</v>
      </c>
      <c r="N1387">
        <v>28</v>
      </c>
      <c r="O1387">
        <v>6</v>
      </c>
      <c r="P1387">
        <v>-73.33</v>
      </c>
      <c r="Q1387">
        <v>0.54</v>
      </c>
      <c r="R1387" t="s">
        <v>26</v>
      </c>
      <c r="S1387" t="b">
        <v>1</v>
      </c>
      <c r="T1387" t="b">
        <v>0</v>
      </c>
    </row>
    <row r="1388" spans="1:20" x14ac:dyDescent="0.3">
      <c r="A1388" t="s">
        <v>2305</v>
      </c>
      <c r="B1388" s="1">
        <v>41180</v>
      </c>
      <c r="C1388" s="1">
        <v>41186</v>
      </c>
      <c r="D1388" t="s">
        <v>411</v>
      </c>
      <c r="E1388" t="s">
        <v>99</v>
      </c>
      <c r="F1388" t="s">
        <v>119</v>
      </c>
      <c r="G1388" t="s">
        <v>155</v>
      </c>
      <c r="H1388">
        <v>4.5119999999999996</v>
      </c>
      <c r="I1388">
        <v>3</v>
      </c>
      <c r="J1388">
        <v>0.84599999999999997</v>
      </c>
      <c r="K1388">
        <v>2012</v>
      </c>
      <c r="L1388">
        <v>9</v>
      </c>
      <c r="M1388" t="s">
        <v>87</v>
      </c>
      <c r="N1388">
        <v>28</v>
      </c>
      <c r="O1388">
        <v>6</v>
      </c>
      <c r="P1388">
        <v>18.75</v>
      </c>
      <c r="Q1388">
        <v>1.504</v>
      </c>
      <c r="R1388" t="s">
        <v>26</v>
      </c>
      <c r="S1388" t="b">
        <v>0</v>
      </c>
      <c r="T1388" t="b">
        <v>0</v>
      </c>
    </row>
    <row r="1389" spans="1:20" x14ac:dyDescent="0.3">
      <c r="A1389" t="s">
        <v>2306</v>
      </c>
      <c r="B1389" s="1">
        <v>40983</v>
      </c>
      <c r="C1389" s="1">
        <v>40989</v>
      </c>
      <c r="D1389" t="s">
        <v>2307</v>
      </c>
      <c r="E1389" t="s">
        <v>2308</v>
      </c>
      <c r="F1389" t="s">
        <v>54</v>
      </c>
      <c r="G1389" t="s">
        <v>2309</v>
      </c>
      <c r="H1389">
        <v>16.776</v>
      </c>
      <c r="I1389">
        <v>3</v>
      </c>
      <c r="J1389">
        <v>1.6776</v>
      </c>
      <c r="K1389">
        <v>2012</v>
      </c>
      <c r="L1389">
        <v>3</v>
      </c>
      <c r="M1389" t="s">
        <v>135</v>
      </c>
      <c r="N1389">
        <v>15</v>
      </c>
      <c r="O1389">
        <v>6</v>
      </c>
      <c r="P1389">
        <v>10</v>
      </c>
      <c r="Q1389">
        <v>5.5919999999999996</v>
      </c>
      <c r="R1389" t="s">
        <v>48</v>
      </c>
      <c r="S1389" t="b">
        <v>0</v>
      </c>
      <c r="T1389" t="b">
        <v>0</v>
      </c>
    </row>
    <row r="1390" spans="1:20" x14ac:dyDescent="0.3">
      <c r="A1390" t="s">
        <v>2310</v>
      </c>
      <c r="B1390" s="1">
        <v>40557</v>
      </c>
      <c r="C1390" s="1">
        <v>40562</v>
      </c>
      <c r="D1390" t="s">
        <v>2311</v>
      </c>
      <c r="E1390" t="s">
        <v>51</v>
      </c>
      <c r="F1390" t="s">
        <v>317</v>
      </c>
      <c r="G1390" t="s">
        <v>2312</v>
      </c>
      <c r="H1390">
        <v>333.99900000000002</v>
      </c>
      <c r="I1390">
        <v>3</v>
      </c>
      <c r="J1390">
        <v>3.9293999999999998</v>
      </c>
      <c r="K1390">
        <v>2011</v>
      </c>
      <c r="L1390">
        <v>1</v>
      </c>
      <c r="M1390" t="s">
        <v>60</v>
      </c>
      <c r="N1390">
        <v>14</v>
      </c>
      <c r="O1390">
        <v>5</v>
      </c>
      <c r="P1390">
        <v>1.18</v>
      </c>
      <c r="Q1390">
        <v>111.333</v>
      </c>
      <c r="R1390" t="s">
        <v>26</v>
      </c>
      <c r="S1390" t="b">
        <v>0</v>
      </c>
      <c r="T1390" t="b">
        <v>1</v>
      </c>
    </row>
    <row r="1391" spans="1:20" x14ac:dyDescent="0.3">
      <c r="A1391" t="s">
        <v>2310</v>
      </c>
      <c r="B1391" s="1">
        <v>40557</v>
      </c>
      <c r="C1391" s="1">
        <v>40562</v>
      </c>
      <c r="D1391" t="s">
        <v>2311</v>
      </c>
      <c r="E1391" t="s">
        <v>51</v>
      </c>
      <c r="F1391" t="s">
        <v>31</v>
      </c>
      <c r="G1391" t="s">
        <v>886</v>
      </c>
      <c r="H1391">
        <v>19.899999999999999</v>
      </c>
      <c r="I1391">
        <v>5</v>
      </c>
      <c r="J1391">
        <v>6.5670000000000002</v>
      </c>
      <c r="K1391">
        <v>2011</v>
      </c>
      <c r="L1391">
        <v>1</v>
      </c>
      <c r="M1391" t="s">
        <v>60</v>
      </c>
      <c r="N1391">
        <v>14</v>
      </c>
      <c r="O1391">
        <v>5</v>
      </c>
      <c r="P1391">
        <v>33</v>
      </c>
      <c r="Q1391">
        <v>3.98</v>
      </c>
      <c r="R1391" t="s">
        <v>26</v>
      </c>
      <c r="S1391" t="b">
        <v>0</v>
      </c>
      <c r="T1391" t="b">
        <v>0</v>
      </c>
    </row>
    <row r="1392" spans="1:20" x14ac:dyDescent="0.3">
      <c r="A1392" t="s">
        <v>2313</v>
      </c>
      <c r="B1392" s="1">
        <v>41523</v>
      </c>
      <c r="C1392" s="1">
        <v>41524</v>
      </c>
      <c r="D1392" t="s">
        <v>305</v>
      </c>
      <c r="E1392" t="s">
        <v>1520</v>
      </c>
      <c r="F1392" t="s">
        <v>72</v>
      </c>
      <c r="G1392" t="s">
        <v>2314</v>
      </c>
      <c r="H1392">
        <v>96.08</v>
      </c>
      <c r="I1392">
        <v>2</v>
      </c>
      <c r="J1392">
        <v>46.118400000000001</v>
      </c>
      <c r="K1392">
        <v>2013</v>
      </c>
      <c r="L1392">
        <v>9</v>
      </c>
      <c r="M1392" t="s">
        <v>87</v>
      </c>
      <c r="N1392">
        <v>6</v>
      </c>
      <c r="O1392">
        <v>1</v>
      </c>
      <c r="P1392">
        <v>48</v>
      </c>
      <c r="Q1392">
        <v>48.04</v>
      </c>
      <c r="R1392" t="s">
        <v>26</v>
      </c>
      <c r="S1392" t="b">
        <v>0</v>
      </c>
      <c r="T1392" t="b">
        <v>0</v>
      </c>
    </row>
    <row r="1393" spans="1:20" x14ac:dyDescent="0.3">
      <c r="A1393" t="s">
        <v>2313</v>
      </c>
      <c r="B1393" s="1">
        <v>41523</v>
      </c>
      <c r="C1393" s="1">
        <v>41524</v>
      </c>
      <c r="D1393" t="s">
        <v>305</v>
      </c>
      <c r="E1393" t="s">
        <v>1520</v>
      </c>
      <c r="F1393" t="s">
        <v>33</v>
      </c>
      <c r="G1393" t="s">
        <v>942</v>
      </c>
      <c r="H1393">
        <v>11.68</v>
      </c>
      <c r="I1393">
        <v>2</v>
      </c>
      <c r="J1393">
        <v>3.9420000000000002</v>
      </c>
      <c r="K1393">
        <v>2013</v>
      </c>
      <c r="L1393">
        <v>9</v>
      </c>
      <c r="M1393" t="s">
        <v>87</v>
      </c>
      <c r="N1393">
        <v>6</v>
      </c>
      <c r="O1393">
        <v>1</v>
      </c>
      <c r="P1393">
        <v>33.75</v>
      </c>
      <c r="Q1393">
        <v>5.84</v>
      </c>
      <c r="R1393" t="s">
        <v>26</v>
      </c>
      <c r="S1393" t="b">
        <v>0</v>
      </c>
      <c r="T1393" t="b">
        <v>0</v>
      </c>
    </row>
    <row r="1394" spans="1:20" x14ac:dyDescent="0.3">
      <c r="A1394" t="s">
        <v>2313</v>
      </c>
      <c r="B1394" s="1">
        <v>41523</v>
      </c>
      <c r="C1394" s="1">
        <v>41524</v>
      </c>
      <c r="D1394" t="s">
        <v>305</v>
      </c>
      <c r="E1394" t="s">
        <v>1520</v>
      </c>
      <c r="F1394" t="s">
        <v>119</v>
      </c>
      <c r="G1394" t="s">
        <v>2315</v>
      </c>
      <c r="H1394">
        <v>4.3600000000000003</v>
      </c>
      <c r="I1394">
        <v>2</v>
      </c>
      <c r="J1394">
        <v>1.7876000000000001</v>
      </c>
      <c r="K1394">
        <v>2013</v>
      </c>
      <c r="L1394">
        <v>9</v>
      </c>
      <c r="M1394" t="s">
        <v>87</v>
      </c>
      <c r="N1394">
        <v>6</v>
      </c>
      <c r="O1394">
        <v>1</v>
      </c>
      <c r="P1394">
        <v>41</v>
      </c>
      <c r="Q1394">
        <v>2.1800000000000002</v>
      </c>
      <c r="R1394" t="s">
        <v>26</v>
      </c>
      <c r="S1394" t="b">
        <v>0</v>
      </c>
      <c r="T1394" t="b">
        <v>0</v>
      </c>
    </row>
    <row r="1395" spans="1:20" x14ac:dyDescent="0.3">
      <c r="A1395" t="s">
        <v>2316</v>
      </c>
      <c r="B1395" s="1">
        <v>40820</v>
      </c>
      <c r="C1395" s="1">
        <v>40825</v>
      </c>
      <c r="D1395" t="s">
        <v>2317</v>
      </c>
      <c r="E1395" t="s">
        <v>39</v>
      </c>
      <c r="F1395" t="s">
        <v>23</v>
      </c>
      <c r="G1395" t="s">
        <v>2318</v>
      </c>
      <c r="H1395">
        <v>29.24</v>
      </c>
      <c r="I1395">
        <v>4</v>
      </c>
      <c r="J1395">
        <v>13.742800000000001</v>
      </c>
      <c r="K1395">
        <v>2011</v>
      </c>
      <c r="L1395">
        <v>10</v>
      </c>
      <c r="M1395" t="s">
        <v>82</v>
      </c>
      <c r="N1395">
        <v>4</v>
      </c>
      <c r="O1395">
        <v>5</v>
      </c>
      <c r="P1395">
        <v>47</v>
      </c>
      <c r="Q1395">
        <v>7.31</v>
      </c>
      <c r="R1395" t="s">
        <v>48</v>
      </c>
      <c r="S1395" t="b">
        <v>0</v>
      </c>
      <c r="T1395" t="b">
        <v>0</v>
      </c>
    </row>
    <row r="1396" spans="1:20" x14ac:dyDescent="0.3">
      <c r="A1396" t="s">
        <v>2319</v>
      </c>
      <c r="B1396" s="1">
        <v>41971</v>
      </c>
      <c r="C1396" s="1">
        <v>41976</v>
      </c>
      <c r="D1396" t="s">
        <v>1811</v>
      </c>
      <c r="E1396" t="s">
        <v>22</v>
      </c>
      <c r="F1396" t="s">
        <v>33</v>
      </c>
      <c r="G1396" t="s">
        <v>434</v>
      </c>
      <c r="H1396">
        <v>117.488</v>
      </c>
      <c r="I1396">
        <v>7</v>
      </c>
      <c r="J1396">
        <v>41.120800000000003</v>
      </c>
      <c r="K1396">
        <v>2014</v>
      </c>
      <c r="L1396">
        <v>11</v>
      </c>
      <c r="M1396" t="s">
        <v>70</v>
      </c>
      <c r="N1396">
        <v>28</v>
      </c>
      <c r="O1396">
        <v>5</v>
      </c>
      <c r="P1396">
        <v>35</v>
      </c>
      <c r="Q1396">
        <v>16.783999999999999</v>
      </c>
      <c r="R1396" t="s">
        <v>26</v>
      </c>
      <c r="S1396" t="b">
        <v>0</v>
      </c>
      <c r="T1396" t="b">
        <v>0</v>
      </c>
    </row>
    <row r="1397" spans="1:20" x14ac:dyDescent="0.3">
      <c r="A1397" t="s">
        <v>2319</v>
      </c>
      <c r="B1397" s="1">
        <v>41971</v>
      </c>
      <c r="C1397" s="1">
        <v>41976</v>
      </c>
      <c r="D1397" t="s">
        <v>1811</v>
      </c>
      <c r="E1397" t="s">
        <v>22</v>
      </c>
      <c r="F1397" t="s">
        <v>29</v>
      </c>
      <c r="G1397" t="s">
        <v>2111</v>
      </c>
      <c r="H1397">
        <v>18.84</v>
      </c>
      <c r="I1397">
        <v>3</v>
      </c>
      <c r="J1397">
        <v>6.0288000000000004</v>
      </c>
      <c r="K1397">
        <v>2014</v>
      </c>
      <c r="L1397">
        <v>11</v>
      </c>
      <c r="M1397" t="s">
        <v>70</v>
      </c>
      <c r="N1397">
        <v>28</v>
      </c>
      <c r="O1397">
        <v>5</v>
      </c>
      <c r="P1397">
        <v>32</v>
      </c>
      <c r="Q1397">
        <v>6.28</v>
      </c>
      <c r="R1397" t="s">
        <v>26</v>
      </c>
      <c r="S1397" t="b">
        <v>0</v>
      </c>
      <c r="T1397" t="b">
        <v>0</v>
      </c>
    </row>
    <row r="1398" spans="1:20" x14ac:dyDescent="0.3">
      <c r="A1398" t="s">
        <v>2320</v>
      </c>
      <c r="B1398" s="1">
        <v>41982</v>
      </c>
      <c r="C1398" s="1">
        <v>41986</v>
      </c>
      <c r="D1398" t="s">
        <v>1446</v>
      </c>
      <c r="E1398" t="s">
        <v>51</v>
      </c>
      <c r="F1398" t="s">
        <v>35</v>
      </c>
      <c r="G1398" t="s">
        <v>2321</v>
      </c>
      <c r="H1398">
        <v>69.48</v>
      </c>
      <c r="I1398">
        <v>1</v>
      </c>
      <c r="J1398">
        <v>20.844000000000001</v>
      </c>
      <c r="K1398">
        <v>2014</v>
      </c>
      <c r="L1398">
        <v>12</v>
      </c>
      <c r="M1398" t="s">
        <v>41</v>
      </c>
      <c r="N1398">
        <v>9</v>
      </c>
      <c r="O1398">
        <v>4</v>
      </c>
      <c r="P1398">
        <v>30</v>
      </c>
      <c r="Q1398">
        <v>69.48</v>
      </c>
      <c r="R1398" t="s">
        <v>26</v>
      </c>
      <c r="S1398" t="b">
        <v>0</v>
      </c>
      <c r="T1398" t="b">
        <v>0</v>
      </c>
    </row>
    <row r="1399" spans="1:20" x14ac:dyDescent="0.3">
      <c r="A1399" t="s">
        <v>2322</v>
      </c>
      <c r="B1399" s="1">
        <v>40703</v>
      </c>
      <c r="C1399" s="1">
        <v>40707</v>
      </c>
      <c r="D1399" t="s">
        <v>1723</v>
      </c>
      <c r="E1399" t="s">
        <v>981</v>
      </c>
      <c r="F1399" t="s">
        <v>31</v>
      </c>
      <c r="G1399" t="s">
        <v>541</v>
      </c>
      <c r="H1399">
        <v>18.059999999999999</v>
      </c>
      <c r="I1399">
        <v>7</v>
      </c>
      <c r="J1399">
        <v>4.6955999999999998</v>
      </c>
      <c r="K1399">
        <v>2011</v>
      </c>
      <c r="L1399">
        <v>6</v>
      </c>
      <c r="M1399" t="s">
        <v>25</v>
      </c>
      <c r="N1399">
        <v>9</v>
      </c>
      <c r="O1399">
        <v>4</v>
      </c>
      <c r="P1399">
        <v>26</v>
      </c>
      <c r="Q1399">
        <v>2.58</v>
      </c>
      <c r="R1399" t="s">
        <v>26</v>
      </c>
      <c r="S1399" t="b">
        <v>0</v>
      </c>
      <c r="T1399" t="b">
        <v>0</v>
      </c>
    </row>
    <row r="1400" spans="1:20" x14ac:dyDescent="0.3">
      <c r="A1400" t="s">
        <v>2322</v>
      </c>
      <c r="B1400" s="1">
        <v>40703</v>
      </c>
      <c r="C1400" s="1">
        <v>40707</v>
      </c>
      <c r="D1400" t="s">
        <v>1723</v>
      </c>
      <c r="E1400" t="s">
        <v>981</v>
      </c>
      <c r="F1400" t="s">
        <v>72</v>
      </c>
      <c r="G1400" t="s">
        <v>2323</v>
      </c>
      <c r="H1400">
        <v>79.14</v>
      </c>
      <c r="I1400">
        <v>3</v>
      </c>
      <c r="J1400">
        <v>36.404400000000003</v>
      </c>
      <c r="K1400">
        <v>2011</v>
      </c>
      <c r="L1400">
        <v>6</v>
      </c>
      <c r="M1400" t="s">
        <v>25</v>
      </c>
      <c r="N1400">
        <v>9</v>
      </c>
      <c r="O1400">
        <v>4</v>
      </c>
      <c r="P1400">
        <v>46</v>
      </c>
      <c r="Q1400">
        <v>26.38</v>
      </c>
      <c r="R1400" t="s">
        <v>26</v>
      </c>
      <c r="S1400" t="b">
        <v>0</v>
      </c>
      <c r="T1400" t="b">
        <v>0</v>
      </c>
    </row>
    <row r="1401" spans="1:20" x14ac:dyDescent="0.3">
      <c r="A1401" t="s">
        <v>2322</v>
      </c>
      <c r="B1401" s="1">
        <v>40703</v>
      </c>
      <c r="C1401" s="1">
        <v>40707</v>
      </c>
      <c r="D1401" t="s">
        <v>1723</v>
      </c>
      <c r="E1401" t="s">
        <v>981</v>
      </c>
      <c r="F1401" t="s">
        <v>29</v>
      </c>
      <c r="G1401" t="s">
        <v>1585</v>
      </c>
      <c r="H1401">
        <v>37.4</v>
      </c>
      <c r="I1401">
        <v>2</v>
      </c>
      <c r="J1401">
        <v>14.212</v>
      </c>
      <c r="K1401">
        <v>2011</v>
      </c>
      <c r="L1401">
        <v>6</v>
      </c>
      <c r="M1401" t="s">
        <v>25</v>
      </c>
      <c r="N1401">
        <v>9</v>
      </c>
      <c r="O1401">
        <v>4</v>
      </c>
      <c r="P1401">
        <v>38</v>
      </c>
      <c r="Q1401">
        <v>18.7</v>
      </c>
      <c r="R1401" t="s">
        <v>26</v>
      </c>
      <c r="S1401" t="b">
        <v>0</v>
      </c>
      <c r="T1401" t="b">
        <v>0</v>
      </c>
    </row>
    <row r="1402" spans="1:20" x14ac:dyDescent="0.3">
      <c r="A1402" t="s">
        <v>2324</v>
      </c>
      <c r="B1402" s="1">
        <v>41597</v>
      </c>
      <c r="C1402" s="1">
        <v>41601</v>
      </c>
      <c r="D1402" t="s">
        <v>2325</v>
      </c>
      <c r="E1402" t="s">
        <v>22</v>
      </c>
      <c r="F1402" t="s">
        <v>54</v>
      </c>
      <c r="G1402" t="s">
        <v>2326</v>
      </c>
      <c r="H1402">
        <v>61.192</v>
      </c>
      <c r="I1402">
        <v>1</v>
      </c>
      <c r="J1402">
        <v>6.1192000000000002</v>
      </c>
      <c r="K1402">
        <v>2013</v>
      </c>
      <c r="L1402">
        <v>11</v>
      </c>
      <c r="M1402" t="s">
        <v>70</v>
      </c>
      <c r="N1402">
        <v>19</v>
      </c>
      <c r="O1402">
        <v>4</v>
      </c>
      <c r="P1402">
        <v>10</v>
      </c>
      <c r="Q1402">
        <v>61.192</v>
      </c>
      <c r="R1402" t="s">
        <v>26</v>
      </c>
      <c r="S1402" t="b">
        <v>0</v>
      </c>
      <c r="T1402" t="b">
        <v>0</v>
      </c>
    </row>
    <row r="1403" spans="1:20" x14ac:dyDescent="0.3">
      <c r="A1403" t="s">
        <v>2324</v>
      </c>
      <c r="B1403" s="1">
        <v>41597</v>
      </c>
      <c r="C1403" s="1">
        <v>41601</v>
      </c>
      <c r="D1403" t="s">
        <v>2325</v>
      </c>
      <c r="E1403" t="s">
        <v>22</v>
      </c>
      <c r="F1403" t="s">
        <v>35</v>
      </c>
      <c r="G1403" t="s">
        <v>1748</v>
      </c>
      <c r="H1403">
        <v>67.84</v>
      </c>
      <c r="I1403">
        <v>1</v>
      </c>
      <c r="J1403">
        <v>18.316800000000001</v>
      </c>
      <c r="K1403">
        <v>2013</v>
      </c>
      <c r="L1403">
        <v>11</v>
      </c>
      <c r="M1403" t="s">
        <v>70</v>
      </c>
      <c r="N1403">
        <v>19</v>
      </c>
      <c r="O1403">
        <v>4</v>
      </c>
      <c r="P1403">
        <v>27</v>
      </c>
      <c r="Q1403">
        <v>67.84</v>
      </c>
      <c r="R1403" t="s">
        <v>26</v>
      </c>
      <c r="S1403" t="b">
        <v>0</v>
      </c>
      <c r="T1403" t="b">
        <v>0</v>
      </c>
    </row>
    <row r="1404" spans="1:20" x14ac:dyDescent="0.3">
      <c r="A1404" t="s">
        <v>2327</v>
      </c>
      <c r="B1404" s="1">
        <v>40609</v>
      </c>
      <c r="C1404" s="1">
        <v>40610</v>
      </c>
      <c r="D1404" t="s">
        <v>2328</v>
      </c>
      <c r="E1404" t="s">
        <v>39</v>
      </c>
      <c r="F1404" t="s">
        <v>110</v>
      </c>
      <c r="G1404" t="s">
        <v>2329</v>
      </c>
      <c r="H1404">
        <v>48.712000000000003</v>
      </c>
      <c r="I1404">
        <v>1</v>
      </c>
      <c r="J1404">
        <v>5.4801000000000002</v>
      </c>
      <c r="K1404">
        <v>2011</v>
      </c>
      <c r="L1404">
        <v>3</v>
      </c>
      <c r="M1404" t="s">
        <v>135</v>
      </c>
      <c r="N1404">
        <v>7</v>
      </c>
      <c r="O1404">
        <v>1</v>
      </c>
      <c r="P1404">
        <v>11.25</v>
      </c>
      <c r="Q1404">
        <v>48.712000000000003</v>
      </c>
      <c r="R1404" t="s">
        <v>26</v>
      </c>
      <c r="S1404" t="b">
        <v>0</v>
      </c>
      <c r="T1404" t="b">
        <v>0</v>
      </c>
    </row>
    <row r="1405" spans="1:20" x14ac:dyDescent="0.3">
      <c r="A1405" t="s">
        <v>2327</v>
      </c>
      <c r="B1405" s="1">
        <v>40609</v>
      </c>
      <c r="C1405" s="1">
        <v>40610</v>
      </c>
      <c r="D1405" t="s">
        <v>2328</v>
      </c>
      <c r="E1405" t="s">
        <v>39</v>
      </c>
      <c r="F1405" t="s">
        <v>31</v>
      </c>
      <c r="G1405" t="s">
        <v>209</v>
      </c>
      <c r="H1405">
        <v>17.940000000000001</v>
      </c>
      <c r="I1405">
        <v>3</v>
      </c>
      <c r="J1405">
        <v>4.6643999999999997</v>
      </c>
      <c r="K1405">
        <v>2011</v>
      </c>
      <c r="L1405">
        <v>3</v>
      </c>
      <c r="M1405" t="s">
        <v>135</v>
      </c>
      <c r="N1405">
        <v>7</v>
      </c>
      <c r="O1405">
        <v>1</v>
      </c>
      <c r="P1405">
        <v>26</v>
      </c>
      <c r="Q1405">
        <v>5.98</v>
      </c>
      <c r="R1405" t="s">
        <v>26</v>
      </c>
      <c r="S1405" t="b">
        <v>0</v>
      </c>
      <c r="T1405" t="b">
        <v>0</v>
      </c>
    </row>
    <row r="1406" spans="1:20" x14ac:dyDescent="0.3">
      <c r="A1406" t="s">
        <v>2327</v>
      </c>
      <c r="B1406" s="1">
        <v>40609</v>
      </c>
      <c r="C1406" s="1">
        <v>40610</v>
      </c>
      <c r="D1406" t="s">
        <v>2328</v>
      </c>
      <c r="E1406" t="s">
        <v>39</v>
      </c>
      <c r="F1406" t="s">
        <v>45</v>
      </c>
      <c r="G1406" t="s">
        <v>714</v>
      </c>
      <c r="H1406">
        <v>242.94</v>
      </c>
      <c r="I1406">
        <v>3</v>
      </c>
      <c r="J1406">
        <v>4.8587999999999996</v>
      </c>
      <c r="K1406">
        <v>2011</v>
      </c>
      <c r="L1406">
        <v>3</v>
      </c>
      <c r="M1406" t="s">
        <v>135</v>
      </c>
      <c r="N1406">
        <v>7</v>
      </c>
      <c r="O1406">
        <v>1</v>
      </c>
      <c r="P1406">
        <v>2</v>
      </c>
      <c r="Q1406">
        <v>80.98</v>
      </c>
      <c r="R1406" t="s">
        <v>26</v>
      </c>
      <c r="S1406" t="b">
        <v>0</v>
      </c>
      <c r="T1406" t="b">
        <v>1</v>
      </c>
    </row>
    <row r="1407" spans="1:20" x14ac:dyDescent="0.3">
      <c r="A1407" t="s">
        <v>2330</v>
      </c>
      <c r="B1407" s="1">
        <v>41586</v>
      </c>
      <c r="C1407" s="1">
        <v>41591</v>
      </c>
      <c r="D1407" t="s">
        <v>2331</v>
      </c>
      <c r="E1407" t="s">
        <v>592</v>
      </c>
      <c r="F1407" t="s">
        <v>72</v>
      </c>
      <c r="G1407" t="s">
        <v>1468</v>
      </c>
      <c r="H1407">
        <v>12.9</v>
      </c>
      <c r="I1407">
        <v>2</v>
      </c>
      <c r="J1407">
        <v>6.3209999999999997</v>
      </c>
      <c r="K1407">
        <v>2013</v>
      </c>
      <c r="L1407">
        <v>11</v>
      </c>
      <c r="M1407" t="s">
        <v>70</v>
      </c>
      <c r="N1407">
        <v>8</v>
      </c>
      <c r="O1407">
        <v>5</v>
      </c>
      <c r="P1407">
        <v>49</v>
      </c>
      <c r="Q1407">
        <v>6.45</v>
      </c>
      <c r="R1407" t="s">
        <v>26</v>
      </c>
      <c r="S1407" t="b">
        <v>0</v>
      </c>
      <c r="T1407" t="b">
        <v>0</v>
      </c>
    </row>
    <row r="1408" spans="1:20" x14ac:dyDescent="0.3">
      <c r="A1408" t="s">
        <v>2332</v>
      </c>
      <c r="B1408" s="1">
        <v>40863</v>
      </c>
      <c r="C1408" s="1">
        <v>40869</v>
      </c>
      <c r="D1408" t="s">
        <v>1058</v>
      </c>
      <c r="E1408" t="s">
        <v>286</v>
      </c>
      <c r="F1408" t="s">
        <v>23</v>
      </c>
      <c r="G1408" t="s">
        <v>2333</v>
      </c>
      <c r="H1408">
        <v>5.22</v>
      </c>
      <c r="I1408">
        <v>2</v>
      </c>
      <c r="J1408">
        <v>2.4011999999999998</v>
      </c>
      <c r="K1408">
        <v>2011</v>
      </c>
      <c r="L1408">
        <v>11</v>
      </c>
      <c r="M1408" t="s">
        <v>70</v>
      </c>
      <c r="N1408">
        <v>16</v>
      </c>
      <c r="O1408">
        <v>6</v>
      </c>
      <c r="P1408">
        <v>46</v>
      </c>
      <c r="Q1408">
        <v>2.61</v>
      </c>
      <c r="R1408" t="s">
        <v>26</v>
      </c>
      <c r="S1408" t="b">
        <v>0</v>
      </c>
      <c r="T1408" t="b">
        <v>0</v>
      </c>
    </row>
    <row r="1409" spans="1:20" x14ac:dyDescent="0.3">
      <c r="A1409" t="s">
        <v>2334</v>
      </c>
      <c r="B1409" s="1">
        <v>41585</v>
      </c>
      <c r="C1409" s="1">
        <v>41589</v>
      </c>
      <c r="D1409" t="s">
        <v>38</v>
      </c>
      <c r="E1409" t="s">
        <v>194</v>
      </c>
      <c r="F1409" t="s">
        <v>45</v>
      </c>
      <c r="G1409" t="s">
        <v>968</v>
      </c>
      <c r="H1409">
        <v>84.84</v>
      </c>
      <c r="I1409">
        <v>3</v>
      </c>
      <c r="J1409">
        <v>22.9068</v>
      </c>
      <c r="K1409">
        <v>2013</v>
      </c>
      <c r="L1409">
        <v>11</v>
      </c>
      <c r="M1409" t="s">
        <v>70</v>
      </c>
      <c r="N1409">
        <v>7</v>
      </c>
      <c r="O1409">
        <v>4</v>
      </c>
      <c r="P1409">
        <v>27</v>
      </c>
      <c r="Q1409">
        <v>28.28</v>
      </c>
      <c r="R1409" t="s">
        <v>26</v>
      </c>
      <c r="S1409" t="b">
        <v>0</v>
      </c>
      <c r="T1409" t="b">
        <v>0</v>
      </c>
    </row>
    <row r="1410" spans="1:20" x14ac:dyDescent="0.3">
      <c r="A1410" t="s">
        <v>2335</v>
      </c>
      <c r="B1410" s="1">
        <v>41389</v>
      </c>
      <c r="C1410" s="1">
        <v>41393</v>
      </c>
      <c r="D1410" t="s">
        <v>2336</v>
      </c>
      <c r="E1410" t="s">
        <v>216</v>
      </c>
      <c r="F1410" t="s">
        <v>72</v>
      </c>
      <c r="G1410" t="s">
        <v>376</v>
      </c>
      <c r="H1410">
        <v>15.552</v>
      </c>
      <c r="I1410">
        <v>3</v>
      </c>
      <c r="J1410">
        <v>5.4432</v>
      </c>
      <c r="K1410">
        <v>2013</v>
      </c>
      <c r="L1410">
        <v>4</v>
      </c>
      <c r="M1410" t="s">
        <v>236</v>
      </c>
      <c r="N1410">
        <v>25</v>
      </c>
      <c r="O1410">
        <v>4</v>
      </c>
      <c r="P1410">
        <v>35</v>
      </c>
      <c r="Q1410">
        <v>5.1840000000000002</v>
      </c>
      <c r="R1410" t="s">
        <v>26</v>
      </c>
      <c r="S1410" t="b">
        <v>0</v>
      </c>
      <c r="T1410" t="b">
        <v>0</v>
      </c>
    </row>
    <row r="1411" spans="1:20" x14ac:dyDescent="0.3">
      <c r="A1411" t="s">
        <v>2335</v>
      </c>
      <c r="B1411" s="1">
        <v>41389</v>
      </c>
      <c r="C1411" s="1">
        <v>41393</v>
      </c>
      <c r="D1411" t="s">
        <v>2336</v>
      </c>
      <c r="E1411" t="s">
        <v>216</v>
      </c>
      <c r="F1411" t="s">
        <v>33</v>
      </c>
      <c r="G1411" t="s">
        <v>2337</v>
      </c>
      <c r="H1411">
        <v>3.1080000000000001</v>
      </c>
      <c r="I1411">
        <v>2</v>
      </c>
      <c r="J1411">
        <v>-2.1756000000000002</v>
      </c>
      <c r="K1411">
        <v>2013</v>
      </c>
      <c r="L1411">
        <v>4</v>
      </c>
      <c r="M1411" t="s">
        <v>236</v>
      </c>
      <c r="N1411">
        <v>25</v>
      </c>
      <c r="O1411">
        <v>4</v>
      </c>
      <c r="P1411">
        <v>-70</v>
      </c>
      <c r="Q1411">
        <v>1.554</v>
      </c>
      <c r="R1411" t="s">
        <v>26</v>
      </c>
      <c r="S1411" t="b">
        <v>1</v>
      </c>
      <c r="T1411" t="b">
        <v>0</v>
      </c>
    </row>
    <row r="1412" spans="1:20" x14ac:dyDescent="0.3">
      <c r="A1412" t="s">
        <v>2338</v>
      </c>
      <c r="B1412" s="1">
        <v>41883</v>
      </c>
      <c r="C1412" s="1">
        <v>41887</v>
      </c>
      <c r="D1412" t="s">
        <v>2339</v>
      </c>
      <c r="E1412" t="s">
        <v>51</v>
      </c>
      <c r="F1412" t="s">
        <v>33</v>
      </c>
      <c r="G1412" t="s">
        <v>2340</v>
      </c>
      <c r="H1412">
        <v>6.6719999999999997</v>
      </c>
      <c r="I1412">
        <v>3</v>
      </c>
      <c r="J1412">
        <v>2.1684000000000001</v>
      </c>
      <c r="K1412">
        <v>2014</v>
      </c>
      <c r="L1412">
        <v>9</v>
      </c>
      <c r="M1412" t="s">
        <v>87</v>
      </c>
      <c r="N1412">
        <v>1</v>
      </c>
      <c r="O1412">
        <v>4</v>
      </c>
      <c r="P1412">
        <v>32.5</v>
      </c>
      <c r="Q1412">
        <v>2.2240000000000002</v>
      </c>
      <c r="R1412" t="s">
        <v>26</v>
      </c>
      <c r="S1412" t="b">
        <v>0</v>
      </c>
      <c r="T1412" t="b">
        <v>0</v>
      </c>
    </row>
    <row r="1413" spans="1:20" x14ac:dyDescent="0.3">
      <c r="A1413" t="s">
        <v>2341</v>
      </c>
      <c r="B1413" s="1">
        <v>41305</v>
      </c>
      <c r="C1413" s="1">
        <v>41309</v>
      </c>
      <c r="D1413" t="s">
        <v>2342</v>
      </c>
      <c r="E1413" t="s">
        <v>22</v>
      </c>
      <c r="F1413" t="s">
        <v>54</v>
      </c>
      <c r="G1413" t="s">
        <v>2343</v>
      </c>
      <c r="H1413">
        <v>109.592</v>
      </c>
      <c r="I1413">
        <v>1</v>
      </c>
      <c r="J1413">
        <v>8.2194000000000003</v>
      </c>
      <c r="K1413">
        <v>2013</v>
      </c>
      <c r="L1413">
        <v>1</v>
      </c>
      <c r="M1413" t="s">
        <v>60</v>
      </c>
      <c r="N1413">
        <v>31</v>
      </c>
      <c r="O1413">
        <v>4</v>
      </c>
      <c r="P1413">
        <v>7.5</v>
      </c>
      <c r="Q1413">
        <v>109.592</v>
      </c>
      <c r="R1413" t="s">
        <v>26</v>
      </c>
      <c r="S1413" t="b">
        <v>0</v>
      </c>
      <c r="T1413" t="b">
        <v>0</v>
      </c>
    </row>
    <row r="1414" spans="1:20" x14ac:dyDescent="0.3">
      <c r="A1414" t="s">
        <v>2341</v>
      </c>
      <c r="B1414" s="1">
        <v>41305</v>
      </c>
      <c r="C1414" s="1">
        <v>41309</v>
      </c>
      <c r="D1414" t="s">
        <v>2342</v>
      </c>
      <c r="E1414" t="s">
        <v>22</v>
      </c>
      <c r="F1414" t="s">
        <v>72</v>
      </c>
      <c r="G1414" t="s">
        <v>155</v>
      </c>
      <c r="H1414">
        <v>56.7</v>
      </c>
      <c r="I1414">
        <v>5</v>
      </c>
      <c r="J1414">
        <v>27.783000000000001</v>
      </c>
      <c r="K1414">
        <v>2013</v>
      </c>
      <c r="L1414">
        <v>1</v>
      </c>
      <c r="M1414" t="s">
        <v>60</v>
      </c>
      <c r="N1414">
        <v>31</v>
      </c>
      <c r="O1414">
        <v>4</v>
      </c>
      <c r="P1414">
        <v>49</v>
      </c>
      <c r="Q1414">
        <v>11.34</v>
      </c>
      <c r="R1414" t="s">
        <v>26</v>
      </c>
      <c r="S1414" t="b">
        <v>0</v>
      </c>
      <c r="T1414" t="b">
        <v>0</v>
      </c>
    </row>
    <row r="1415" spans="1:20" x14ac:dyDescent="0.3">
      <c r="A1415" t="s">
        <v>2344</v>
      </c>
      <c r="B1415" s="1">
        <v>41767</v>
      </c>
      <c r="C1415" s="1">
        <v>41772</v>
      </c>
      <c r="D1415" t="s">
        <v>2345</v>
      </c>
      <c r="E1415" t="s">
        <v>22</v>
      </c>
      <c r="F1415" t="s">
        <v>61</v>
      </c>
      <c r="G1415" t="s">
        <v>2346</v>
      </c>
      <c r="H1415">
        <v>79.989999999999995</v>
      </c>
      <c r="I1415">
        <v>1</v>
      </c>
      <c r="J1415">
        <v>28.796399999999998</v>
      </c>
      <c r="K1415">
        <v>2014</v>
      </c>
      <c r="L1415">
        <v>5</v>
      </c>
      <c r="M1415" t="s">
        <v>47</v>
      </c>
      <c r="N1415">
        <v>8</v>
      </c>
      <c r="O1415">
        <v>5</v>
      </c>
      <c r="P1415">
        <v>36</v>
      </c>
      <c r="Q1415">
        <v>79.989999999999995</v>
      </c>
      <c r="R1415" t="s">
        <v>26</v>
      </c>
      <c r="S1415" t="b">
        <v>0</v>
      </c>
      <c r="T1415" t="b">
        <v>0</v>
      </c>
    </row>
    <row r="1416" spans="1:20" x14ac:dyDescent="0.3">
      <c r="A1416" t="s">
        <v>2347</v>
      </c>
      <c r="B1416" s="1">
        <v>41555</v>
      </c>
      <c r="C1416" s="1">
        <v>41560</v>
      </c>
      <c r="D1416" t="s">
        <v>2348</v>
      </c>
      <c r="E1416" t="s">
        <v>22</v>
      </c>
      <c r="F1416" t="s">
        <v>72</v>
      </c>
      <c r="G1416" t="s">
        <v>2349</v>
      </c>
      <c r="H1416">
        <v>10.56</v>
      </c>
      <c r="I1416">
        <v>2</v>
      </c>
      <c r="J1416">
        <v>5.0688000000000004</v>
      </c>
      <c r="K1416">
        <v>2013</v>
      </c>
      <c r="L1416">
        <v>10</v>
      </c>
      <c r="M1416" t="s">
        <v>82</v>
      </c>
      <c r="N1416">
        <v>8</v>
      </c>
      <c r="O1416">
        <v>5</v>
      </c>
      <c r="P1416">
        <v>48</v>
      </c>
      <c r="Q1416">
        <v>5.28</v>
      </c>
      <c r="R1416" t="s">
        <v>26</v>
      </c>
      <c r="S1416" t="b">
        <v>0</v>
      </c>
      <c r="T1416" t="b">
        <v>0</v>
      </c>
    </row>
    <row r="1417" spans="1:20" x14ac:dyDescent="0.3">
      <c r="A1417" t="s">
        <v>2350</v>
      </c>
      <c r="B1417" s="1">
        <v>41771</v>
      </c>
      <c r="C1417" s="1">
        <v>41773</v>
      </c>
      <c r="D1417" t="s">
        <v>1901</v>
      </c>
      <c r="E1417" t="s">
        <v>105</v>
      </c>
      <c r="F1417" t="s">
        <v>317</v>
      </c>
      <c r="G1417" t="s">
        <v>738</v>
      </c>
      <c r="H1417">
        <v>209.97900000000001</v>
      </c>
      <c r="I1417">
        <v>7</v>
      </c>
      <c r="J1417">
        <v>-356.96429999999998</v>
      </c>
      <c r="K1417">
        <v>2014</v>
      </c>
      <c r="L1417">
        <v>5</v>
      </c>
      <c r="M1417" t="s">
        <v>47</v>
      </c>
      <c r="N1417">
        <v>12</v>
      </c>
      <c r="O1417">
        <v>2</v>
      </c>
      <c r="P1417">
        <v>-170</v>
      </c>
      <c r="Q1417">
        <v>29.997</v>
      </c>
      <c r="R1417" t="s">
        <v>26</v>
      </c>
      <c r="S1417" t="b">
        <v>1</v>
      </c>
      <c r="T1417" t="b">
        <v>0</v>
      </c>
    </row>
    <row r="1418" spans="1:20" x14ac:dyDescent="0.3">
      <c r="A1418" t="s">
        <v>2351</v>
      </c>
      <c r="B1418" s="1">
        <v>40862</v>
      </c>
      <c r="C1418" s="1">
        <v>40865</v>
      </c>
      <c r="D1418" t="s">
        <v>2352</v>
      </c>
      <c r="E1418" t="s">
        <v>22</v>
      </c>
      <c r="F1418" t="s">
        <v>29</v>
      </c>
      <c r="G1418" t="s">
        <v>2353</v>
      </c>
      <c r="H1418">
        <v>10.11</v>
      </c>
      <c r="I1418">
        <v>3</v>
      </c>
      <c r="J1418">
        <v>3.2351999999999999</v>
      </c>
      <c r="K1418">
        <v>2011</v>
      </c>
      <c r="L1418">
        <v>11</v>
      </c>
      <c r="M1418" t="s">
        <v>70</v>
      </c>
      <c r="N1418">
        <v>15</v>
      </c>
      <c r="O1418">
        <v>3</v>
      </c>
      <c r="P1418">
        <v>32</v>
      </c>
      <c r="Q1418">
        <v>3.37</v>
      </c>
      <c r="R1418" t="s">
        <v>26</v>
      </c>
      <c r="S1418" t="b">
        <v>0</v>
      </c>
      <c r="T1418" t="b">
        <v>0</v>
      </c>
    </row>
    <row r="1419" spans="1:20" x14ac:dyDescent="0.3">
      <c r="A1419" t="s">
        <v>2351</v>
      </c>
      <c r="B1419" s="1">
        <v>40862</v>
      </c>
      <c r="C1419" s="1">
        <v>40865</v>
      </c>
      <c r="D1419" t="s">
        <v>2352</v>
      </c>
      <c r="E1419" t="s">
        <v>22</v>
      </c>
      <c r="F1419" t="s">
        <v>122</v>
      </c>
      <c r="G1419" t="s">
        <v>2354</v>
      </c>
      <c r="H1419">
        <v>20.46</v>
      </c>
      <c r="I1419">
        <v>2</v>
      </c>
      <c r="J1419">
        <v>5.3196000000000003</v>
      </c>
      <c r="K1419">
        <v>2011</v>
      </c>
      <c r="L1419">
        <v>11</v>
      </c>
      <c r="M1419" t="s">
        <v>70</v>
      </c>
      <c r="N1419">
        <v>15</v>
      </c>
      <c r="O1419">
        <v>3</v>
      </c>
      <c r="P1419">
        <v>26</v>
      </c>
      <c r="Q1419">
        <v>10.23</v>
      </c>
      <c r="R1419" t="s">
        <v>26</v>
      </c>
      <c r="S1419" t="b">
        <v>0</v>
      </c>
      <c r="T1419" t="b">
        <v>0</v>
      </c>
    </row>
    <row r="1420" spans="1:20" x14ac:dyDescent="0.3">
      <c r="A1420" t="s">
        <v>2355</v>
      </c>
      <c r="B1420" s="1">
        <v>41627</v>
      </c>
      <c r="C1420" s="1">
        <v>41633</v>
      </c>
      <c r="D1420" t="s">
        <v>915</v>
      </c>
      <c r="E1420" t="s">
        <v>194</v>
      </c>
      <c r="F1420" t="s">
        <v>61</v>
      </c>
      <c r="G1420" t="s">
        <v>1032</v>
      </c>
      <c r="H1420">
        <v>72.64</v>
      </c>
      <c r="I1420">
        <v>2</v>
      </c>
      <c r="J1420">
        <v>21.792000000000002</v>
      </c>
      <c r="K1420">
        <v>2013</v>
      </c>
      <c r="L1420">
        <v>12</v>
      </c>
      <c r="M1420" t="s">
        <v>41</v>
      </c>
      <c r="N1420">
        <v>19</v>
      </c>
      <c r="O1420">
        <v>6</v>
      </c>
      <c r="P1420">
        <v>30</v>
      </c>
      <c r="Q1420">
        <v>36.32</v>
      </c>
      <c r="R1420" t="s">
        <v>26</v>
      </c>
      <c r="S1420" t="b">
        <v>0</v>
      </c>
      <c r="T1420" t="b">
        <v>0</v>
      </c>
    </row>
    <row r="1421" spans="1:20" x14ac:dyDescent="0.3">
      <c r="A1421" t="s">
        <v>2355</v>
      </c>
      <c r="B1421" s="1">
        <v>41627</v>
      </c>
      <c r="C1421" s="1">
        <v>41633</v>
      </c>
      <c r="D1421" t="s">
        <v>915</v>
      </c>
      <c r="E1421" t="s">
        <v>194</v>
      </c>
      <c r="F1421" t="s">
        <v>29</v>
      </c>
      <c r="G1421" t="s">
        <v>2356</v>
      </c>
      <c r="H1421">
        <v>39.92</v>
      </c>
      <c r="I1421">
        <v>4</v>
      </c>
      <c r="J1421">
        <v>11.1776</v>
      </c>
      <c r="K1421">
        <v>2013</v>
      </c>
      <c r="L1421">
        <v>12</v>
      </c>
      <c r="M1421" t="s">
        <v>41</v>
      </c>
      <c r="N1421">
        <v>19</v>
      </c>
      <c r="O1421">
        <v>6</v>
      </c>
      <c r="P1421">
        <v>28</v>
      </c>
      <c r="Q1421">
        <v>9.98</v>
      </c>
      <c r="R1421" t="s">
        <v>26</v>
      </c>
      <c r="S1421" t="b">
        <v>0</v>
      </c>
      <c r="T1421" t="b">
        <v>0</v>
      </c>
    </row>
    <row r="1422" spans="1:20" x14ac:dyDescent="0.3">
      <c r="A1422" t="s">
        <v>2357</v>
      </c>
      <c r="B1422" s="1">
        <v>41669</v>
      </c>
      <c r="C1422" s="1">
        <v>41673</v>
      </c>
      <c r="D1422" t="s">
        <v>620</v>
      </c>
      <c r="E1422" t="s">
        <v>51</v>
      </c>
      <c r="F1422" t="s">
        <v>31</v>
      </c>
      <c r="G1422" t="s">
        <v>2358</v>
      </c>
      <c r="H1422">
        <v>8.34</v>
      </c>
      <c r="I1422">
        <v>3</v>
      </c>
      <c r="J1422">
        <v>2.1684000000000001</v>
      </c>
      <c r="K1422">
        <v>2014</v>
      </c>
      <c r="L1422">
        <v>1</v>
      </c>
      <c r="M1422" t="s">
        <v>60</v>
      </c>
      <c r="N1422">
        <v>30</v>
      </c>
      <c r="O1422">
        <v>4</v>
      </c>
      <c r="P1422">
        <v>26</v>
      </c>
      <c r="Q1422">
        <v>2.78</v>
      </c>
      <c r="R1422" t="s">
        <v>26</v>
      </c>
      <c r="S1422" t="b">
        <v>0</v>
      </c>
      <c r="T1422" t="b">
        <v>0</v>
      </c>
    </row>
    <row r="1423" spans="1:20" x14ac:dyDescent="0.3">
      <c r="A1423" t="s">
        <v>2357</v>
      </c>
      <c r="B1423" s="1">
        <v>41669</v>
      </c>
      <c r="C1423" s="1">
        <v>41673</v>
      </c>
      <c r="D1423" t="s">
        <v>620</v>
      </c>
      <c r="E1423" t="s">
        <v>51</v>
      </c>
      <c r="F1423" t="s">
        <v>122</v>
      </c>
      <c r="G1423" t="s">
        <v>2359</v>
      </c>
      <c r="H1423">
        <v>8.57</v>
      </c>
      <c r="I1423">
        <v>1</v>
      </c>
      <c r="J1423">
        <v>2.2282000000000002</v>
      </c>
      <c r="K1423">
        <v>2014</v>
      </c>
      <c r="L1423">
        <v>1</v>
      </c>
      <c r="M1423" t="s">
        <v>60</v>
      </c>
      <c r="N1423">
        <v>30</v>
      </c>
      <c r="O1423">
        <v>4</v>
      </c>
      <c r="P1423">
        <v>26</v>
      </c>
      <c r="Q1423">
        <v>8.57</v>
      </c>
      <c r="R1423" t="s">
        <v>26</v>
      </c>
      <c r="S1423" t="b">
        <v>0</v>
      </c>
      <c r="T1423" t="b">
        <v>0</v>
      </c>
    </row>
    <row r="1424" spans="1:20" x14ac:dyDescent="0.3">
      <c r="A1424" t="s">
        <v>2357</v>
      </c>
      <c r="B1424" s="1">
        <v>41669</v>
      </c>
      <c r="C1424" s="1">
        <v>41673</v>
      </c>
      <c r="D1424" t="s">
        <v>620</v>
      </c>
      <c r="E1424" t="s">
        <v>51</v>
      </c>
      <c r="F1424" t="s">
        <v>33</v>
      </c>
      <c r="G1424" t="s">
        <v>337</v>
      </c>
      <c r="H1424">
        <v>119.616</v>
      </c>
      <c r="I1424">
        <v>8</v>
      </c>
      <c r="J1424">
        <v>40.370399999999997</v>
      </c>
      <c r="K1424">
        <v>2014</v>
      </c>
      <c r="L1424">
        <v>1</v>
      </c>
      <c r="M1424" t="s">
        <v>60</v>
      </c>
      <c r="N1424">
        <v>30</v>
      </c>
      <c r="O1424">
        <v>4</v>
      </c>
      <c r="P1424">
        <v>33.75</v>
      </c>
      <c r="Q1424">
        <v>14.952</v>
      </c>
      <c r="R1424" t="s">
        <v>26</v>
      </c>
      <c r="S1424" t="b">
        <v>0</v>
      </c>
      <c r="T1424" t="b">
        <v>0</v>
      </c>
    </row>
    <row r="1425" spans="1:20" x14ac:dyDescent="0.3">
      <c r="A1425" t="s">
        <v>2360</v>
      </c>
      <c r="B1425" s="1">
        <v>40639</v>
      </c>
      <c r="C1425" s="1">
        <v>40645</v>
      </c>
      <c r="D1425" t="s">
        <v>1326</v>
      </c>
      <c r="E1425" t="s">
        <v>39</v>
      </c>
      <c r="F1425" t="s">
        <v>61</v>
      </c>
      <c r="G1425" t="s">
        <v>530</v>
      </c>
      <c r="H1425">
        <v>33.9</v>
      </c>
      <c r="I1425">
        <v>2</v>
      </c>
      <c r="J1425">
        <v>2.0339999999999998</v>
      </c>
      <c r="K1425">
        <v>2011</v>
      </c>
      <c r="L1425">
        <v>4</v>
      </c>
      <c r="M1425" t="s">
        <v>236</v>
      </c>
      <c r="N1425">
        <v>6</v>
      </c>
      <c r="O1425">
        <v>6</v>
      </c>
      <c r="P1425">
        <v>6</v>
      </c>
      <c r="Q1425">
        <v>16.95</v>
      </c>
      <c r="R1425" t="s">
        <v>26</v>
      </c>
      <c r="S1425" t="b">
        <v>0</v>
      </c>
      <c r="T1425" t="b">
        <v>0</v>
      </c>
    </row>
    <row r="1426" spans="1:20" x14ac:dyDescent="0.3">
      <c r="A1426" t="s">
        <v>2361</v>
      </c>
      <c r="B1426" s="1">
        <v>41589</v>
      </c>
      <c r="C1426" s="1">
        <v>41592</v>
      </c>
      <c r="D1426" t="s">
        <v>2362</v>
      </c>
      <c r="E1426" t="s">
        <v>22</v>
      </c>
      <c r="F1426" t="s">
        <v>72</v>
      </c>
      <c r="G1426" t="s">
        <v>2363</v>
      </c>
      <c r="H1426">
        <v>67.709999999999994</v>
      </c>
      <c r="I1426">
        <v>3</v>
      </c>
      <c r="J1426">
        <v>32.500799999999998</v>
      </c>
      <c r="K1426">
        <v>2013</v>
      </c>
      <c r="L1426">
        <v>11</v>
      </c>
      <c r="M1426" t="s">
        <v>70</v>
      </c>
      <c r="N1426">
        <v>11</v>
      </c>
      <c r="O1426">
        <v>3</v>
      </c>
      <c r="P1426">
        <v>48</v>
      </c>
      <c r="Q1426">
        <v>22.57</v>
      </c>
      <c r="R1426" t="s">
        <v>26</v>
      </c>
      <c r="S1426" t="b">
        <v>0</v>
      </c>
      <c r="T1426" t="b">
        <v>0</v>
      </c>
    </row>
    <row r="1427" spans="1:20" x14ac:dyDescent="0.3">
      <c r="A1427" t="s">
        <v>2361</v>
      </c>
      <c r="B1427" s="1">
        <v>41589</v>
      </c>
      <c r="C1427" s="1">
        <v>41592</v>
      </c>
      <c r="D1427" t="s">
        <v>2362</v>
      </c>
      <c r="E1427" t="s">
        <v>22</v>
      </c>
      <c r="F1427" t="s">
        <v>35</v>
      </c>
      <c r="G1427" t="s">
        <v>2364</v>
      </c>
      <c r="H1427">
        <v>129.91999999999999</v>
      </c>
      <c r="I1427">
        <v>4</v>
      </c>
      <c r="J1427">
        <v>38.975999999999999</v>
      </c>
      <c r="K1427">
        <v>2013</v>
      </c>
      <c r="L1427">
        <v>11</v>
      </c>
      <c r="M1427" t="s">
        <v>70</v>
      </c>
      <c r="N1427">
        <v>11</v>
      </c>
      <c r="O1427">
        <v>3</v>
      </c>
      <c r="P1427">
        <v>30</v>
      </c>
      <c r="Q1427">
        <v>32.479999999999997</v>
      </c>
      <c r="R1427" t="s">
        <v>26</v>
      </c>
      <c r="S1427" t="b">
        <v>0</v>
      </c>
      <c r="T1427" t="b">
        <v>0</v>
      </c>
    </row>
    <row r="1428" spans="1:20" x14ac:dyDescent="0.3">
      <c r="A1428" t="s">
        <v>2361</v>
      </c>
      <c r="B1428" s="1">
        <v>41589</v>
      </c>
      <c r="C1428" s="1">
        <v>41592</v>
      </c>
      <c r="D1428" t="s">
        <v>2362</v>
      </c>
      <c r="E1428" t="s">
        <v>22</v>
      </c>
      <c r="F1428" t="s">
        <v>29</v>
      </c>
      <c r="G1428" t="s">
        <v>2365</v>
      </c>
      <c r="H1428">
        <v>467.46</v>
      </c>
      <c r="I1428">
        <v>9</v>
      </c>
      <c r="J1428">
        <v>191.65860000000001</v>
      </c>
      <c r="K1428">
        <v>2013</v>
      </c>
      <c r="L1428">
        <v>11</v>
      </c>
      <c r="M1428" t="s">
        <v>70</v>
      </c>
      <c r="N1428">
        <v>11</v>
      </c>
      <c r="O1428">
        <v>3</v>
      </c>
      <c r="P1428">
        <v>41</v>
      </c>
      <c r="Q1428">
        <v>51.94</v>
      </c>
      <c r="R1428" t="s">
        <v>26</v>
      </c>
      <c r="S1428" t="b">
        <v>0</v>
      </c>
      <c r="T1428" t="b">
        <v>1</v>
      </c>
    </row>
    <row r="1429" spans="1:20" x14ac:dyDescent="0.3">
      <c r="A1429" t="s">
        <v>2361</v>
      </c>
      <c r="B1429" s="1">
        <v>41589</v>
      </c>
      <c r="C1429" s="1">
        <v>41592</v>
      </c>
      <c r="D1429" t="s">
        <v>2362</v>
      </c>
      <c r="E1429" t="s">
        <v>22</v>
      </c>
      <c r="F1429" t="s">
        <v>72</v>
      </c>
      <c r="G1429" t="s">
        <v>2366</v>
      </c>
      <c r="H1429">
        <v>61.4</v>
      </c>
      <c r="I1429">
        <v>5</v>
      </c>
      <c r="J1429">
        <v>28.858000000000001</v>
      </c>
      <c r="K1429">
        <v>2013</v>
      </c>
      <c r="L1429">
        <v>11</v>
      </c>
      <c r="M1429" t="s">
        <v>70</v>
      </c>
      <c r="N1429">
        <v>11</v>
      </c>
      <c r="O1429">
        <v>3</v>
      </c>
      <c r="P1429">
        <v>47</v>
      </c>
      <c r="Q1429">
        <v>12.28</v>
      </c>
      <c r="R1429" t="s">
        <v>26</v>
      </c>
      <c r="S1429" t="b">
        <v>0</v>
      </c>
      <c r="T1429" t="b">
        <v>0</v>
      </c>
    </row>
    <row r="1430" spans="1:20" x14ac:dyDescent="0.3">
      <c r="A1430" t="s">
        <v>2361</v>
      </c>
      <c r="B1430" s="1">
        <v>41589</v>
      </c>
      <c r="C1430" s="1">
        <v>41592</v>
      </c>
      <c r="D1430" t="s">
        <v>2362</v>
      </c>
      <c r="E1430" t="s">
        <v>22</v>
      </c>
      <c r="F1430" t="s">
        <v>33</v>
      </c>
      <c r="G1430" t="s">
        <v>713</v>
      </c>
      <c r="H1430">
        <v>5.1840000000000002</v>
      </c>
      <c r="I1430">
        <v>3</v>
      </c>
      <c r="J1430">
        <v>1.8144</v>
      </c>
      <c r="K1430">
        <v>2013</v>
      </c>
      <c r="L1430">
        <v>11</v>
      </c>
      <c r="M1430" t="s">
        <v>70</v>
      </c>
      <c r="N1430">
        <v>11</v>
      </c>
      <c r="O1430">
        <v>3</v>
      </c>
      <c r="P1430">
        <v>35</v>
      </c>
      <c r="Q1430">
        <v>1.728</v>
      </c>
      <c r="R1430" t="s">
        <v>26</v>
      </c>
      <c r="S1430" t="b">
        <v>0</v>
      </c>
      <c r="T1430" t="b">
        <v>0</v>
      </c>
    </row>
    <row r="1431" spans="1:20" x14ac:dyDescent="0.3">
      <c r="A1431" t="s">
        <v>2361</v>
      </c>
      <c r="B1431" s="1">
        <v>41589</v>
      </c>
      <c r="C1431" s="1">
        <v>41592</v>
      </c>
      <c r="D1431" t="s">
        <v>2362</v>
      </c>
      <c r="E1431" t="s">
        <v>22</v>
      </c>
      <c r="F1431" t="s">
        <v>31</v>
      </c>
      <c r="G1431" t="s">
        <v>2004</v>
      </c>
      <c r="H1431">
        <v>14.7</v>
      </c>
      <c r="I1431">
        <v>5</v>
      </c>
      <c r="J1431">
        <v>3.9689999999999999</v>
      </c>
      <c r="K1431">
        <v>2013</v>
      </c>
      <c r="L1431">
        <v>11</v>
      </c>
      <c r="M1431" t="s">
        <v>70</v>
      </c>
      <c r="N1431">
        <v>11</v>
      </c>
      <c r="O1431">
        <v>3</v>
      </c>
      <c r="P1431">
        <v>27</v>
      </c>
      <c r="Q1431">
        <v>2.94</v>
      </c>
      <c r="R1431" t="s">
        <v>26</v>
      </c>
      <c r="S1431" t="b">
        <v>0</v>
      </c>
      <c r="T1431" t="b">
        <v>0</v>
      </c>
    </row>
    <row r="1432" spans="1:20" x14ac:dyDescent="0.3">
      <c r="A1432" t="s">
        <v>2367</v>
      </c>
      <c r="B1432" s="1">
        <v>41170</v>
      </c>
      <c r="C1432" s="1">
        <v>41176</v>
      </c>
      <c r="D1432" t="s">
        <v>2345</v>
      </c>
      <c r="E1432" t="s">
        <v>267</v>
      </c>
      <c r="F1432" t="s">
        <v>72</v>
      </c>
      <c r="G1432" t="s">
        <v>1287</v>
      </c>
      <c r="H1432">
        <v>18.54</v>
      </c>
      <c r="I1432">
        <v>2</v>
      </c>
      <c r="J1432">
        <v>8.7138000000000009</v>
      </c>
      <c r="K1432">
        <v>2012</v>
      </c>
      <c r="L1432">
        <v>9</v>
      </c>
      <c r="M1432" t="s">
        <v>87</v>
      </c>
      <c r="N1432">
        <v>18</v>
      </c>
      <c r="O1432">
        <v>6</v>
      </c>
      <c r="P1432">
        <v>47</v>
      </c>
      <c r="Q1432">
        <v>9.27</v>
      </c>
      <c r="R1432" t="s">
        <v>26</v>
      </c>
      <c r="S1432" t="b">
        <v>0</v>
      </c>
      <c r="T1432" t="b">
        <v>0</v>
      </c>
    </row>
    <row r="1433" spans="1:20" x14ac:dyDescent="0.3">
      <c r="A1433" t="s">
        <v>2368</v>
      </c>
      <c r="B1433" s="1">
        <v>41160</v>
      </c>
      <c r="C1433" s="1">
        <v>41163</v>
      </c>
      <c r="D1433" t="s">
        <v>680</v>
      </c>
      <c r="E1433" t="s">
        <v>2369</v>
      </c>
      <c r="F1433" t="s">
        <v>72</v>
      </c>
      <c r="G1433" t="s">
        <v>2370</v>
      </c>
      <c r="H1433">
        <v>26.4</v>
      </c>
      <c r="I1433">
        <v>5</v>
      </c>
      <c r="J1433">
        <v>11.88</v>
      </c>
      <c r="K1433">
        <v>2012</v>
      </c>
      <c r="L1433">
        <v>9</v>
      </c>
      <c r="M1433" t="s">
        <v>87</v>
      </c>
      <c r="N1433">
        <v>8</v>
      </c>
      <c r="O1433">
        <v>3</v>
      </c>
      <c r="P1433">
        <v>45</v>
      </c>
      <c r="Q1433">
        <v>5.2799999999999994</v>
      </c>
      <c r="R1433" t="s">
        <v>26</v>
      </c>
      <c r="S1433" t="b">
        <v>0</v>
      </c>
      <c r="T1433" t="b">
        <v>0</v>
      </c>
    </row>
    <row r="1434" spans="1:20" x14ac:dyDescent="0.3">
      <c r="A1434" t="s">
        <v>2368</v>
      </c>
      <c r="B1434" s="1">
        <v>41160</v>
      </c>
      <c r="C1434" s="1">
        <v>41163</v>
      </c>
      <c r="D1434" t="s">
        <v>680</v>
      </c>
      <c r="E1434" t="s">
        <v>2369</v>
      </c>
      <c r="F1434" t="s">
        <v>45</v>
      </c>
      <c r="G1434" t="s">
        <v>552</v>
      </c>
      <c r="H1434">
        <v>41.88</v>
      </c>
      <c r="I1434">
        <v>6</v>
      </c>
      <c r="J1434">
        <v>0.83760000000000001</v>
      </c>
      <c r="K1434">
        <v>2012</v>
      </c>
      <c r="L1434">
        <v>9</v>
      </c>
      <c r="M1434" t="s">
        <v>87</v>
      </c>
      <c r="N1434">
        <v>8</v>
      </c>
      <c r="O1434">
        <v>3</v>
      </c>
      <c r="P1434">
        <v>2</v>
      </c>
      <c r="Q1434">
        <v>6.98</v>
      </c>
      <c r="R1434" t="s">
        <v>26</v>
      </c>
      <c r="S1434" t="b">
        <v>0</v>
      </c>
      <c r="T1434" t="b">
        <v>0</v>
      </c>
    </row>
    <row r="1435" spans="1:20" x14ac:dyDescent="0.3">
      <c r="A1435" t="s">
        <v>2371</v>
      </c>
      <c r="B1435" s="1">
        <v>41655</v>
      </c>
      <c r="C1435" s="1">
        <v>41659</v>
      </c>
      <c r="D1435" t="s">
        <v>2372</v>
      </c>
      <c r="E1435" t="s">
        <v>22</v>
      </c>
      <c r="F1435" t="s">
        <v>31</v>
      </c>
      <c r="G1435" t="s">
        <v>2373</v>
      </c>
      <c r="H1435">
        <v>21.4</v>
      </c>
      <c r="I1435">
        <v>5</v>
      </c>
      <c r="J1435">
        <v>6.2060000000000004</v>
      </c>
      <c r="K1435">
        <v>2014</v>
      </c>
      <c r="L1435">
        <v>1</v>
      </c>
      <c r="M1435" t="s">
        <v>60</v>
      </c>
      <c r="N1435">
        <v>16</v>
      </c>
      <c r="O1435">
        <v>4</v>
      </c>
      <c r="P1435">
        <v>29</v>
      </c>
      <c r="Q1435">
        <v>4.2799999999999994</v>
      </c>
      <c r="R1435" t="s">
        <v>26</v>
      </c>
      <c r="S1435" t="b">
        <v>0</v>
      </c>
      <c r="T1435" t="b">
        <v>0</v>
      </c>
    </row>
    <row r="1436" spans="1:20" x14ac:dyDescent="0.3">
      <c r="A1436" t="s">
        <v>2374</v>
      </c>
      <c r="B1436" s="1">
        <v>41218</v>
      </c>
      <c r="C1436" s="1">
        <v>41218</v>
      </c>
      <c r="D1436" t="s">
        <v>1278</v>
      </c>
      <c r="E1436" t="s">
        <v>51</v>
      </c>
      <c r="F1436" t="s">
        <v>45</v>
      </c>
      <c r="G1436" t="s">
        <v>1192</v>
      </c>
      <c r="H1436">
        <v>62.8</v>
      </c>
      <c r="I1436">
        <v>4</v>
      </c>
      <c r="J1436">
        <v>15.7</v>
      </c>
      <c r="K1436">
        <v>2012</v>
      </c>
      <c r="L1436">
        <v>11</v>
      </c>
      <c r="M1436" t="s">
        <v>70</v>
      </c>
      <c r="N1436">
        <v>5</v>
      </c>
      <c r="O1436">
        <v>0</v>
      </c>
      <c r="P1436">
        <v>25</v>
      </c>
      <c r="Q1436">
        <v>15.7</v>
      </c>
      <c r="R1436" t="s">
        <v>26</v>
      </c>
      <c r="S1436" t="b">
        <v>0</v>
      </c>
      <c r="T1436" t="b">
        <v>0</v>
      </c>
    </row>
    <row r="1437" spans="1:20" x14ac:dyDescent="0.3">
      <c r="A1437" t="s">
        <v>2375</v>
      </c>
      <c r="B1437" s="1">
        <v>41755</v>
      </c>
      <c r="C1437" s="1">
        <v>41759</v>
      </c>
      <c r="D1437" t="s">
        <v>2376</v>
      </c>
      <c r="E1437" t="s">
        <v>22</v>
      </c>
      <c r="F1437" t="s">
        <v>33</v>
      </c>
      <c r="G1437" t="s">
        <v>757</v>
      </c>
      <c r="H1437">
        <v>13.904</v>
      </c>
      <c r="I1437">
        <v>2</v>
      </c>
      <c r="J1437">
        <v>4.5187999999999997</v>
      </c>
      <c r="K1437">
        <v>2014</v>
      </c>
      <c r="L1437">
        <v>4</v>
      </c>
      <c r="M1437" t="s">
        <v>236</v>
      </c>
      <c r="N1437">
        <v>26</v>
      </c>
      <c r="O1437">
        <v>4</v>
      </c>
      <c r="P1437">
        <v>32.5</v>
      </c>
      <c r="Q1437">
        <v>6.952</v>
      </c>
      <c r="R1437" t="s">
        <v>26</v>
      </c>
      <c r="S1437" t="b">
        <v>0</v>
      </c>
      <c r="T1437" t="b">
        <v>0</v>
      </c>
    </row>
    <row r="1438" spans="1:20" x14ac:dyDescent="0.3">
      <c r="A1438" t="s">
        <v>2377</v>
      </c>
      <c r="B1438" s="1">
        <v>41969</v>
      </c>
      <c r="C1438" s="1">
        <v>41973</v>
      </c>
      <c r="D1438" t="s">
        <v>2378</v>
      </c>
      <c r="E1438" t="s">
        <v>51</v>
      </c>
      <c r="F1438" t="s">
        <v>317</v>
      </c>
      <c r="G1438" t="s">
        <v>2379</v>
      </c>
      <c r="H1438">
        <v>359.49900000000002</v>
      </c>
      <c r="I1438">
        <v>3</v>
      </c>
      <c r="J1438">
        <v>-29.605799999999999</v>
      </c>
      <c r="K1438">
        <v>2014</v>
      </c>
      <c r="L1438">
        <v>11</v>
      </c>
      <c r="M1438" t="s">
        <v>70</v>
      </c>
      <c r="N1438">
        <v>26</v>
      </c>
      <c r="O1438">
        <v>4</v>
      </c>
      <c r="P1438">
        <v>-8.24</v>
      </c>
      <c r="Q1438">
        <v>119.833</v>
      </c>
      <c r="R1438" t="s">
        <v>26</v>
      </c>
      <c r="S1438" t="b">
        <v>1</v>
      </c>
      <c r="T1438" t="b">
        <v>1</v>
      </c>
    </row>
    <row r="1439" spans="1:20" x14ac:dyDescent="0.3">
      <c r="A1439" t="s">
        <v>2377</v>
      </c>
      <c r="B1439" s="1">
        <v>41969</v>
      </c>
      <c r="C1439" s="1">
        <v>41973</v>
      </c>
      <c r="D1439" t="s">
        <v>2378</v>
      </c>
      <c r="E1439" t="s">
        <v>51</v>
      </c>
      <c r="F1439" t="s">
        <v>45</v>
      </c>
      <c r="G1439" t="s">
        <v>369</v>
      </c>
      <c r="H1439">
        <v>10.48</v>
      </c>
      <c r="I1439">
        <v>1</v>
      </c>
      <c r="J1439">
        <v>2.8296000000000001</v>
      </c>
      <c r="K1439">
        <v>2014</v>
      </c>
      <c r="L1439">
        <v>11</v>
      </c>
      <c r="M1439" t="s">
        <v>70</v>
      </c>
      <c r="N1439">
        <v>26</v>
      </c>
      <c r="O1439">
        <v>4</v>
      </c>
      <c r="P1439">
        <v>27</v>
      </c>
      <c r="Q1439">
        <v>10.48</v>
      </c>
      <c r="R1439" t="s">
        <v>26</v>
      </c>
      <c r="S1439" t="b">
        <v>0</v>
      </c>
      <c r="T1439" t="b">
        <v>0</v>
      </c>
    </row>
    <row r="1440" spans="1:20" x14ac:dyDescent="0.3">
      <c r="A1440" t="s">
        <v>2380</v>
      </c>
      <c r="B1440" s="1">
        <v>41856</v>
      </c>
      <c r="C1440" s="1">
        <v>41859</v>
      </c>
      <c r="D1440" t="s">
        <v>1372</v>
      </c>
      <c r="E1440" t="s">
        <v>2381</v>
      </c>
      <c r="F1440" t="s">
        <v>72</v>
      </c>
      <c r="G1440" t="s">
        <v>2382</v>
      </c>
      <c r="H1440">
        <v>7.968</v>
      </c>
      <c r="I1440">
        <v>2</v>
      </c>
      <c r="J1440">
        <v>2.8883999999999999</v>
      </c>
      <c r="K1440">
        <v>2014</v>
      </c>
      <c r="L1440">
        <v>8</v>
      </c>
      <c r="M1440" t="s">
        <v>53</v>
      </c>
      <c r="N1440">
        <v>5</v>
      </c>
      <c r="O1440">
        <v>3</v>
      </c>
      <c r="P1440">
        <v>36.25</v>
      </c>
      <c r="Q1440">
        <v>3.984</v>
      </c>
      <c r="R1440" t="s">
        <v>26</v>
      </c>
      <c r="S1440" t="b">
        <v>0</v>
      </c>
      <c r="T1440" t="b">
        <v>0</v>
      </c>
    </row>
    <row r="1441" spans="1:20" x14ac:dyDescent="0.3">
      <c r="A1441" t="s">
        <v>2380</v>
      </c>
      <c r="B1441" s="1">
        <v>41856</v>
      </c>
      <c r="C1441" s="1">
        <v>41859</v>
      </c>
      <c r="D1441" t="s">
        <v>1372</v>
      </c>
      <c r="E1441" t="s">
        <v>2381</v>
      </c>
      <c r="F1441" t="s">
        <v>128</v>
      </c>
      <c r="G1441" t="s">
        <v>1869</v>
      </c>
      <c r="H1441">
        <v>8.7840000000000007</v>
      </c>
      <c r="I1441">
        <v>1</v>
      </c>
      <c r="J1441">
        <v>3.1842000000000001</v>
      </c>
      <c r="K1441">
        <v>2014</v>
      </c>
      <c r="L1441">
        <v>8</v>
      </c>
      <c r="M1441" t="s">
        <v>53</v>
      </c>
      <c r="N1441">
        <v>5</v>
      </c>
      <c r="O1441">
        <v>3</v>
      </c>
      <c r="P1441">
        <v>36.25</v>
      </c>
      <c r="Q1441">
        <v>8.7840000000000007</v>
      </c>
      <c r="R1441" t="s">
        <v>26</v>
      </c>
      <c r="S1441" t="b">
        <v>0</v>
      </c>
      <c r="T1441" t="b">
        <v>0</v>
      </c>
    </row>
    <row r="1442" spans="1:20" x14ac:dyDescent="0.3">
      <c r="A1442" t="s">
        <v>2383</v>
      </c>
      <c r="B1442" s="1">
        <v>42004</v>
      </c>
      <c r="C1442" s="1">
        <v>42008</v>
      </c>
      <c r="D1442" t="s">
        <v>2384</v>
      </c>
      <c r="E1442" t="s">
        <v>2381</v>
      </c>
      <c r="F1442" t="s">
        <v>119</v>
      </c>
      <c r="G1442" t="s">
        <v>2385</v>
      </c>
      <c r="H1442">
        <v>3.024</v>
      </c>
      <c r="I1442">
        <v>3</v>
      </c>
      <c r="J1442">
        <v>-0.6048</v>
      </c>
      <c r="K1442">
        <v>2014</v>
      </c>
      <c r="L1442">
        <v>12</v>
      </c>
      <c r="M1442" t="s">
        <v>41</v>
      </c>
      <c r="N1442">
        <v>31</v>
      </c>
      <c r="O1442">
        <v>4</v>
      </c>
      <c r="P1442">
        <v>-20</v>
      </c>
      <c r="Q1442">
        <v>1.008</v>
      </c>
      <c r="R1442" t="s">
        <v>26</v>
      </c>
      <c r="S1442" t="b">
        <v>1</v>
      </c>
      <c r="T1442" t="b">
        <v>0</v>
      </c>
    </row>
    <row r="1443" spans="1:20" x14ac:dyDescent="0.3">
      <c r="A1443" t="s">
        <v>2386</v>
      </c>
      <c r="B1443" s="1">
        <v>41128</v>
      </c>
      <c r="C1443" s="1">
        <v>41133</v>
      </c>
      <c r="D1443" t="s">
        <v>2387</v>
      </c>
      <c r="E1443" t="s">
        <v>1515</v>
      </c>
      <c r="F1443" t="s">
        <v>33</v>
      </c>
      <c r="G1443" t="s">
        <v>2388</v>
      </c>
      <c r="H1443">
        <v>19.152000000000001</v>
      </c>
      <c r="I1443">
        <v>3</v>
      </c>
      <c r="J1443">
        <v>6.4638</v>
      </c>
      <c r="K1443">
        <v>2012</v>
      </c>
      <c r="L1443">
        <v>8</v>
      </c>
      <c r="M1443" t="s">
        <v>53</v>
      </c>
      <c r="N1443">
        <v>7</v>
      </c>
      <c r="O1443">
        <v>5</v>
      </c>
      <c r="P1443">
        <v>33.75</v>
      </c>
      <c r="Q1443">
        <v>6.3840000000000003</v>
      </c>
      <c r="R1443" t="s">
        <v>48</v>
      </c>
      <c r="S1443" t="b">
        <v>0</v>
      </c>
      <c r="T1443" t="b">
        <v>0</v>
      </c>
    </row>
    <row r="1444" spans="1:20" x14ac:dyDescent="0.3">
      <c r="A1444" t="s">
        <v>2389</v>
      </c>
      <c r="B1444" s="1">
        <v>41596</v>
      </c>
      <c r="C1444" s="1">
        <v>41601</v>
      </c>
      <c r="D1444" t="s">
        <v>1180</v>
      </c>
      <c r="E1444" t="s">
        <v>154</v>
      </c>
      <c r="F1444" t="s">
        <v>33</v>
      </c>
      <c r="G1444" t="s">
        <v>241</v>
      </c>
      <c r="H1444">
        <v>10.776</v>
      </c>
      <c r="I1444">
        <v>3</v>
      </c>
      <c r="J1444">
        <v>3.3675000000000002</v>
      </c>
      <c r="K1444">
        <v>2013</v>
      </c>
      <c r="L1444">
        <v>11</v>
      </c>
      <c r="M1444" t="s">
        <v>70</v>
      </c>
      <c r="N1444">
        <v>18</v>
      </c>
      <c r="O1444">
        <v>5</v>
      </c>
      <c r="P1444">
        <v>31.25</v>
      </c>
      <c r="Q1444">
        <v>3.5920000000000001</v>
      </c>
      <c r="R1444" t="s">
        <v>26</v>
      </c>
      <c r="S1444" t="b">
        <v>0</v>
      </c>
      <c r="T1444" t="b">
        <v>0</v>
      </c>
    </row>
    <row r="1445" spans="1:20" x14ac:dyDescent="0.3">
      <c r="A1445" t="s">
        <v>2390</v>
      </c>
      <c r="B1445" s="1">
        <v>42003</v>
      </c>
      <c r="C1445" s="1">
        <v>42010</v>
      </c>
      <c r="D1445" t="s">
        <v>223</v>
      </c>
      <c r="E1445" t="s">
        <v>1538</v>
      </c>
      <c r="F1445" t="s">
        <v>29</v>
      </c>
      <c r="G1445" t="s">
        <v>2391</v>
      </c>
      <c r="H1445">
        <v>101.12</v>
      </c>
      <c r="I1445">
        <v>8</v>
      </c>
      <c r="J1445">
        <v>37.414400000000001</v>
      </c>
      <c r="K1445">
        <v>2014</v>
      </c>
      <c r="L1445">
        <v>12</v>
      </c>
      <c r="M1445" t="s">
        <v>41</v>
      </c>
      <c r="N1445">
        <v>30</v>
      </c>
      <c r="O1445">
        <v>7</v>
      </c>
      <c r="P1445">
        <v>37</v>
      </c>
      <c r="Q1445">
        <v>12.64</v>
      </c>
      <c r="R1445" t="s">
        <v>26</v>
      </c>
      <c r="S1445" t="b">
        <v>0</v>
      </c>
      <c r="T1445" t="b">
        <v>0</v>
      </c>
    </row>
    <row r="1446" spans="1:20" x14ac:dyDescent="0.3">
      <c r="A1446" t="s">
        <v>2392</v>
      </c>
      <c r="B1446" s="1">
        <v>41571</v>
      </c>
      <c r="C1446" s="1">
        <v>41576</v>
      </c>
      <c r="D1446" t="s">
        <v>1474</v>
      </c>
      <c r="E1446" t="s">
        <v>39</v>
      </c>
      <c r="F1446" t="s">
        <v>119</v>
      </c>
      <c r="G1446" t="s">
        <v>607</v>
      </c>
      <c r="H1446">
        <v>17.05</v>
      </c>
      <c r="I1446">
        <v>5</v>
      </c>
      <c r="J1446">
        <v>8.1839999999999993</v>
      </c>
      <c r="K1446">
        <v>2013</v>
      </c>
      <c r="L1446">
        <v>10</v>
      </c>
      <c r="M1446" t="s">
        <v>82</v>
      </c>
      <c r="N1446">
        <v>24</v>
      </c>
      <c r="O1446">
        <v>5</v>
      </c>
      <c r="P1446">
        <v>48</v>
      </c>
      <c r="Q1446">
        <v>3.41</v>
      </c>
      <c r="R1446" t="s">
        <v>26</v>
      </c>
      <c r="S1446" t="b">
        <v>0</v>
      </c>
      <c r="T1446" t="b">
        <v>0</v>
      </c>
    </row>
    <row r="1447" spans="1:20" x14ac:dyDescent="0.3">
      <c r="A1447" t="s">
        <v>2393</v>
      </c>
      <c r="B1447" s="1">
        <v>41257</v>
      </c>
      <c r="C1447" s="1">
        <v>41262</v>
      </c>
      <c r="D1447" t="s">
        <v>933</v>
      </c>
      <c r="E1447" t="s">
        <v>194</v>
      </c>
      <c r="F1447" t="s">
        <v>33</v>
      </c>
      <c r="G1447" t="s">
        <v>2394</v>
      </c>
      <c r="H1447">
        <v>8.0960000000000001</v>
      </c>
      <c r="I1447">
        <v>2</v>
      </c>
      <c r="J1447">
        <v>2.7324000000000002</v>
      </c>
      <c r="K1447">
        <v>2012</v>
      </c>
      <c r="L1447">
        <v>12</v>
      </c>
      <c r="M1447" t="s">
        <v>41</v>
      </c>
      <c r="N1447">
        <v>14</v>
      </c>
      <c r="O1447">
        <v>5</v>
      </c>
      <c r="P1447">
        <v>33.75</v>
      </c>
      <c r="Q1447">
        <v>4.048</v>
      </c>
      <c r="R1447" t="s">
        <v>26</v>
      </c>
      <c r="S1447" t="b">
        <v>0</v>
      </c>
      <c r="T1447" t="b">
        <v>0</v>
      </c>
    </row>
    <row r="1448" spans="1:20" x14ac:dyDescent="0.3">
      <c r="A1448" t="s">
        <v>2395</v>
      </c>
      <c r="B1448" s="1">
        <v>41221</v>
      </c>
      <c r="C1448" s="1">
        <v>41225</v>
      </c>
      <c r="D1448" t="s">
        <v>2396</v>
      </c>
      <c r="E1448" t="s">
        <v>51</v>
      </c>
      <c r="F1448" t="s">
        <v>61</v>
      </c>
      <c r="G1448" t="s">
        <v>212</v>
      </c>
      <c r="H1448">
        <v>119.9</v>
      </c>
      <c r="I1448">
        <v>2</v>
      </c>
      <c r="J1448">
        <v>43.164000000000001</v>
      </c>
      <c r="K1448">
        <v>2012</v>
      </c>
      <c r="L1448">
        <v>11</v>
      </c>
      <c r="M1448" t="s">
        <v>70</v>
      </c>
      <c r="N1448">
        <v>8</v>
      </c>
      <c r="O1448">
        <v>4</v>
      </c>
      <c r="P1448">
        <v>36</v>
      </c>
      <c r="Q1448">
        <v>59.95</v>
      </c>
      <c r="R1448" t="s">
        <v>26</v>
      </c>
      <c r="S1448" t="b">
        <v>0</v>
      </c>
      <c r="T1448" t="b">
        <v>0</v>
      </c>
    </row>
    <row r="1449" spans="1:20" x14ac:dyDescent="0.3">
      <c r="A1449" t="s">
        <v>2397</v>
      </c>
      <c r="B1449" s="1">
        <v>41673</v>
      </c>
      <c r="C1449" s="1">
        <v>41678</v>
      </c>
      <c r="D1449" t="s">
        <v>441</v>
      </c>
      <c r="E1449" t="s">
        <v>22</v>
      </c>
      <c r="F1449" t="s">
        <v>29</v>
      </c>
      <c r="G1449" t="s">
        <v>1027</v>
      </c>
      <c r="H1449">
        <v>86.26</v>
      </c>
      <c r="I1449">
        <v>2</v>
      </c>
      <c r="J1449">
        <v>29.328399999999998</v>
      </c>
      <c r="K1449">
        <v>2014</v>
      </c>
      <c r="L1449">
        <v>2</v>
      </c>
      <c r="M1449" t="s">
        <v>303</v>
      </c>
      <c r="N1449">
        <v>3</v>
      </c>
      <c r="O1449">
        <v>5</v>
      </c>
      <c r="P1449">
        <v>34</v>
      </c>
      <c r="Q1449">
        <v>43.13</v>
      </c>
      <c r="R1449" t="s">
        <v>26</v>
      </c>
      <c r="S1449" t="b">
        <v>0</v>
      </c>
      <c r="T1449" t="b">
        <v>0</v>
      </c>
    </row>
    <row r="1450" spans="1:20" x14ac:dyDescent="0.3">
      <c r="A1450" t="s">
        <v>2397</v>
      </c>
      <c r="B1450" s="1">
        <v>41673</v>
      </c>
      <c r="C1450" s="1">
        <v>41678</v>
      </c>
      <c r="D1450" t="s">
        <v>441</v>
      </c>
      <c r="E1450" t="s">
        <v>22</v>
      </c>
      <c r="F1450" t="s">
        <v>45</v>
      </c>
      <c r="G1450" t="s">
        <v>1844</v>
      </c>
      <c r="H1450">
        <v>139.04</v>
      </c>
      <c r="I1450">
        <v>4</v>
      </c>
      <c r="J1450">
        <v>38.931199999999997</v>
      </c>
      <c r="K1450">
        <v>2014</v>
      </c>
      <c r="L1450">
        <v>2</v>
      </c>
      <c r="M1450" t="s">
        <v>303</v>
      </c>
      <c r="N1450">
        <v>3</v>
      </c>
      <c r="O1450">
        <v>5</v>
      </c>
      <c r="P1450">
        <v>28</v>
      </c>
      <c r="Q1450">
        <v>34.76</v>
      </c>
      <c r="R1450" t="s">
        <v>26</v>
      </c>
      <c r="S1450" t="b">
        <v>0</v>
      </c>
      <c r="T1450" t="b">
        <v>0</v>
      </c>
    </row>
    <row r="1451" spans="1:20" x14ac:dyDescent="0.3">
      <c r="A1451" t="s">
        <v>2397</v>
      </c>
      <c r="B1451" s="1">
        <v>41673</v>
      </c>
      <c r="C1451" s="1">
        <v>41678</v>
      </c>
      <c r="D1451" t="s">
        <v>441</v>
      </c>
      <c r="E1451" t="s">
        <v>22</v>
      </c>
      <c r="F1451" t="s">
        <v>35</v>
      </c>
      <c r="G1451" t="s">
        <v>1244</v>
      </c>
      <c r="H1451">
        <v>46.8</v>
      </c>
      <c r="I1451">
        <v>4</v>
      </c>
      <c r="J1451">
        <v>16.38</v>
      </c>
      <c r="K1451">
        <v>2014</v>
      </c>
      <c r="L1451">
        <v>2</v>
      </c>
      <c r="M1451" t="s">
        <v>303</v>
      </c>
      <c r="N1451">
        <v>3</v>
      </c>
      <c r="O1451">
        <v>5</v>
      </c>
      <c r="P1451">
        <v>35</v>
      </c>
      <c r="Q1451">
        <v>11.7</v>
      </c>
      <c r="R1451" t="s">
        <v>26</v>
      </c>
      <c r="S1451" t="b">
        <v>0</v>
      </c>
      <c r="T1451" t="b">
        <v>0</v>
      </c>
    </row>
    <row r="1452" spans="1:20" x14ac:dyDescent="0.3">
      <c r="A1452" t="s">
        <v>2398</v>
      </c>
      <c r="B1452" s="1">
        <v>41998</v>
      </c>
      <c r="C1452" s="1">
        <v>42005</v>
      </c>
      <c r="D1452" t="s">
        <v>2399</v>
      </c>
      <c r="E1452" t="s">
        <v>2400</v>
      </c>
      <c r="F1452" t="s">
        <v>29</v>
      </c>
      <c r="G1452" t="s">
        <v>2401</v>
      </c>
      <c r="H1452">
        <v>8.5440000000000005</v>
      </c>
      <c r="I1452">
        <v>4</v>
      </c>
      <c r="J1452">
        <v>1.9224000000000001</v>
      </c>
      <c r="K1452">
        <v>2014</v>
      </c>
      <c r="L1452">
        <v>12</v>
      </c>
      <c r="M1452" t="s">
        <v>41</v>
      </c>
      <c r="N1452">
        <v>25</v>
      </c>
      <c r="O1452">
        <v>7</v>
      </c>
      <c r="P1452">
        <v>22.5</v>
      </c>
      <c r="Q1452">
        <v>2.1360000000000001</v>
      </c>
      <c r="R1452" t="s">
        <v>26</v>
      </c>
      <c r="S1452" t="b">
        <v>0</v>
      </c>
      <c r="T1452" t="b">
        <v>0</v>
      </c>
    </row>
    <row r="1453" spans="1:20" x14ac:dyDescent="0.3">
      <c r="A1453" t="s">
        <v>2402</v>
      </c>
      <c r="B1453" s="1">
        <v>41705</v>
      </c>
      <c r="C1453" s="1">
        <v>41709</v>
      </c>
      <c r="D1453" t="s">
        <v>126</v>
      </c>
      <c r="E1453" t="s">
        <v>51</v>
      </c>
      <c r="F1453" t="s">
        <v>45</v>
      </c>
      <c r="G1453" t="s">
        <v>1584</v>
      </c>
      <c r="H1453">
        <v>67.78</v>
      </c>
      <c r="I1453">
        <v>2</v>
      </c>
      <c r="J1453">
        <v>16.945</v>
      </c>
      <c r="K1453">
        <v>2014</v>
      </c>
      <c r="L1453">
        <v>3</v>
      </c>
      <c r="M1453" t="s">
        <v>135</v>
      </c>
      <c r="N1453">
        <v>7</v>
      </c>
      <c r="O1453">
        <v>4</v>
      </c>
      <c r="P1453">
        <v>25</v>
      </c>
      <c r="Q1453">
        <v>33.89</v>
      </c>
      <c r="R1453" t="s">
        <v>26</v>
      </c>
      <c r="S1453" t="b">
        <v>0</v>
      </c>
      <c r="T1453" t="b">
        <v>0</v>
      </c>
    </row>
    <row r="1454" spans="1:20" x14ac:dyDescent="0.3">
      <c r="A1454" t="s">
        <v>2403</v>
      </c>
      <c r="B1454" s="1">
        <v>41908</v>
      </c>
      <c r="C1454" s="1">
        <v>41911</v>
      </c>
      <c r="D1454" t="s">
        <v>2404</v>
      </c>
      <c r="E1454" t="s">
        <v>2405</v>
      </c>
      <c r="F1454" t="s">
        <v>45</v>
      </c>
      <c r="G1454" t="s">
        <v>2009</v>
      </c>
      <c r="H1454">
        <v>39.9</v>
      </c>
      <c r="I1454">
        <v>5</v>
      </c>
      <c r="J1454">
        <v>10.374000000000001</v>
      </c>
      <c r="K1454">
        <v>2014</v>
      </c>
      <c r="L1454">
        <v>9</v>
      </c>
      <c r="M1454" t="s">
        <v>87</v>
      </c>
      <c r="N1454">
        <v>26</v>
      </c>
      <c r="O1454">
        <v>3</v>
      </c>
      <c r="P1454">
        <v>26</v>
      </c>
      <c r="Q1454">
        <v>7.98</v>
      </c>
      <c r="R1454" t="s">
        <v>26</v>
      </c>
      <c r="S1454" t="b">
        <v>0</v>
      </c>
      <c r="T1454" t="b">
        <v>0</v>
      </c>
    </row>
    <row r="1455" spans="1:20" x14ac:dyDescent="0.3">
      <c r="A1455" t="s">
        <v>2406</v>
      </c>
      <c r="B1455" s="1">
        <v>41208</v>
      </c>
      <c r="C1455" s="1">
        <v>41212</v>
      </c>
      <c r="D1455" t="s">
        <v>2050</v>
      </c>
      <c r="E1455" t="s">
        <v>1152</v>
      </c>
      <c r="F1455" t="s">
        <v>54</v>
      </c>
      <c r="G1455" t="s">
        <v>2407</v>
      </c>
      <c r="H1455">
        <v>105.584</v>
      </c>
      <c r="I1455">
        <v>2</v>
      </c>
      <c r="J1455">
        <v>9.2385999999999999</v>
      </c>
      <c r="K1455">
        <v>2012</v>
      </c>
      <c r="L1455">
        <v>10</v>
      </c>
      <c r="M1455" t="s">
        <v>82</v>
      </c>
      <c r="N1455">
        <v>26</v>
      </c>
      <c r="O1455">
        <v>4</v>
      </c>
      <c r="P1455">
        <v>8.75</v>
      </c>
      <c r="Q1455">
        <v>52.792000000000002</v>
      </c>
      <c r="R1455" t="s">
        <v>26</v>
      </c>
      <c r="S1455" t="b">
        <v>0</v>
      </c>
      <c r="T1455" t="b">
        <v>0</v>
      </c>
    </row>
    <row r="1456" spans="1:20" x14ac:dyDescent="0.3">
      <c r="A1456" t="s">
        <v>2406</v>
      </c>
      <c r="B1456" s="1">
        <v>41208</v>
      </c>
      <c r="C1456" s="1">
        <v>41212</v>
      </c>
      <c r="D1456" t="s">
        <v>2050</v>
      </c>
      <c r="E1456" t="s">
        <v>1152</v>
      </c>
      <c r="F1456" t="s">
        <v>54</v>
      </c>
      <c r="G1456" t="s">
        <v>2408</v>
      </c>
      <c r="H1456">
        <v>68.72</v>
      </c>
      <c r="I1456">
        <v>2</v>
      </c>
      <c r="J1456">
        <v>-14.603</v>
      </c>
      <c r="K1456">
        <v>2012</v>
      </c>
      <c r="L1456">
        <v>10</v>
      </c>
      <c r="M1456" t="s">
        <v>82</v>
      </c>
      <c r="N1456">
        <v>26</v>
      </c>
      <c r="O1456">
        <v>4</v>
      </c>
      <c r="P1456">
        <v>-21.25</v>
      </c>
      <c r="Q1456">
        <v>34.36</v>
      </c>
      <c r="R1456" t="s">
        <v>26</v>
      </c>
      <c r="S1456" t="b">
        <v>1</v>
      </c>
      <c r="T1456" t="b">
        <v>0</v>
      </c>
    </row>
    <row r="1457" spans="1:20" x14ac:dyDescent="0.3">
      <c r="A1457" t="s">
        <v>2409</v>
      </c>
      <c r="B1457" s="1">
        <v>41096</v>
      </c>
      <c r="C1457" s="1">
        <v>41101</v>
      </c>
      <c r="D1457" t="s">
        <v>1728</v>
      </c>
      <c r="E1457" t="s">
        <v>763</v>
      </c>
      <c r="F1457" t="s">
        <v>110</v>
      </c>
      <c r="G1457" t="s">
        <v>2410</v>
      </c>
      <c r="H1457">
        <v>170.352</v>
      </c>
      <c r="I1457">
        <v>3</v>
      </c>
      <c r="J1457">
        <v>-17.0352</v>
      </c>
      <c r="K1457">
        <v>2012</v>
      </c>
      <c r="L1457">
        <v>7</v>
      </c>
      <c r="M1457" t="s">
        <v>66</v>
      </c>
      <c r="N1457">
        <v>6</v>
      </c>
      <c r="O1457">
        <v>5</v>
      </c>
      <c r="P1457">
        <v>-10</v>
      </c>
      <c r="Q1457">
        <v>56.783999999999999</v>
      </c>
      <c r="R1457" t="s">
        <v>26</v>
      </c>
      <c r="S1457" t="b">
        <v>1</v>
      </c>
      <c r="T1457" t="b">
        <v>0</v>
      </c>
    </row>
    <row r="1458" spans="1:20" x14ac:dyDescent="0.3">
      <c r="A1458" t="s">
        <v>2411</v>
      </c>
      <c r="B1458" s="1">
        <v>40976</v>
      </c>
      <c r="C1458" s="1">
        <v>40978</v>
      </c>
      <c r="D1458" t="s">
        <v>2412</v>
      </c>
      <c r="E1458" t="s">
        <v>1460</v>
      </c>
      <c r="F1458" t="s">
        <v>31</v>
      </c>
      <c r="G1458" t="s">
        <v>1554</v>
      </c>
      <c r="H1458">
        <v>3.4079999999999999</v>
      </c>
      <c r="I1458">
        <v>1</v>
      </c>
      <c r="J1458">
        <v>0.89459999999999995</v>
      </c>
      <c r="K1458">
        <v>2012</v>
      </c>
      <c r="L1458">
        <v>3</v>
      </c>
      <c r="M1458" t="s">
        <v>135</v>
      </c>
      <c r="N1458">
        <v>8</v>
      </c>
      <c r="O1458">
        <v>2</v>
      </c>
      <c r="P1458">
        <v>26.25</v>
      </c>
      <c r="Q1458">
        <v>3.4079999999999999</v>
      </c>
      <c r="R1458" t="s">
        <v>26</v>
      </c>
      <c r="S1458" t="b">
        <v>0</v>
      </c>
      <c r="T1458" t="b">
        <v>0</v>
      </c>
    </row>
    <row r="1459" spans="1:20" x14ac:dyDescent="0.3">
      <c r="A1459" t="s">
        <v>2413</v>
      </c>
      <c r="B1459" s="1">
        <v>41584</v>
      </c>
      <c r="C1459" s="1">
        <v>41587</v>
      </c>
      <c r="D1459" t="s">
        <v>305</v>
      </c>
      <c r="E1459" t="s">
        <v>51</v>
      </c>
      <c r="F1459" t="s">
        <v>33</v>
      </c>
      <c r="G1459" t="s">
        <v>1119</v>
      </c>
      <c r="H1459">
        <v>53.247999999999998</v>
      </c>
      <c r="I1459">
        <v>2</v>
      </c>
      <c r="J1459">
        <v>19.968</v>
      </c>
      <c r="K1459">
        <v>2013</v>
      </c>
      <c r="L1459">
        <v>11</v>
      </c>
      <c r="M1459" t="s">
        <v>70</v>
      </c>
      <c r="N1459">
        <v>6</v>
      </c>
      <c r="O1459">
        <v>3</v>
      </c>
      <c r="P1459">
        <v>37.5</v>
      </c>
      <c r="Q1459">
        <v>26.623999999999999</v>
      </c>
      <c r="R1459" t="s">
        <v>26</v>
      </c>
      <c r="S1459" t="b">
        <v>0</v>
      </c>
      <c r="T1459" t="b">
        <v>0</v>
      </c>
    </row>
    <row r="1460" spans="1:20" x14ac:dyDescent="0.3">
      <c r="A1460" t="s">
        <v>2414</v>
      </c>
      <c r="B1460" s="1">
        <v>41012</v>
      </c>
      <c r="C1460" s="1">
        <v>41018</v>
      </c>
      <c r="D1460" t="s">
        <v>1397</v>
      </c>
      <c r="E1460" t="s">
        <v>22</v>
      </c>
      <c r="F1460" t="s">
        <v>29</v>
      </c>
      <c r="G1460" t="s">
        <v>1154</v>
      </c>
      <c r="H1460">
        <v>37.68</v>
      </c>
      <c r="I1460">
        <v>2</v>
      </c>
      <c r="J1460">
        <v>15.8256</v>
      </c>
      <c r="K1460">
        <v>2012</v>
      </c>
      <c r="L1460">
        <v>4</v>
      </c>
      <c r="M1460" t="s">
        <v>236</v>
      </c>
      <c r="N1460">
        <v>13</v>
      </c>
      <c r="O1460">
        <v>6</v>
      </c>
      <c r="P1460">
        <v>42</v>
      </c>
      <c r="Q1460">
        <v>18.84</v>
      </c>
      <c r="R1460" t="s">
        <v>26</v>
      </c>
      <c r="S1460" t="b">
        <v>0</v>
      </c>
      <c r="T1460" t="b">
        <v>0</v>
      </c>
    </row>
    <row r="1461" spans="1:20" x14ac:dyDescent="0.3">
      <c r="A1461" t="s">
        <v>2414</v>
      </c>
      <c r="B1461" s="1">
        <v>41012</v>
      </c>
      <c r="C1461" s="1">
        <v>41018</v>
      </c>
      <c r="D1461" t="s">
        <v>1397</v>
      </c>
      <c r="E1461" t="s">
        <v>22</v>
      </c>
      <c r="F1461" t="s">
        <v>54</v>
      </c>
      <c r="G1461" t="s">
        <v>2415</v>
      </c>
      <c r="H1461">
        <v>258.57600000000002</v>
      </c>
      <c r="I1461">
        <v>2</v>
      </c>
      <c r="J1461">
        <v>19.3932</v>
      </c>
      <c r="K1461">
        <v>2012</v>
      </c>
      <c r="L1461">
        <v>4</v>
      </c>
      <c r="M1461" t="s">
        <v>236</v>
      </c>
      <c r="N1461">
        <v>13</v>
      </c>
      <c r="O1461">
        <v>6</v>
      </c>
      <c r="P1461">
        <v>7.5</v>
      </c>
      <c r="Q1461">
        <v>129.28800000000001</v>
      </c>
      <c r="R1461" t="s">
        <v>26</v>
      </c>
      <c r="S1461" t="b">
        <v>0</v>
      </c>
      <c r="T1461" t="b">
        <v>1</v>
      </c>
    </row>
    <row r="1462" spans="1:20" x14ac:dyDescent="0.3">
      <c r="A1462" t="s">
        <v>2414</v>
      </c>
      <c r="B1462" s="1">
        <v>41012</v>
      </c>
      <c r="C1462" s="1">
        <v>41018</v>
      </c>
      <c r="D1462" t="s">
        <v>1397</v>
      </c>
      <c r="E1462" t="s">
        <v>22</v>
      </c>
      <c r="F1462" t="s">
        <v>35</v>
      </c>
      <c r="G1462" t="s">
        <v>824</v>
      </c>
      <c r="H1462">
        <v>75.84</v>
      </c>
      <c r="I1462">
        <v>2</v>
      </c>
      <c r="J1462">
        <v>29.5776</v>
      </c>
      <c r="K1462">
        <v>2012</v>
      </c>
      <c r="L1462">
        <v>4</v>
      </c>
      <c r="M1462" t="s">
        <v>236</v>
      </c>
      <c r="N1462">
        <v>13</v>
      </c>
      <c r="O1462">
        <v>6</v>
      </c>
      <c r="P1462">
        <v>39</v>
      </c>
      <c r="Q1462">
        <v>37.92</v>
      </c>
      <c r="R1462" t="s">
        <v>26</v>
      </c>
      <c r="S1462" t="b">
        <v>0</v>
      </c>
      <c r="T1462" t="b">
        <v>0</v>
      </c>
    </row>
    <row r="1463" spans="1:20" x14ac:dyDescent="0.3">
      <c r="A1463" t="s">
        <v>2416</v>
      </c>
      <c r="B1463" s="1">
        <v>41765</v>
      </c>
      <c r="C1463" s="1">
        <v>41769</v>
      </c>
      <c r="D1463" t="s">
        <v>2417</v>
      </c>
      <c r="E1463" t="s">
        <v>51</v>
      </c>
      <c r="F1463" t="s">
        <v>128</v>
      </c>
      <c r="G1463" t="s">
        <v>2418</v>
      </c>
      <c r="H1463">
        <v>23.16</v>
      </c>
      <c r="I1463">
        <v>2</v>
      </c>
      <c r="J1463">
        <v>11.58</v>
      </c>
      <c r="K1463">
        <v>2014</v>
      </c>
      <c r="L1463">
        <v>5</v>
      </c>
      <c r="M1463" t="s">
        <v>47</v>
      </c>
      <c r="N1463">
        <v>6</v>
      </c>
      <c r="O1463">
        <v>4</v>
      </c>
      <c r="P1463">
        <v>50</v>
      </c>
      <c r="Q1463">
        <v>11.58</v>
      </c>
      <c r="R1463" t="s">
        <v>26</v>
      </c>
      <c r="S1463" t="b">
        <v>0</v>
      </c>
      <c r="T1463" t="b">
        <v>0</v>
      </c>
    </row>
    <row r="1464" spans="1:20" x14ac:dyDescent="0.3">
      <c r="A1464" t="s">
        <v>2419</v>
      </c>
      <c r="B1464" s="1">
        <v>40673</v>
      </c>
      <c r="C1464" s="1">
        <v>40678</v>
      </c>
      <c r="D1464" t="s">
        <v>2362</v>
      </c>
      <c r="E1464" t="s">
        <v>951</v>
      </c>
      <c r="F1464" t="s">
        <v>128</v>
      </c>
      <c r="G1464" t="s">
        <v>2420</v>
      </c>
      <c r="H1464">
        <v>158.13</v>
      </c>
      <c r="I1464">
        <v>3</v>
      </c>
      <c r="J1464">
        <v>77.483699999999999</v>
      </c>
      <c r="K1464">
        <v>2011</v>
      </c>
      <c r="L1464">
        <v>5</v>
      </c>
      <c r="M1464" t="s">
        <v>47</v>
      </c>
      <c r="N1464">
        <v>10</v>
      </c>
      <c r="O1464">
        <v>5</v>
      </c>
      <c r="P1464">
        <v>49</v>
      </c>
      <c r="Q1464">
        <v>52.71</v>
      </c>
      <c r="R1464" t="s">
        <v>26</v>
      </c>
      <c r="S1464" t="b">
        <v>0</v>
      </c>
      <c r="T1464" t="b">
        <v>0</v>
      </c>
    </row>
    <row r="1465" spans="1:20" x14ac:dyDescent="0.3">
      <c r="A1465" t="s">
        <v>2419</v>
      </c>
      <c r="B1465" s="1">
        <v>40673</v>
      </c>
      <c r="C1465" s="1">
        <v>40678</v>
      </c>
      <c r="D1465" t="s">
        <v>2362</v>
      </c>
      <c r="E1465" t="s">
        <v>951</v>
      </c>
      <c r="F1465" t="s">
        <v>54</v>
      </c>
      <c r="G1465" t="s">
        <v>2421</v>
      </c>
      <c r="H1465">
        <v>43.6</v>
      </c>
      <c r="I1465">
        <v>5</v>
      </c>
      <c r="J1465">
        <v>4.3600000000000003</v>
      </c>
      <c r="K1465">
        <v>2011</v>
      </c>
      <c r="L1465">
        <v>5</v>
      </c>
      <c r="M1465" t="s">
        <v>47</v>
      </c>
      <c r="N1465">
        <v>10</v>
      </c>
      <c r="O1465">
        <v>5</v>
      </c>
      <c r="P1465">
        <v>10</v>
      </c>
      <c r="Q1465">
        <v>8.7200000000000006</v>
      </c>
      <c r="R1465" t="s">
        <v>26</v>
      </c>
      <c r="S1465" t="b">
        <v>0</v>
      </c>
      <c r="T1465" t="b">
        <v>0</v>
      </c>
    </row>
    <row r="1466" spans="1:20" x14ac:dyDescent="0.3">
      <c r="A1466" t="s">
        <v>2422</v>
      </c>
      <c r="B1466" s="1">
        <v>41136</v>
      </c>
      <c r="C1466" s="1">
        <v>41140</v>
      </c>
      <c r="D1466" t="s">
        <v>2423</v>
      </c>
      <c r="E1466" t="s">
        <v>663</v>
      </c>
      <c r="F1466" t="s">
        <v>29</v>
      </c>
      <c r="G1466" t="s">
        <v>1898</v>
      </c>
      <c r="H1466">
        <v>104.23</v>
      </c>
      <c r="I1466">
        <v>7</v>
      </c>
      <c r="J1466">
        <v>28.142099999999999</v>
      </c>
      <c r="K1466">
        <v>2012</v>
      </c>
      <c r="L1466">
        <v>8</v>
      </c>
      <c r="M1466" t="s">
        <v>53</v>
      </c>
      <c r="N1466">
        <v>15</v>
      </c>
      <c r="O1466">
        <v>4</v>
      </c>
      <c r="P1466">
        <v>27</v>
      </c>
      <c r="Q1466">
        <v>14.89</v>
      </c>
      <c r="R1466" t="s">
        <v>26</v>
      </c>
      <c r="S1466" t="b">
        <v>0</v>
      </c>
      <c r="T1466" t="b">
        <v>0</v>
      </c>
    </row>
    <row r="1467" spans="1:20" x14ac:dyDescent="0.3">
      <c r="A1467" t="s">
        <v>2422</v>
      </c>
      <c r="B1467" s="1">
        <v>41136</v>
      </c>
      <c r="C1467" s="1">
        <v>41140</v>
      </c>
      <c r="D1467" t="s">
        <v>2423</v>
      </c>
      <c r="E1467" t="s">
        <v>663</v>
      </c>
      <c r="F1467" t="s">
        <v>45</v>
      </c>
      <c r="G1467" t="s">
        <v>1206</v>
      </c>
      <c r="H1467">
        <v>70.260000000000005</v>
      </c>
      <c r="I1467">
        <v>3</v>
      </c>
      <c r="J1467">
        <v>18.970199999999998</v>
      </c>
      <c r="K1467">
        <v>2012</v>
      </c>
      <c r="L1467">
        <v>8</v>
      </c>
      <c r="M1467" t="s">
        <v>53</v>
      </c>
      <c r="N1467">
        <v>15</v>
      </c>
      <c r="O1467">
        <v>4</v>
      </c>
      <c r="P1467">
        <v>27</v>
      </c>
      <c r="Q1467">
        <v>23.42</v>
      </c>
      <c r="R1467" t="s">
        <v>26</v>
      </c>
      <c r="S1467" t="b">
        <v>0</v>
      </c>
      <c r="T1467" t="b">
        <v>0</v>
      </c>
    </row>
    <row r="1468" spans="1:20" x14ac:dyDescent="0.3">
      <c r="A1468" t="s">
        <v>2424</v>
      </c>
      <c r="B1468" s="1">
        <v>41544</v>
      </c>
      <c r="C1468" s="1">
        <v>41544</v>
      </c>
      <c r="D1468" t="s">
        <v>544</v>
      </c>
      <c r="E1468" t="s">
        <v>169</v>
      </c>
      <c r="F1468" t="s">
        <v>45</v>
      </c>
      <c r="G1468" t="s">
        <v>355</v>
      </c>
      <c r="H1468">
        <v>51.45</v>
      </c>
      <c r="I1468">
        <v>3</v>
      </c>
      <c r="J1468">
        <v>13.891500000000001</v>
      </c>
      <c r="K1468">
        <v>2013</v>
      </c>
      <c r="L1468">
        <v>9</v>
      </c>
      <c r="M1468" t="s">
        <v>87</v>
      </c>
      <c r="N1468">
        <v>27</v>
      </c>
      <c r="O1468">
        <v>0</v>
      </c>
      <c r="P1468">
        <v>27</v>
      </c>
      <c r="Q1468">
        <v>17.149999999999999</v>
      </c>
      <c r="R1468" t="s">
        <v>26</v>
      </c>
      <c r="S1468" t="b">
        <v>0</v>
      </c>
      <c r="T1468" t="b">
        <v>0</v>
      </c>
    </row>
    <row r="1469" spans="1:20" x14ac:dyDescent="0.3">
      <c r="A1469" t="s">
        <v>2424</v>
      </c>
      <c r="B1469" s="1">
        <v>41544</v>
      </c>
      <c r="C1469" s="1">
        <v>41544</v>
      </c>
      <c r="D1469" t="s">
        <v>544</v>
      </c>
      <c r="E1469" t="s">
        <v>169</v>
      </c>
      <c r="F1469" t="s">
        <v>23</v>
      </c>
      <c r="G1469" t="s">
        <v>1012</v>
      </c>
      <c r="H1469">
        <v>7.83</v>
      </c>
      <c r="I1469">
        <v>3</v>
      </c>
      <c r="J1469">
        <v>3.6017999999999999</v>
      </c>
      <c r="K1469">
        <v>2013</v>
      </c>
      <c r="L1469">
        <v>9</v>
      </c>
      <c r="M1469" t="s">
        <v>87</v>
      </c>
      <c r="N1469">
        <v>27</v>
      </c>
      <c r="O1469">
        <v>0</v>
      </c>
      <c r="P1469">
        <v>46</v>
      </c>
      <c r="Q1469">
        <v>2.61</v>
      </c>
      <c r="R1469" t="s">
        <v>26</v>
      </c>
      <c r="S1469" t="b">
        <v>0</v>
      </c>
      <c r="T1469" t="b">
        <v>0</v>
      </c>
    </row>
    <row r="1470" spans="1:20" x14ac:dyDescent="0.3">
      <c r="A1470" t="s">
        <v>2424</v>
      </c>
      <c r="B1470" s="1">
        <v>41544</v>
      </c>
      <c r="C1470" s="1">
        <v>41544</v>
      </c>
      <c r="D1470" t="s">
        <v>544</v>
      </c>
      <c r="E1470" t="s">
        <v>169</v>
      </c>
      <c r="F1470" t="s">
        <v>31</v>
      </c>
      <c r="G1470" t="s">
        <v>2105</v>
      </c>
      <c r="H1470">
        <v>35.4</v>
      </c>
      <c r="I1470">
        <v>5</v>
      </c>
      <c r="J1470">
        <v>13.452</v>
      </c>
      <c r="K1470">
        <v>2013</v>
      </c>
      <c r="L1470">
        <v>9</v>
      </c>
      <c r="M1470" t="s">
        <v>87</v>
      </c>
      <c r="N1470">
        <v>27</v>
      </c>
      <c r="O1470">
        <v>0</v>
      </c>
      <c r="P1470">
        <v>38</v>
      </c>
      <c r="Q1470">
        <v>7.08</v>
      </c>
      <c r="R1470" t="s">
        <v>26</v>
      </c>
      <c r="S1470" t="b">
        <v>0</v>
      </c>
      <c r="T1470" t="b">
        <v>0</v>
      </c>
    </row>
    <row r="1471" spans="1:20" x14ac:dyDescent="0.3">
      <c r="A1471" t="s">
        <v>2424</v>
      </c>
      <c r="B1471" s="1">
        <v>41544</v>
      </c>
      <c r="C1471" s="1">
        <v>41544</v>
      </c>
      <c r="D1471" t="s">
        <v>544</v>
      </c>
      <c r="E1471" t="s">
        <v>169</v>
      </c>
      <c r="F1471" t="s">
        <v>72</v>
      </c>
      <c r="G1471" t="s">
        <v>356</v>
      </c>
      <c r="H1471">
        <v>29.9</v>
      </c>
      <c r="I1471">
        <v>5</v>
      </c>
      <c r="J1471">
        <v>13.455</v>
      </c>
      <c r="K1471">
        <v>2013</v>
      </c>
      <c r="L1471">
        <v>9</v>
      </c>
      <c r="M1471" t="s">
        <v>87</v>
      </c>
      <c r="N1471">
        <v>27</v>
      </c>
      <c r="O1471">
        <v>0</v>
      </c>
      <c r="P1471">
        <v>45</v>
      </c>
      <c r="Q1471">
        <v>5.98</v>
      </c>
      <c r="R1471" t="s">
        <v>26</v>
      </c>
      <c r="S1471" t="b">
        <v>0</v>
      </c>
      <c r="T1471" t="b">
        <v>0</v>
      </c>
    </row>
    <row r="1472" spans="1:20" x14ac:dyDescent="0.3">
      <c r="A1472" t="s">
        <v>2425</v>
      </c>
      <c r="B1472" s="1">
        <v>41745</v>
      </c>
      <c r="C1472" s="1">
        <v>41747</v>
      </c>
      <c r="D1472" t="s">
        <v>671</v>
      </c>
      <c r="E1472" t="s">
        <v>22</v>
      </c>
      <c r="F1472" t="s">
        <v>72</v>
      </c>
      <c r="G1472" t="s">
        <v>141</v>
      </c>
      <c r="H1472">
        <v>79.14</v>
      </c>
      <c r="I1472">
        <v>3</v>
      </c>
      <c r="J1472">
        <v>36.404400000000003</v>
      </c>
      <c r="K1472">
        <v>2014</v>
      </c>
      <c r="L1472">
        <v>4</v>
      </c>
      <c r="M1472" t="s">
        <v>236</v>
      </c>
      <c r="N1472">
        <v>16</v>
      </c>
      <c r="O1472">
        <v>2</v>
      </c>
      <c r="P1472">
        <v>46</v>
      </c>
      <c r="Q1472">
        <v>26.38</v>
      </c>
      <c r="R1472" t="s">
        <v>26</v>
      </c>
      <c r="S1472" t="b">
        <v>0</v>
      </c>
      <c r="T1472" t="b">
        <v>0</v>
      </c>
    </row>
    <row r="1473" spans="1:20" x14ac:dyDescent="0.3">
      <c r="A1473" t="s">
        <v>2426</v>
      </c>
      <c r="B1473" s="1">
        <v>41895</v>
      </c>
      <c r="C1473" s="1">
        <v>41900</v>
      </c>
      <c r="D1473" t="s">
        <v>1413</v>
      </c>
      <c r="E1473" t="s">
        <v>22</v>
      </c>
      <c r="F1473" t="s">
        <v>72</v>
      </c>
      <c r="G1473" t="s">
        <v>1102</v>
      </c>
      <c r="H1473">
        <v>166.44</v>
      </c>
      <c r="I1473">
        <v>3</v>
      </c>
      <c r="J1473">
        <v>79.891199999999998</v>
      </c>
      <c r="K1473">
        <v>2014</v>
      </c>
      <c r="L1473">
        <v>9</v>
      </c>
      <c r="M1473" t="s">
        <v>87</v>
      </c>
      <c r="N1473">
        <v>13</v>
      </c>
      <c r="O1473">
        <v>5</v>
      </c>
      <c r="P1473">
        <v>48</v>
      </c>
      <c r="Q1473">
        <v>55.48</v>
      </c>
      <c r="R1473" t="s">
        <v>26</v>
      </c>
      <c r="S1473" t="b">
        <v>0</v>
      </c>
      <c r="T1473" t="b">
        <v>0</v>
      </c>
    </row>
    <row r="1474" spans="1:20" x14ac:dyDescent="0.3">
      <c r="A1474" t="s">
        <v>2427</v>
      </c>
      <c r="B1474" s="1">
        <v>40873</v>
      </c>
      <c r="C1474" s="1">
        <v>40878</v>
      </c>
      <c r="D1474" t="s">
        <v>109</v>
      </c>
      <c r="E1474" t="s">
        <v>51</v>
      </c>
      <c r="F1474" t="s">
        <v>72</v>
      </c>
      <c r="G1474" t="s">
        <v>2428</v>
      </c>
      <c r="H1474">
        <v>81.98</v>
      </c>
      <c r="I1474">
        <v>2</v>
      </c>
      <c r="J1474">
        <v>40.170200000000001</v>
      </c>
      <c r="K1474">
        <v>2011</v>
      </c>
      <c r="L1474">
        <v>11</v>
      </c>
      <c r="M1474" t="s">
        <v>70</v>
      </c>
      <c r="N1474">
        <v>26</v>
      </c>
      <c r="O1474">
        <v>5</v>
      </c>
      <c r="P1474">
        <v>49</v>
      </c>
      <c r="Q1474">
        <v>40.99</v>
      </c>
      <c r="R1474" t="s">
        <v>26</v>
      </c>
      <c r="S1474" t="b">
        <v>0</v>
      </c>
      <c r="T1474" t="b">
        <v>0</v>
      </c>
    </row>
    <row r="1475" spans="1:20" x14ac:dyDescent="0.3">
      <c r="A1475" t="s">
        <v>2429</v>
      </c>
      <c r="B1475" s="1">
        <v>41718</v>
      </c>
      <c r="C1475" s="1">
        <v>41721</v>
      </c>
      <c r="D1475" t="s">
        <v>1044</v>
      </c>
      <c r="E1475" t="s">
        <v>737</v>
      </c>
      <c r="F1475" t="s">
        <v>33</v>
      </c>
      <c r="G1475" t="s">
        <v>2430</v>
      </c>
      <c r="H1475">
        <v>14.624000000000001</v>
      </c>
      <c r="I1475">
        <v>2</v>
      </c>
      <c r="J1475">
        <v>5.1184000000000003</v>
      </c>
      <c r="K1475">
        <v>2014</v>
      </c>
      <c r="L1475">
        <v>3</v>
      </c>
      <c r="M1475" t="s">
        <v>135</v>
      </c>
      <c r="N1475">
        <v>20</v>
      </c>
      <c r="O1475">
        <v>3</v>
      </c>
      <c r="P1475">
        <v>35</v>
      </c>
      <c r="Q1475">
        <v>7.3120000000000003</v>
      </c>
      <c r="R1475" t="s">
        <v>26</v>
      </c>
      <c r="S1475" t="b">
        <v>0</v>
      </c>
      <c r="T1475" t="b">
        <v>0</v>
      </c>
    </row>
    <row r="1476" spans="1:20" x14ac:dyDescent="0.3">
      <c r="A1476" t="s">
        <v>2429</v>
      </c>
      <c r="B1476" s="1">
        <v>41718</v>
      </c>
      <c r="C1476" s="1">
        <v>41721</v>
      </c>
      <c r="D1476" t="s">
        <v>1044</v>
      </c>
      <c r="E1476" t="s">
        <v>737</v>
      </c>
      <c r="F1476" t="s">
        <v>29</v>
      </c>
      <c r="G1476" t="s">
        <v>2431</v>
      </c>
      <c r="H1476">
        <v>30.93</v>
      </c>
      <c r="I1476">
        <v>1</v>
      </c>
      <c r="J1476">
        <v>12.6813</v>
      </c>
      <c r="K1476">
        <v>2014</v>
      </c>
      <c r="L1476">
        <v>3</v>
      </c>
      <c r="M1476" t="s">
        <v>135</v>
      </c>
      <c r="N1476">
        <v>20</v>
      </c>
      <c r="O1476">
        <v>3</v>
      </c>
      <c r="P1476">
        <v>41</v>
      </c>
      <c r="Q1476">
        <v>30.93</v>
      </c>
      <c r="R1476" t="s">
        <v>26</v>
      </c>
      <c r="S1476" t="b">
        <v>0</v>
      </c>
      <c r="T1476" t="b">
        <v>0</v>
      </c>
    </row>
    <row r="1477" spans="1:20" x14ac:dyDescent="0.3">
      <c r="A1477" t="s">
        <v>2429</v>
      </c>
      <c r="B1477" s="1">
        <v>41718</v>
      </c>
      <c r="C1477" s="1">
        <v>41721</v>
      </c>
      <c r="D1477" t="s">
        <v>1044</v>
      </c>
      <c r="E1477" t="s">
        <v>737</v>
      </c>
      <c r="F1477" t="s">
        <v>33</v>
      </c>
      <c r="G1477" t="s">
        <v>1993</v>
      </c>
      <c r="H1477">
        <v>27.495999999999999</v>
      </c>
      <c r="I1477">
        <v>7</v>
      </c>
      <c r="J1477">
        <v>9.2798999999999996</v>
      </c>
      <c r="K1477">
        <v>2014</v>
      </c>
      <c r="L1477">
        <v>3</v>
      </c>
      <c r="M1477" t="s">
        <v>135</v>
      </c>
      <c r="N1477">
        <v>20</v>
      </c>
      <c r="O1477">
        <v>3</v>
      </c>
      <c r="P1477">
        <v>33.75</v>
      </c>
      <c r="Q1477">
        <v>3.9279999999999999</v>
      </c>
      <c r="R1477" t="s">
        <v>26</v>
      </c>
      <c r="S1477" t="b">
        <v>0</v>
      </c>
      <c r="T1477" t="b">
        <v>0</v>
      </c>
    </row>
    <row r="1478" spans="1:20" x14ac:dyDescent="0.3">
      <c r="A1478" t="s">
        <v>2432</v>
      </c>
      <c r="B1478" s="1">
        <v>41874</v>
      </c>
      <c r="C1478" s="1">
        <v>41875</v>
      </c>
      <c r="D1478" t="s">
        <v>2433</v>
      </c>
      <c r="E1478" t="s">
        <v>51</v>
      </c>
      <c r="F1478" t="s">
        <v>174</v>
      </c>
      <c r="G1478" t="s">
        <v>2434</v>
      </c>
      <c r="H1478">
        <v>210.00800000000001</v>
      </c>
      <c r="I1478">
        <v>1</v>
      </c>
      <c r="J1478">
        <v>2.6251000000000002</v>
      </c>
      <c r="K1478">
        <v>2014</v>
      </c>
      <c r="L1478">
        <v>8</v>
      </c>
      <c r="M1478" t="s">
        <v>53</v>
      </c>
      <c r="N1478">
        <v>23</v>
      </c>
      <c r="O1478">
        <v>1</v>
      </c>
      <c r="P1478">
        <v>1.25</v>
      </c>
      <c r="Q1478">
        <v>210.00800000000001</v>
      </c>
      <c r="R1478" t="s">
        <v>48</v>
      </c>
      <c r="S1478" t="b">
        <v>0</v>
      </c>
      <c r="T1478" t="b">
        <v>0</v>
      </c>
    </row>
    <row r="1479" spans="1:20" x14ac:dyDescent="0.3">
      <c r="A1479" t="s">
        <v>2435</v>
      </c>
      <c r="B1479" s="1">
        <v>41529</v>
      </c>
      <c r="C1479" s="1">
        <v>41535</v>
      </c>
      <c r="D1479" t="s">
        <v>2436</v>
      </c>
      <c r="E1479" t="s">
        <v>139</v>
      </c>
      <c r="F1479" t="s">
        <v>45</v>
      </c>
      <c r="G1479" t="s">
        <v>2437</v>
      </c>
      <c r="H1479">
        <v>332.94</v>
      </c>
      <c r="I1479">
        <v>3</v>
      </c>
      <c r="J1479">
        <v>6.6588000000000003</v>
      </c>
      <c r="K1479">
        <v>2013</v>
      </c>
      <c r="L1479">
        <v>9</v>
      </c>
      <c r="M1479" t="s">
        <v>87</v>
      </c>
      <c r="N1479">
        <v>12</v>
      </c>
      <c r="O1479">
        <v>6</v>
      </c>
      <c r="P1479">
        <v>2</v>
      </c>
      <c r="Q1479">
        <v>110.98</v>
      </c>
      <c r="R1479" t="s">
        <v>26</v>
      </c>
      <c r="S1479" t="b">
        <v>0</v>
      </c>
      <c r="T1479" t="b">
        <v>1</v>
      </c>
    </row>
    <row r="1480" spans="1:20" x14ac:dyDescent="0.3">
      <c r="A1480" t="s">
        <v>2435</v>
      </c>
      <c r="B1480" s="1">
        <v>41529</v>
      </c>
      <c r="C1480" s="1">
        <v>41535</v>
      </c>
      <c r="D1480" t="s">
        <v>2436</v>
      </c>
      <c r="E1480" t="s">
        <v>139</v>
      </c>
      <c r="F1480" t="s">
        <v>33</v>
      </c>
      <c r="G1480" t="s">
        <v>345</v>
      </c>
      <c r="H1480">
        <v>39.872</v>
      </c>
      <c r="I1480">
        <v>2</v>
      </c>
      <c r="J1480">
        <v>12.958399999999999</v>
      </c>
      <c r="K1480">
        <v>2013</v>
      </c>
      <c r="L1480">
        <v>9</v>
      </c>
      <c r="M1480" t="s">
        <v>87</v>
      </c>
      <c r="N1480">
        <v>12</v>
      </c>
      <c r="O1480">
        <v>6</v>
      </c>
      <c r="P1480">
        <v>32.5</v>
      </c>
      <c r="Q1480">
        <v>19.936</v>
      </c>
      <c r="R1480" t="s">
        <v>26</v>
      </c>
      <c r="S1480" t="b">
        <v>0</v>
      </c>
      <c r="T1480" t="b">
        <v>0</v>
      </c>
    </row>
    <row r="1481" spans="1:20" x14ac:dyDescent="0.3">
      <c r="A1481" t="s">
        <v>2438</v>
      </c>
      <c r="B1481" s="1">
        <v>41541</v>
      </c>
      <c r="C1481" s="1">
        <v>41544</v>
      </c>
      <c r="D1481" t="s">
        <v>2439</v>
      </c>
      <c r="E1481" t="s">
        <v>39</v>
      </c>
      <c r="F1481" t="s">
        <v>122</v>
      </c>
      <c r="G1481" t="s">
        <v>2440</v>
      </c>
      <c r="H1481">
        <v>13.68</v>
      </c>
      <c r="I1481">
        <v>2</v>
      </c>
      <c r="J1481">
        <v>3.6936</v>
      </c>
      <c r="K1481">
        <v>2013</v>
      </c>
      <c r="L1481">
        <v>9</v>
      </c>
      <c r="M1481" t="s">
        <v>87</v>
      </c>
      <c r="N1481">
        <v>24</v>
      </c>
      <c r="O1481">
        <v>3</v>
      </c>
      <c r="P1481">
        <v>27</v>
      </c>
      <c r="Q1481">
        <v>6.84</v>
      </c>
      <c r="R1481" t="s">
        <v>26</v>
      </c>
      <c r="S1481" t="b">
        <v>0</v>
      </c>
      <c r="T1481" t="b">
        <v>0</v>
      </c>
    </row>
    <row r="1482" spans="1:20" x14ac:dyDescent="0.3">
      <c r="A1482" t="s">
        <v>2441</v>
      </c>
      <c r="B1482" s="1">
        <v>41489</v>
      </c>
      <c r="C1482" s="1">
        <v>41491</v>
      </c>
      <c r="D1482" t="s">
        <v>2442</v>
      </c>
      <c r="E1482" t="s">
        <v>22</v>
      </c>
      <c r="F1482" t="s">
        <v>174</v>
      </c>
      <c r="G1482" t="s">
        <v>2443</v>
      </c>
      <c r="H1482">
        <v>136.464</v>
      </c>
      <c r="I1482">
        <v>2</v>
      </c>
      <c r="J1482">
        <v>15.3522</v>
      </c>
      <c r="K1482">
        <v>2013</v>
      </c>
      <c r="L1482">
        <v>8</v>
      </c>
      <c r="M1482" t="s">
        <v>53</v>
      </c>
      <c r="N1482">
        <v>3</v>
      </c>
      <c r="O1482">
        <v>2</v>
      </c>
      <c r="P1482">
        <v>11.25</v>
      </c>
      <c r="Q1482">
        <v>68.231999999999999</v>
      </c>
      <c r="R1482" t="s">
        <v>26</v>
      </c>
      <c r="S1482" t="b">
        <v>0</v>
      </c>
      <c r="T1482" t="b">
        <v>0</v>
      </c>
    </row>
    <row r="1483" spans="1:20" x14ac:dyDescent="0.3">
      <c r="A1483" t="s">
        <v>2441</v>
      </c>
      <c r="B1483" s="1">
        <v>41489</v>
      </c>
      <c r="C1483" s="1">
        <v>41491</v>
      </c>
      <c r="D1483" t="s">
        <v>2442</v>
      </c>
      <c r="E1483" t="s">
        <v>22</v>
      </c>
      <c r="F1483" t="s">
        <v>54</v>
      </c>
      <c r="G1483" t="s">
        <v>180</v>
      </c>
      <c r="H1483">
        <v>333.57600000000002</v>
      </c>
      <c r="I1483">
        <v>3</v>
      </c>
      <c r="J1483">
        <v>33.357599999999998</v>
      </c>
      <c r="K1483">
        <v>2013</v>
      </c>
      <c r="L1483">
        <v>8</v>
      </c>
      <c r="M1483" t="s">
        <v>53</v>
      </c>
      <c r="N1483">
        <v>3</v>
      </c>
      <c r="O1483">
        <v>2</v>
      </c>
      <c r="P1483">
        <v>10</v>
      </c>
      <c r="Q1483">
        <v>111.19199999999999</v>
      </c>
      <c r="R1483" t="s">
        <v>26</v>
      </c>
      <c r="S1483" t="b">
        <v>0</v>
      </c>
      <c r="T1483" t="b">
        <v>1</v>
      </c>
    </row>
    <row r="1484" spans="1:20" x14ac:dyDescent="0.3">
      <c r="A1484" t="s">
        <v>2441</v>
      </c>
      <c r="B1484" s="1">
        <v>41489</v>
      </c>
      <c r="C1484" s="1">
        <v>41491</v>
      </c>
      <c r="D1484" t="s">
        <v>2442</v>
      </c>
      <c r="E1484" t="s">
        <v>22</v>
      </c>
      <c r="F1484" t="s">
        <v>33</v>
      </c>
      <c r="G1484" t="s">
        <v>2444</v>
      </c>
      <c r="H1484">
        <v>12.544</v>
      </c>
      <c r="I1484">
        <v>2</v>
      </c>
      <c r="J1484">
        <v>4.7039999999999997</v>
      </c>
      <c r="K1484">
        <v>2013</v>
      </c>
      <c r="L1484">
        <v>8</v>
      </c>
      <c r="M1484" t="s">
        <v>53</v>
      </c>
      <c r="N1484">
        <v>3</v>
      </c>
      <c r="O1484">
        <v>2</v>
      </c>
      <c r="P1484">
        <v>37.5</v>
      </c>
      <c r="Q1484">
        <v>6.2720000000000002</v>
      </c>
      <c r="R1484" t="s">
        <v>26</v>
      </c>
      <c r="S1484" t="b">
        <v>0</v>
      </c>
      <c r="T1484" t="b">
        <v>0</v>
      </c>
    </row>
    <row r="1485" spans="1:20" x14ac:dyDescent="0.3">
      <c r="A1485" t="s">
        <v>2445</v>
      </c>
      <c r="B1485" s="1">
        <v>41947</v>
      </c>
      <c r="C1485" s="1">
        <v>41949</v>
      </c>
      <c r="D1485" t="s">
        <v>2446</v>
      </c>
      <c r="E1485" t="s">
        <v>39</v>
      </c>
      <c r="F1485" t="s">
        <v>61</v>
      </c>
      <c r="G1485" t="s">
        <v>1809</v>
      </c>
      <c r="H1485">
        <v>43.5</v>
      </c>
      <c r="I1485">
        <v>3</v>
      </c>
      <c r="J1485">
        <v>10.875</v>
      </c>
      <c r="K1485">
        <v>2014</v>
      </c>
      <c r="L1485">
        <v>11</v>
      </c>
      <c r="M1485" t="s">
        <v>70</v>
      </c>
      <c r="N1485">
        <v>4</v>
      </c>
      <c r="O1485">
        <v>2</v>
      </c>
      <c r="P1485">
        <v>25</v>
      </c>
      <c r="Q1485">
        <v>14.5</v>
      </c>
      <c r="R1485" t="s">
        <v>26</v>
      </c>
      <c r="S1485" t="b">
        <v>0</v>
      </c>
      <c r="T1485" t="b">
        <v>0</v>
      </c>
    </row>
    <row r="1486" spans="1:20" x14ac:dyDescent="0.3">
      <c r="A1486" t="s">
        <v>2447</v>
      </c>
      <c r="B1486" s="1">
        <v>40609</v>
      </c>
      <c r="C1486" s="1">
        <v>40613</v>
      </c>
      <c r="D1486" t="s">
        <v>1114</v>
      </c>
      <c r="E1486" t="s">
        <v>267</v>
      </c>
      <c r="F1486" t="s">
        <v>33</v>
      </c>
      <c r="G1486" t="s">
        <v>2448</v>
      </c>
      <c r="H1486">
        <v>107.648</v>
      </c>
      <c r="I1486">
        <v>2</v>
      </c>
      <c r="J1486">
        <v>33.64</v>
      </c>
      <c r="K1486">
        <v>2011</v>
      </c>
      <c r="L1486">
        <v>3</v>
      </c>
      <c r="M1486" t="s">
        <v>135</v>
      </c>
      <c r="N1486">
        <v>7</v>
      </c>
      <c r="O1486">
        <v>4</v>
      </c>
      <c r="P1486">
        <v>31.25</v>
      </c>
      <c r="Q1486">
        <v>53.823999999999998</v>
      </c>
      <c r="R1486" t="s">
        <v>26</v>
      </c>
      <c r="S1486" t="b">
        <v>0</v>
      </c>
      <c r="T1486" t="b">
        <v>0</v>
      </c>
    </row>
    <row r="1487" spans="1:20" x14ac:dyDescent="0.3">
      <c r="A1487" t="s">
        <v>2449</v>
      </c>
      <c r="B1487" s="1">
        <v>41643</v>
      </c>
      <c r="C1487" s="1">
        <v>41648</v>
      </c>
      <c r="D1487" t="s">
        <v>2450</v>
      </c>
      <c r="E1487" t="s">
        <v>1187</v>
      </c>
      <c r="F1487" t="s">
        <v>72</v>
      </c>
      <c r="G1487" t="s">
        <v>1820</v>
      </c>
      <c r="H1487">
        <v>38.880000000000003</v>
      </c>
      <c r="I1487">
        <v>6</v>
      </c>
      <c r="J1487">
        <v>18.662400000000002</v>
      </c>
      <c r="K1487">
        <v>2014</v>
      </c>
      <c r="L1487">
        <v>1</v>
      </c>
      <c r="M1487" t="s">
        <v>60</v>
      </c>
      <c r="N1487">
        <v>4</v>
      </c>
      <c r="O1487">
        <v>5</v>
      </c>
      <c r="P1487">
        <v>48</v>
      </c>
      <c r="Q1487">
        <v>6.48</v>
      </c>
      <c r="R1487" t="s">
        <v>48</v>
      </c>
      <c r="S1487" t="b">
        <v>0</v>
      </c>
      <c r="T1487" t="b">
        <v>0</v>
      </c>
    </row>
    <row r="1488" spans="1:20" x14ac:dyDescent="0.3">
      <c r="A1488" t="s">
        <v>2451</v>
      </c>
      <c r="B1488" s="1">
        <v>41922</v>
      </c>
      <c r="C1488" s="1">
        <v>41924</v>
      </c>
      <c r="D1488" t="s">
        <v>326</v>
      </c>
      <c r="E1488" t="s">
        <v>22</v>
      </c>
      <c r="F1488" t="s">
        <v>72</v>
      </c>
      <c r="G1488" t="s">
        <v>2452</v>
      </c>
      <c r="H1488">
        <v>35.200000000000003</v>
      </c>
      <c r="I1488">
        <v>5</v>
      </c>
      <c r="J1488">
        <v>16.544</v>
      </c>
      <c r="K1488">
        <v>2014</v>
      </c>
      <c r="L1488">
        <v>10</v>
      </c>
      <c r="M1488" t="s">
        <v>82</v>
      </c>
      <c r="N1488">
        <v>10</v>
      </c>
      <c r="O1488">
        <v>2</v>
      </c>
      <c r="P1488">
        <v>47</v>
      </c>
      <c r="Q1488">
        <v>7.0400000000000009</v>
      </c>
      <c r="R1488" t="s">
        <v>26</v>
      </c>
      <c r="S1488" t="b">
        <v>0</v>
      </c>
      <c r="T1488" t="b">
        <v>0</v>
      </c>
    </row>
    <row r="1489" spans="1:20" x14ac:dyDescent="0.3">
      <c r="A1489" t="s">
        <v>2453</v>
      </c>
      <c r="B1489" s="1">
        <v>41913</v>
      </c>
      <c r="C1489" s="1">
        <v>41916</v>
      </c>
      <c r="D1489" t="s">
        <v>1672</v>
      </c>
      <c r="E1489" t="s">
        <v>39</v>
      </c>
      <c r="F1489" t="s">
        <v>72</v>
      </c>
      <c r="G1489" t="s">
        <v>1706</v>
      </c>
      <c r="H1489">
        <v>11.76</v>
      </c>
      <c r="I1489">
        <v>2</v>
      </c>
      <c r="J1489">
        <v>5.7624000000000004</v>
      </c>
      <c r="K1489">
        <v>2014</v>
      </c>
      <c r="L1489">
        <v>10</v>
      </c>
      <c r="M1489" t="s">
        <v>82</v>
      </c>
      <c r="N1489">
        <v>1</v>
      </c>
      <c r="O1489">
        <v>3</v>
      </c>
      <c r="P1489">
        <v>49</v>
      </c>
      <c r="Q1489">
        <v>5.88</v>
      </c>
      <c r="R1489" t="s">
        <v>26</v>
      </c>
      <c r="S1489" t="b">
        <v>0</v>
      </c>
      <c r="T1489" t="b">
        <v>0</v>
      </c>
    </row>
    <row r="1490" spans="1:20" x14ac:dyDescent="0.3">
      <c r="A1490" t="s">
        <v>2453</v>
      </c>
      <c r="B1490" s="1">
        <v>41913</v>
      </c>
      <c r="C1490" s="1">
        <v>41916</v>
      </c>
      <c r="D1490" t="s">
        <v>1672</v>
      </c>
      <c r="E1490" t="s">
        <v>39</v>
      </c>
      <c r="F1490" t="s">
        <v>72</v>
      </c>
      <c r="G1490" t="s">
        <v>2454</v>
      </c>
      <c r="H1490">
        <v>167.94</v>
      </c>
      <c r="I1490">
        <v>3</v>
      </c>
      <c r="J1490">
        <v>82.290599999999998</v>
      </c>
      <c r="K1490">
        <v>2014</v>
      </c>
      <c r="L1490">
        <v>10</v>
      </c>
      <c r="M1490" t="s">
        <v>82</v>
      </c>
      <c r="N1490">
        <v>1</v>
      </c>
      <c r="O1490">
        <v>3</v>
      </c>
      <c r="P1490">
        <v>49</v>
      </c>
      <c r="Q1490">
        <v>55.98</v>
      </c>
      <c r="R1490" t="s">
        <v>26</v>
      </c>
      <c r="S1490" t="b">
        <v>0</v>
      </c>
      <c r="T1490" t="b">
        <v>0</v>
      </c>
    </row>
    <row r="1491" spans="1:20" x14ac:dyDescent="0.3">
      <c r="A1491" t="s">
        <v>2453</v>
      </c>
      <c r="B1491" s="1">
        <v>41913</v>
      </c>
      <c r="C1491" s="1">
        <v>41916</v>
      </c>
      <c r="D1491" t="s">
        <v>1672</v>
      </c>
      <c r="E1491" t="s">
        <v>39</v>
      </c>
      <c r="F1491" t="s">
        <v>35</v>
      </c>
      <c r="G1491" t="s">
        <v>2455</v>
      </c>
      <c r="H1491">
        <v>3.89</v>
      </c>
      <c r="I1491">
        <v>1</v>
      </c>
      <c r="J1491">
        <v>1.0114000000000001</v>
      </c>
      <c r="K1491">
        <v>2014</v>
      </c>
      <c r="L1491">
        <v>10</v>
      </c>
      <c r="M1491" t="s">
        <v>82</v>
      </c>
      <c r="N1491">
        <v>1</v>
      </c>
      <c r="O1491">
        <v>3</v>
      </c>
      <c r="P1491">
        <v>26</v>
      </c>
      <c r="Q1491">
        <v>3.89</v>
      </c>
      <c r="R1491" t="s">
        <v>26</v>
      </c>
      <c r="S1491" t="b">
        <v>0</v>
      </c>
      <c r="T1491" t="b">
        <v>0</v>
      </c>
    </row>
    <row r="1492" spans="1:20" x14ac:dyDescent="0.3">
      <c r="A1492" t="s">
        <v>2456</v>
      </c>
      <c r="B1492" s="1">
        <v>41894</v>
      </c>
      <c r="C1492" s="1">
        <v>41894</v>
      </c>
      <c r="D1492" t="s">
        <v>2457</v>
      </c>
      <c r="E1492" t="s">
        <v>51</v>
      </c>
      <c r="F1492" t="s">
        <v>29</v>
      </c>
      <c r="G1492" t="s">
        <v>2458</v>
      </c>
      <c r="H1492">
        <v>32.36</v>
      </c>
      <c r="I1492">
        <v>4</v>
      </c>
      <c r="J1492">
        <v>11.6496</v>
      </c>
      <c r="K1492">
        <v>2014</v>
      </c>
      <c r="L1492">
        <v>9</v>
      </c>
      <c r="M1492" t="s">
        <v>87</v>
      </c>
      <c r="N1492">
        <v>12</v>
      </c>
      <c r="O1492">
        <v>0</v>
      </c>
      <c r="P1492">
        <v>36</v>
      </c>
      <c r="Q1492">
        <v>8.09</v>
      </c>
      <c r="R1492" t="s">
        <v>26</v>
      </c>
      <c r="S1492" t="b">
        <v>0</v>
      </c>
      <c r="T1492" t="b">
        <v>0</v>
      </c>
    </row>
    <row r="1493" spans="1:20" x14ac:dyDescent="0.3">
      <c r="A1493" t="s">
        <v>2456</v>
      </c>
      <c r="B1493" s="1">
        <v>41894</v>
      </c>
      <c r="C1493" s="1">
        <v>41894</v>
      </c>
      <c r="D1493" t="s">
        <v>2457</v>
      </c>
      <c r="E1493" t="s">
        <v>51</v>
      </c>
      <c r="F1493" t="s">
        <v>35</v>
      </c>
      <c r="G1493" t="s">
        <v>1805</v>
      </c>
      <c r="H1493">
        <v>406.6</v>
      </c>
      <c r="I1493">
        <v>5</v>
      </c>
      <c r="J1493">
        <v>113.848</v>
      </c>
      <c r="K1493">
        <v>2014</v>
      </c>
      <c r="L1493">
        <v>9</v>
      </c>
      <c r="M1493" t="s">
        <v>87</v>
      </c>
      <c r="N1493">
        <v>12</v>
      </c>
      <c r="O1493">
        <v>0</v>
      </c>
      <c r="P1493">
        <v>28</v>
      </c>
      <c r="Q1493">
        <v>81.320000000000007</v>
      </c>
      <c r="R1493" t="s">
        <v>26</v>
      </c>
      <c r="S1493" t="b">
        <v>0</v>
      </c>
      <c r="T1493" t="b">
        <v>1</v>
      </c>
    </row>
    <row r="1494" spans="1:20" x14ac:dyDescent="0.3">
      <c r="A1494" t="s">
        <v>2459</v>
      </c>
      <c r="B1494" s="1">
        <v>41656</v>
      </c>
      <c r="C1494" s="1">
        <v>41656</v>
      </c>
      <c r="D1494" t="s">
        <v>1969</v>
      </c>
      <c r="E1494" t="s">
        <v>22</v>
      </c>
      <c r="F1494" t="s">
        <v>29</v>
      </c>
      <c r="G1494" t="s">
        <v>30</v>
      </c>
      <c r="H1494">
        <v>27.92</v>
      </c>
      <c r="I1494">
        <v>4</v>
      </c>
      <c r="J1494">
        <v>8.0968</v>
      </c>
      <c r="K1494">
        <v>2014</v>
      </c>
      <c r="L1494">
        <v>1</v>
      </c>
      <c r="M1494" t="s">
        <v>60</v>
      </c>
      <c r="N1494">
        <v>17</v>
      </c>
      <c r="O1494">
        <v>0</v>
      </c>
      <c r="P1494">
        <v>29</v>
      </c>
      <c r="Q1494">
        <v>6.98</v>
      </c>
      <c r="R1494" t="s">
        <v>26</v>
      </c>
      <c r="S1494" t="b">
        <v>0</v>
      </c>
      <c r="T1494" t="b">
        <v>0</v>
      </c>
    </row>
    <row r="1495" spans="1:20" x14ac:dyDescent="0.3">
      <c r="A1495" t="s">
        <v>2459</v>
      </c>
      <c r="B1495" s="1">
        <v>41656</v>
      </c>
      <c r="C1495" s="1">
        <v>41656</v>
      </c>
      <c r="D1495" t="s">
        <v>1969</v>
      </c>
      <c r="E1495" t="s">
        <v>22</v>
      </c>
      <c r="F1495" t="s">
        <v>174</v>
      </c>
      <c r="G1495" t="s">
        <v>1639</v>
      </c>
      <c r="H1495">
        <v>399.67200000000003</v>
      </c>
      <c r="I1495">
        <v>7</v>
      </c>
      <c r="J1495">
        <v>-14.9877</v>
      </c>
      <c r="K1495">
        <v>2014</v>
      </c>
      <c r="L1495">
        <v>1</v>
      </c>
      <c r="M1495" t="s">
        <v>60</v>
      </c>
      <c r="N1495">
        <v>17</v>
      </c>
      <c r="O1495">
        <v>0</v>
      </c>
      <c r="P1495">
        <v>-3.75</v>
      </c>
      <c r="Q1495">
        <v>57.095999999999997</v>
      </c>
      <c r="R1495" t="s">
        <v>26</v>
      </c>
      <c r="S1495" t="b">
        <v>1</v>
      </c>
      <c r="T1495" t="b">
        <v>1</v>
      </c>
    </row>
    <row r="1496" spans="1:20" x14ac:dyDescent="0.3">
      <c r="A1496" t="s">
        <v>2460</v>
      </c>
      <c r="B1496" s="1">
        <v>40632</v>
      </c>
      <c r="C1496" s="1">
        <v>40637</v>
      </c>
      <c r="D1496" t="s">
        <v>464</v>
      </c>
      <c r="E1496" t="s">
        <v>39</v>
      </c>
      <c r="F1496" t="s">
        <v>45</v>
      </c>
      <c r="G1496" t="s">
        <v>1906</v>
      </c>
      <c r="H1496">
        <v>15.84</v>
      </c>
      <c r="I1496">
        <v>3</v>
      </c>
      <c r="J1496">
        <v>0</v>
      </c>
      <c r="K1496">
        <v>2011</v>
      </c>
      <c r="L1496">
        <v>3</v>
      </c>
      <c r="M1496" t="s">
        <v>135</v>
      </c>
      <c r="N1496">
        <v>30</v>
      </c>
      <c r="O1496">
        <v>5</v>
      </c>
      <c r="P1496">
        <v>0</v>
      </c>
      <c r="Q1496">
        <v>5.28</v>
      </c>
      <c r="R1496" t="s">
        <v>26</v>
      </c>
      <c r="S1496" t="b">
        <v>0</v>
      </c>
      <c r="T1496" t="b">
        <v>0</v>
      </c>
    </row>
    <row r="1497" spans="1:20" x14ac:dyDescent="0.3">
      <c r="A1497" t="s">
        <v>2460</v>
      </c>
      <c r="B1497" s="1">
        <v>40632</v>
      </c>
      <c r="C1497" s="1">
        <v>40637</v>
      </c>
      <c r="D1497" t="s">
        <v>464</v>
      </c>
      <c r="E1497" t="s">
        <v>39</v>
      </c>
      <c r="F1497" t="s">
        <v>23</v>
      </c>
      <c r="G1497" t="s">
        <v>804</v>
      </c>
      <c r="H1497">
        <v>44.4</v>
      </c>
      <c r="I1497">
        <v>3</v>
      </c>
      <c r="J1497">
        <v>22.2</v>
      </c>
      <c r="K1497">
        <v>2011</v>
      </c>
      <c r="L1497">
        <v>3</v>
      </c>
      <c r="M1497" t="s">
        <v>135</v>
      </c>
      <c r="N1497">
        <v>30</v>
      </c>
      <c r="O1497">
        <v>5</v>
      </c>
      <c r="P1497">
        <v>50</v>
      </c>
      <c r="Q1497">
        <v>14.8</v>
      </c>
      <c r="R1497" t="s">
        <v>26</v>
      </c>
      <c r="S1497" t="b">
        <v>0</v>
      </c>
      <c r="T1497" t="b">
        <v>0</v>
      </c>
    </row>
    <row r="1498" spans="1:20" x14ac:dyDescent="0.3">
      <c r="A1498" t="s">
        <v>2461</v>
      </c>
      <c r="B1498" s="1">
        <v>41765</v>
      </c>
      <c r="C1498" s="1">
        <v>41766</v>
      </c>
      <c r="D1498" t="s">
        <v>1587</v>
      </c>
      <c r="E1498" t="s">
        <v>297</v>
      </c>
      <c r="F1498" t="s">
        <v>128</v>
      </c>
      <c r="G1498" t="s">
        <v>617</v>
      </c>
      <c r="H1498">
        <v>21.24</v>
      </c>
      <c r="I1498">
        <v>9</v>
      </c>
      <c r="J1498">
        <v>7.4340000000000002</v>
      </c>
      <c r="K1498">
        <v>2014</v>
      </c>
      <c r="L1498">
        <v>5</v>
      </c>
      <c r="M1498" t="s">
        <v>47</v>
      </c>
      <c r="N1498">
        <v>6</v>
      </c>
      <c r="O1498">
        <v>1</v>
      </c>
      <c r="P1498">
        <v>35</v>
      </c>
      <c r="Q1498">
        <v>2.36</v>
      </c>
      <c r="R1498" t="s">
        <v>26</v>
      </c>
      <c r="S1498" t="b">
        <v>0</v>
      </c>
      <c r="T1498" t="b">
        <v>0</v>
      </c>
    </row>
    <row r="1499" spans="1:20" x14ac:dyDescent="0.3">
      <c r="A1499" t="s">
        <v>2461</v>
      </c>
      <c r="B1499" s="1">
        <v>41765</v>
      </c>
      <c r="C1499" s="1">
        <v>41766</v>
      </c>
      <c r="D1499" t="s">
        <v>1587</v>
      </c>
      <c r="E1499" t="s">
        <v>297</v>
      </c>
      <c r="F1499" t="s">
        <v>33</v>
      </c>
      <c r="G1499" t="s">
        <v>106</v>
      </c>
      <c r="H1499">
        <v>9.5519999999999996</v>
      </c>
      <c r="I1499">
        <v>8</v>
      </c>
      <c r="J1499">
        <v>-7.3231999999999999</v>
      </c>
      <c r="K1499">
        <v>2014</v>
      </c>
      <c r="L1499">
        <v>5</v>
      </c>
      <c r="M1499" t="s">
        <v>47</v>
      </c>
      <c r="N1499">
        <v>6</v>
      </c>
      <c r="O1499">
        <v>1</v>
      </c>
      <c r="P1499">
        <v>-76.67</v>
      </c>
      <c r="Q1499">
        <v>1.194</v>
      </c>
      <c r="R1499" t="s">
        <v>26</v>
      </c>
      <c r="S1499" t="b">
        <v>1</v>
      </c>
      <c r="T1499" t="b">
        <v>0</v>
      </c>
    </row>
    <row r="1500" spans="1:20" x14ac:dyDescent="0.3">
      <c r="A1500" t="s">
        <v>2461</v>
      </c>
      <c r="B1500" s="1">
        <v>41765</v>
      </c>
      <c r="C1500" s="1">
        <v>41766</v>
      </c>
      <c r="D1500" t="s">
        <v>1587</v>
      </c>
      <c r="E1500" t="s">
        <v>297</v>
      </c>
      <c r="F1500" t="s">
        <v>317</v>
      </c>
      <c r="G1500" t="s">
        <v>738</v>
      </c>
      <c r="H1500">
        <v>89.991</v>
      </c>
      <c r="I1500">
        <v>3</v>
      </c>
      <c r="J1500">
        <v>-152.9847</v>
      </c>
      <c r="K1500">
        <v>2014</v>
      </c>
      <c r="L1500">
        <v>5</v>
      </c>
      <c r="M1500" t="s">
        <v>47</v>
      </c>
      <c r="N1500">
        <v>6</v>
      </c>
      <c r="O1500">
        <v>1</v>
      </c>
      <c r="P1500">
        <v>-170</v>
      </c>
      <c r="Q1500">
        <v>29.997</v>
      </c>
      <c r="R1500" t="s">
        <v>26</v>
      </c>
      <c r="S1500" t="b">
        <v>1</v>
      </c>
      <c r="T1500" t="b">
        <v>0</v>
      </c>
    </row>
    <row r="1501" spans="1:20" x14ac:dyDescent="0.3">
      <c r="A1501" t="s">
        <v>2462</v>
      </c>
      <c r="B1501" s="1">
        <v>41760</v>
      </c>
      <c r="C1501" s="1">
        <v>41765</v>
      </c>
      <c r="D1501" t="s">
        <v>353</v>
      </c>
      <c r="E1501" t="s">
        <v>51</v>
      </c>
      <c r="F1501" t="s">
        <v>72</v>
      </c>
      <c r="G1501" t="s">
        <v>1023</v>
      </c>
      <c r="H1501">
        <v>163.96</v>
      </c>
      <c r="I1501">
        <v>4</v>
      </c>
      <c r="J1501">
        <v>80.340400000000002</v>
      </c>
      <c r="K1501">
        <v>2014</v>
      </c>
      <c r="L1501">
        <v>5</v>
      </c>
      <c r="M1501" t="s">
        <v>47</v>
      </c>
      <c r="N1501">
        <v>1</v>
      </c>
      <c r="O1501">
        <v>5</v>
      </c>
      <c r="P1501">
        <v>49</v>
      </c>
      <c r="Q1501">
        <v>40.99</v>
      </c>
      <c r="R1501" t="s">
        <v>26</v>
      </c>
      <c r="S1501" t="b">
        <v>0</v>
      </c>
      <c r="T1501" t="b">
        <v>0</v>
      </c>
    </row>
    <row r="1502" spans="1:20" x14ac:dyDescent="0.3">
      <c r="A1502" t="s">
        <v>2463</v>
      </c>
      <c r="B1502" s="1">
        <v>41541</v>
      </c>
      <c r="C1502" s="1">
        <v>41544</v>
      </c>
      <c r="D1502" t="s">
        <v>21</v>
      </c>
      <c r="E1502" t="s">
        <v>194</v>
      </c>
      <c r="F1502" t="s">
        <v>128</v>
      </c>
      <c r="G1502" t="s">
        <v>170</v>
      </c>
      <c r="H1502">
        <v>4.08</v>
      </c>
      <c r="I1502">
        <v>2</v>
      </c>
      <c r="J1502">
        <v>1.9176</v>
      </c>
      <c r="K1502">
        <v>2013</v>
      </c>
      <c r="L1502">
        <v>9</v>
      </c>
      <c r="M1502" t="s">
        <v>87</v>
      </c>
      <c r="N1502">
        <v>24</v>
      </c>
      <c r="O1502">
        <v>3</v>
      </c>
      <c r="P1502">
        <v>47</v>
      </c>
      <c r="Q1502">
        <v>2.04</v>
      </c>
      <c r="R1502" t="s">
        <v>26</v>
      </c>
      <c r="S1502" t="b">
        <v>0</v>
      </c>
      <c r="T1502" t="b">
        <v>0</v>
      </c>
    </row>
    <row r="1503" spans="1:20" x14ac:dyDescent="0.3">
      <c r="A1503" t="s">
        <v>2463</v>
      </c>
      <c r="B1503" s="1">
        <v>41541</v>
      </c>
      <c r="C1503" s="1">
        <v>41544</v>
      </c>
      <c r="D1503" t="s">
        <v>21</v>
      </c>
      <c r="E1503" t="s">
        <v>194</v>
      </c>
      <c r="F1503" t="s">
        <v>23</v>
      </c>
      <c r="G1503" t="s">
        <v>2464</v>
      </c>
      <c r="H1503">
        <v>18.899999999999999</v>
      </c>
      <c r="I1503">
        <v>3</v>
      </c>
      <c r="J1503">
        <v>8.6940000000000008</v>
      </c>
      <c r="K1503">
        <v>2013</v>
      </c>
      <c r="L1503">
        <v>9</v>
      </c>
      <c r="M1503" t="s">
        <v>87</v>
      </c>
      <c r="N1503">
        <v>24</v>
      </c>
      <c r="O1503">
        <v>3</v>
      </c>
      <c r="P1503">
        <v>46</v>
      </c>
      <c r="Q1503">
        <v>6.3</v>
      </c>
      <c r="R1503" t="s">
        <v>26</v>
      </c>
      <c r="S1503" t="b">
        <v>0</v>
      </c>
      <c r="T1503" t="b">
        <v>0</v>
      </c>
    </row>
    <row r="1504" spans="1:20" x14ac:dyDescent="0.3">
      <c r="A1504" t="s">
        <v>2465</v>
      </c>
      <c r="B1504" s="1">
        <v>41760</v>
      </c>
      <c r="C1504" s="1">
        <v>41765</v>
      </c>
      <c r="D1504" t="s">
        <v>2466</v>
      </c>
      <c r="E1504" t="s">
        <v>51</v>
      </c>
      <c r="F1504" t="s">
        <v>29</v>
      </c>
      <c r="G1504" t="s">
        <v>2467</v>
      </c>
      <c r="H1504">
        <v>64.959999999999994</v>
      </c>
      <c r="I1504">
        <v>2</v>
      </c>
      <c r="J1504">
        <v>21.436800000000002</v>
      </c>
      <c r="K1504">
        <v>2014</v>
      </c>
      <c r="L1504">
        <v>5</v>
      </c>
      <c r="M1504" t="s">
        <v>47</v>
      </c>
      <c r="N1504">
        <v>1</v>
      </c>
      <c r="O1504">
        <v>5</v>
      </c>
      <c r="P1504">
        <v>33</v>
      </c>
      <c r="Q1504">
        <v>32.479999999999997</v>
      </c>
      <c r="R1504" t="s">
        <v>26</v>
      </c>
      <c r="S1504" t="b">
        <v>0</v>
      </c>
      <c r="T1504" t="b">
        <v>0</v>
      </c>
    </row>
    <row r="1505" spans="1:20" x14ac:dyDescent="0.3">
      <c r="A1505" t="s">
        <v>2465</v>
      </c>
      <c r="B1505" s="1">
        <v>41760</v>
      </c>
      <c r="C1505" s="1">
        <v>41765</v>
      </c>
      <c r="D1505" t="s">
        <v>2466</v>
      </c>
      <c r="E1505" t="s">
        <v>51</v>
      </c>
      <c r="F1505" t="s">
        <v>128</v>
      </c>
      <c r="G1505" t="s">
        <v>728</v>
      </c>
      <c r="H1505">
        <v>30.56</v>
      </c>
      <c r="I1505">
        <v>4</v>
      </c>
      <c r="J1505">
        <v>14.974399999999999</v>
      </c>
      <c r="K1505">
        <v>2014</v>
      </c>
      <c r="L1505">
        <v>5</v>
      </c>
      <c r="M1505" t="s">
        <v>47</v>
      </c>
      <c r="N1505">
        <v>1</v>
      </c>
      <c r="O1505">
        <v>5</v>
      </c>
      <c r="P1505">
        <v>49</v>
      </c>
      <c r="Q1505">
        <v>7.64</v>
      </c>
      <c r="R1505" t="s">
        <v>26</v>
      </c>
      <c r="S1505" t="b">
        <v>0</v>
      </c>
      <c r="T1505" t="b">
        <v>0</v>
      </c>
    </row>
    <row r="1506" spans="1:20" x14ac:dyDescent="0.3">
      <c r="A1506" t="s">
        <v>2468</v>
      </c>
      <c r="B1506" s="1">
        <v>41247</v>
      </c>
      <c r="C1506" s="1">
        <v>41252</v>
      </c>
      <c r="D1506" t="s">
        <v>603</v>
      </c>
      <c r="E1506" t="s">
        <v>1959</v>
      </c>
      <c r="F1506" t="s">
        <v>31</v>
      </c>
      <c r="G1506" t="s">
        <v>1079</v>
      </c>
      <c r="H1506">
        <v>16.899999999999999</v>
      </c>
      <c r="I1506">
        <v>5</v>
      </c>
      <c r="J1506">
        <v>6.2530000000000001</v>
      </c>
      <c r="K1506">
        <v>2012</v>
      </c>
      <c r="L1506">
        <v>12</v>
      </c>
      <c r="M1506" t="s">
        <v>41</v>
      </c>
      <c r="N1506">
        <v>4</v>
      </c>
      <c r="O1506">
        <v>5</v>
      </c>
      <c r="P1506">
        <v>37</v>
      </c>
      <c r="Q1506">
        <v>3.38</v>
      </c>
      <c r="R1506" t="s">
        <v>26</v>
      </c>
      <c r="S1506" t="b">
        <v>0</v>
      </c>
      <c r="T1506" t="b">
        <v>0</v>
      </c>
    </row>
    <row r="1507" spans="1:20" x14ac:dyDescent="0.3">
      <c r="A1507" t="s">
        <v>2468</v>
      </c>
      <c r="B1507" s="1">
        <v>41247</v>
      </c>
      <c r="C1507" s="1">
        <v>41252</v>
      </c>
      <c r="D1507" t="s">
        <v>603</v>
      </c>
      <c r="E1507" t="s">
        <v>1959</v>
      </c>
      <c r="F1507" t="s">
        <v>29</v>
      </c>
      <c r="G1507" t="s">
        <v>881</v>
      </c>
      <c r="H1507">
        <v>25.08</v>
      </c>
      <c r="I1507">
        <v>6</v>
      </c>
      <c r="J1507">
        <v>9.0288000000000004</v>
      </c>
      <c r="K1507">
        <v>2012</v>
      </c>
      <c r="L1507">
        <v>12</v>
      </c>
      <c r="M1507" t="s">
        <v>41</v>
      </c>
      <c r="N1507">
        <v>4</v>
      </c>
      <c r="O1507">
        <v>5</v>
      </c>
      <c r="P1507">
        <v>36</v>
      </c>
      <c r="Q1507">
        <v>4.18</v>
      </c>
      <c r="R1507" t="s">
        <v>26</v>
      </c>
      <c r="S1507" t="b">
        <v>0</v>
      </c>
      <c r="T1507" t="b">
        <v>0</v>
      </c>
    </row>
    <row r="1508" spans="1:20" x14ac:dyDescent="0.3">
      <c r="A1508" t="s">
        <v>2469</v>
      </c>
      <c r="B1508" s="1">
        <v>40550</v>
      </c>
      <c r="C1508" s="1">
        <v>40552</v>
      </c>
      <c r="D1508" t="s">
        <v>2470</v>
      </c>
      <c r="E1508" t="s">
        <v>22</v>
      </c>
      <c r="F1508" t="s">
        <v>72</v>
      </c>
      <c r="G1508" t="s">
        <v>414</v>
      </c>
      <c r="H1508">
        <v>19.440000000000001</v>
      </c>
      <c r="I1508">
        <v>3</v>
      </c>
      <c r="J1508">
        <v>9.3312000000000008</v>
      </c>
      <c r="K1508">
        <v>2011</v>
      </c>
      <c r="L1508">
        <v>1</v>
      </c>
      <c r="M1508" t="s">
        <v>60</v>
      </c>
      <c r="N1508">
        <v>7</v>
      </c>
      <c r="O1508">
        <v>2</v>
      </c>
      <c r="P1508">
        <v>48</v>
      </c>
      <c r="Q1508">
        <v>6.48</v>
      </c>
      <c r="R1508" t="s">
        <v>48</v>
      </c>
      <c r="S1508" t="b">
        <v>0</v>
      </c>
      <c r="T1508" t="b">
        <v>0</v>
      </c>
    </row>
    <row r="1509" spans="1:20" x14ac:dyDescent="0.3">
      <c r="A1509" t="s">
        <v>2471</v>
      </c>
      <c r="B1509" s="1">
        <v>41050</v>
      </c>
      <c r="C1509" s="1">
        <v>41054</v>
      </c>
      <c r="D1509" t="s">
        <v>1063</v>
      </c>
      <c r="E1509" t="s">
        <v>39</v>
      </c>
      <c r="F1509" t="s">
        <v>33</v>
      </c>
      <c r="G1509" t="s">
        <v>535</v>
      </c>
      <c r="H1509">
        <v>26.975999999999999</v>
      </c>
      <c r="I1509">
        <v>4</v>
      </c>
      <c r="J1509">
        <v>8.7672000000000008</v>
      </c>
      <c r="K1509">
        <v>2012</v>
      </c>
      <c r="L1509">
        <v>5</v>
      </c>
      <c r="M1509" t="s">
        <v>47</v>
      </c>
      <c r="N1509">
        <v>21</v>
      </c>
      <c r="O1509">
        <v>4</v>
      </c>
      <c r="P1509">
        <v>32.5</v>
      </c>
      <c r="Q1509">
        <v>6.7439999999999998</v>
      </c>
      <c r="R1509" t="s">
        <v>26</v>
      </c>
      <c r="S1509" t="b">
        <v>0</v>
      </c>
      <c r="T1509" t="b">
        <v>0</v>
      </c>
    </row>
    <row r="1510" spans="1:20" x14ac:dyDescent="0.3">
      <c r="A1510" t="s">
        <v>2472</v>
      </c>
      <c r="B1510" s="1">
        <v>41929</v>
      </c>
      <c r="C1510" s="1">
        <v>41934</v>
      </c>
      <c r="D1510" t="s">
        <v>2473</v>
      </c>
      <c r="E1510" t="s">
        <v>133</v>
      </c>
      <c r="F1510" t="s">
        <v>72</v>
      </c>
      <c r="G1510" t="s">
        <v>1447</v>
      </c>
      <c r="H1510">
        <v>307.77600000000001</v>
      </c>
      <c r="I1510">
        <v>7</v>
      </c>
      <c r="J1510">
        <v>111.5688</v>
      </c>
      <c r="K1510">
        <v>2014</v>
      </c>
      <c r="L1510">
        <v>10</v>
      </c>
      <c r="M1510" t="s">
        <v>82</v>
      </c>
      <c r="N1510">
        <v>17</v>
      </c>
      <c r="O1510">
        <v>5</v>
      </c>
      <c r="P1510">
        <v>36.25</v>
      </c>
      <c r="Q1510">
        <v>43.968000000000004</v>
      </c>
      <c r="R1510" t="s">
        <v>26</v>
      </c>
      <c r="S1510" t="b">
        <v>0</v>
      </c>
      <c r="T1510" t="b">
        <v>1</v>
      </c>
    </row>
    <row r="1511" spans="1:20" x14ac:dyDescent="0.3">
      <c r="A1511" t="s">
        <v>2474</v>
      </c>
      <c r="B1511" s="1">
        <v>41720</v>
      </c>
      <c r="C1511" s="1">
        <v>41722</v>
      </c>
      <c r="D1511" t="s">
        <v>1739</v>
      </c>
      <c r="E1511" t="s">
        <v>22</v>
      </c>
      <c r="F1511" t="s">
        <v>33</v>
      </c>
      <c r="G1511" t="s">
        <v>872</v>
      </c>
      <c r="H1511">
        <v>10.896000000000001</v>
      </c>
      <c r="I1511">
        <v>3</v>
      </c>
      <c r="J1511">
        <v>3.9498000000000002</v>
      </c>
      <c r="K1511">
        <v>2014</v>
      </c>
      <c r="L1511">
        <v>3</v>
      </c>
      <c r="M1511" t="s">
        <v>135</v>
      </c>
      <c r="N1511">
        <v>22</v>
      </c>
      <c r="O1511">
        <v>2</v>
      </c>
      <c r="P1511">
        <v>36.25</v>
      </c>
      <c r="Q1511">
        <v>3.6320000000000001</v>
      </c>
      <c r="R1511" t="s">
        <v>26</v>
      </c>
      <c r="S1511" t="b">
        <v>0</v>
      </c>
      <c r="T1511" t="b">
        <v>0</v>
      </c>
    </row>
    <row r="1512" spans="1:20" x14ac:dyDescent="0.3">
      <c r="A1512" t="s">
        <v>2474</v>
      </c>
      <c r="B1512" s="1">
        <v>41720</v>
      </c>
      <c r="C1512" s="1">
        <v>41722</v>
      </c>
      <c r="D1512" t="s">
        <v>1739</v>
      </c>
      <c r="E1512" t="s">
        <v>22</v>
      </c>
      <c r="F1512" t="s">
        <v>33</v>
      </c>
      <c r="G1512" t="s">
        <v>2475</v>
      </c>
      <c r="H1512">
        <v>8.5440000000000005</v>
      </c>
      <c r="I1512">
        <v>2</v>
      </c>
      <c r="J1512">
        <v>2.8835999999999999</v>
      </c>
      <c r="K1512">
        <v>2014</v>
      </c>
      <c r="L1512">
        <v>3</v>
      </c>
      <c r="M1512" t="s">
        <v>135</v>
      </c>
      <c r="N1512">
        <v>22</v>
      </c>
      <c r="O1512">
        <v>2</v>
      </c>
      <c r="P1512">
        <v>33.75</v>
      </c>
      <c r="Q1512">
        <v>4.2720000000000002</v>
      </c>
      <c r="R1512" t="s">
        <v>26</v>
      </c>
      <c r="S1512" t="b">
        <v>0</v>
      </c>
      <c r="T1512" t="b">
        <v>0</v>
      </c>
    </row>
    <row r="1513" spans="1:20" x14ac:dyDescent="0.3">
      <c r="A1513" t="s">
        <v>2476</v>
      </c>
      <c r="B1513" s="1">
        <v>40676</v>
      </c>
      <c r="C1513" s="1">
        <v>40682</v>
      </c>
      <c r="D1513" t="s">
        <v>2477</v>
      </c>
      <c r="E1513" t="s">
        <v>22</v>
      </c>
      <c r="F1513" t="s">
        <v>110</v>
      </c>
      <c r="G1513" t="s">
        <v>2478</v>
      </c>
      <c r="H1513">
        <v>279.45600000000002</v>
      </c>
      <c r="I1513">
        <v>6</v>
      </c>
      <c r="J1513">
        <v>20.959199999999999</v>
      </c>
      <c r="K1513">
        <v>2011</v>
      </c>
      <c r="L1513">
        <v>5</v>
      </c>
      <c r="M1513" t="s">
        <v>47</v>
      </c>
      <c r="N1513">
        <v>13</v>
      </c>
      <c r="O1513">
        <v>6</v>
      </c>
      <c r="P1513">
        <v>7.5</v>
      </c>
      <c r="Q1513">
        <v>46.576000000000001</v>
      </c>
      <c r="R1513" t="s">
        <v>26</v>
      </c>
      <c r="S1513" t="b">
        <v>0</v>
      </c>
      <c r="T1513" t="b">
        <v>1</v>
      </c>
    </row>
    <row r="1514" spans="1:20" x14ac:dyDescent="0.3">
      <c r="A1514" t="s">
        <v>2476</v>
      </c>
      <c r="B1514" s="1">
        <v>40676</v>
      </c>
      <c r="C1514" s="1">
        <v>40682</v>
      </c>
      <c r="D1514" t="s">
        <v>2477</v>
      </c>
      <c r="E1514" t="s">
        <v>22</v>
      </c>
      <c r="F1514" t="s">
        <v>72</v>
      </c>
      <c r="G1514" t="s">
        <v>2479</v>
      </c>
      <c r="H1514">
        <v>8</v>
      </c>
      <c r="I1514">
        <v>2</v>
      </c>
      <c r="J1514">
        <v>3.84</v>
      </c>
      <c r="K1514">
        <v>2011</v>
      </c>
      <c r="L1514">
        <v>5</v>
      </c>
      <c r="M1514" t="s">
        <v>47</v>
      </c>
      <c r="N1514">
        <v>13</v>
      </c>
      <c r="O1514">
        <v>6</v>
      </c>
      <c r="P1514">
        <v>48</v>
      </c>
      <c r="Q1514">
        <v>4</v>
      </c>
      <c r="R1514" t="s">
        <v>26</v>
      </c>
      <c r="S1514" t="b">
        <v>0</v>
      </c>
      <c r="T1514" t="b">
        <v>0</v>
      </c>
    </row>
    <row r="1515" spans="1:20" x14ac:dyDescent="0.3">
      <c r="A1515" t="s">
        <v>2480</v>
      </c>
      <c r="B1515" s="1">
        <v>41547</v>
      </c>
      <c r="C1515" s="1">
        <v>41551</v>
      </c>
      <c r="D1515" t="s">
        <v>2481</v>
      </c>
      <c r="E1515" t="s">
        <v>51</v>
      </c>
      <c r="F1515" t="s">
        <v>33</v>
      </c>
      <c r="G1515" t="s">
        <v>1271</v>
      </c>
      <c r="H1515">
        <v>27.24</v>
      </c>
      <c r="I1515">
        <v>5</v>
      </c>
      <c r="J1515">
        <v>9.5340000000000007</v>
      </c>
      <c r="K1515">
        <v>2013</v>
      </c>
      <c r="L1515">
        <v>9</v>
      </c>
      <c r="M1515" t="s">
        <v>87</v>
      </c>
      <c r="N1515">
        <v>30</v>
      </c>
      <c r="O1515">
        <v>4</v>
      </c>
      <c r="P1515">
        <v>35</v>
      </c>
      <c r="Q1515">
        <v>5.4480000000000004</v>
      </c>
      <c r="R1515" t="s">
        <v>26</v>
      </c>
      <c r="S1515" t="b">
        <v>0</v>
      </c>
      <c r="T1515" t="b">
        <v>0</v>
      </c>
    </row>
    <row r="1516" spans="1:20" x14ac:dyDescent="0.3">
      <c r="A1516" t="s">
        <v>2482</v>
      </c>
      <c r="B1516" s="1">
        <v>40760</v>
      </c>
      <c r="C1516" s="1">
        <v>40766</v>
      </c>
      <c r="D1516" t="s">
        <v>333</v>
      </c>
      <c r="E1516" t="s">
        <v>51</v>
      </c>
      <c r="F1516" t="s">
        <v>61</v>
      </c>
      <c r="G1516" t="s">
        <v>1714</v>
      </c>
      <c r="H1516">
        <v>16.36</v>
      </c>
      <c r="I1516">
        <v>1</v>
      </c>
      <c r="J1516">
        <v>1.6359999999999999</v>
      </c>
      <c r="K1516">
        <v>2011</v>
      </c>
      <c r="L1516">
        <v>8</v>
      </c>
      <c r="M1516" t="s">
        <v>53</v>
      </c>
      <c r="N1516">
        <v>5</v>
      </c>
      <c r="O1516">
        <v>6</v>
      </c>
      <c r="P1516">
        <v>10</v>
      </c>
      <c r="Q1516">
        <v>16.36</v>
      </c>
      <c r="R1516" t="s">
        <v>26</v>
      </c>
      <c r="S1516" t="b">
        <v>0</v>
      </c>
      <c r="T1516" t="b">
        <v>0</v>
      </c>
    </row>
    <row r="1517" spans="1:20" x14ac:dyDescent="0.3">
      <c r="A1517" t="s">
        <v>2482</v>
      </c>
      <c r="B1517" s="1">
        <v>40760</v>
      </c>
      <c r="C1517" s="1">
        <v>40766</v>
      </c>
      <c r="D1517" t="s">
        <v>333</v>
      </c>
      <c r="E1517" t="s">
        <v>51</v>
      </c>
      <c r="F1517" t="s">
        <v>45</v>
      </c>
      <c r="G1517" t="s">
        <v>2483</v>
      </c>
      <c r="H1517">
        <v>15.78</v>
      </c>
      <c r="I1517">
        <v>2</v>
      </c>
      <c r="J1517">
        <v>0.63119999999999998</v>
      </c>
      <c r="K1517">
        <v>2011</v>
      </c>
      <c r="L1517">
        <v>8</v>
      </c>
      <c r="M1517" t="s">
        <v>53</v>
      </c>
      <c r="N1517">
        <v>5</v>
      </c>
      <c r="O1517">
        <v>6</v>
      </c>
      <c r="P1517">
        <v>4</v>
      </c>
      <c r="Q1517">
        <v>7.89</v>
      </c>
      <c r="R1517" t="s">
        <v>26</v>
      </c>
      <c r="S1517" t="b">
        <v>0</v>
      </c>
      <c r="T1517" t="b">
        <v>0</v>
      </c>
    </row>
    <row r="1518" spans="1:20" x14ac:dyDescent="0.3">
      <c r="A1518" t="s">
        <v>2482</v>
      </c>
      <c r="B1518" s="1">
        <v>40760</v>
      </c>
      <c r="C1518" s="1">
        <v>40766</v>
      </c>
      <c r="D1518" t="s">
        <v>333</v>
      </c>
      <c r="E1518" t="s">
        <v>51</v>
      </c>
      <c r="F1518" t="s">
        <v>31</v>
      </c>
      <c r="G1518" t="s">
        <v>2484</v>
      </c>
      <c r="H1518">
        <v>45.98</v>
      </c>
      <c r="I1518">
        <v>2</v>
      </c>
      <c r="J1518">
        <v>12.8744</v>
      </c>
      <c r="K1518">
        <v>2011</v>
      </c>
      <c r="L1518">
        <v>8</v>
      </c>
      <c r="M1518" t="s">
        <v>53</v>
      </c>
      <c r="N1518">
        <v>5</v>
      </c>
      <c r="O1518">
        <v>6</v>
      </c>
      <c r="P1518">
        <v>28</v>
      </c>
      <c r="Q1518">
        <v>22.99</v>
      </c>
      <c r="R1518" t="s">
        <v>26</v>
      </c>
      <c r="S1518" t="b">
        <v>0</v>
      </c>
      <c r="T1518" t="b">
        <v>0</v>
      </c>
    </row>
    <row r="1519" spans="1:20" x14ac:dyDescent="0.3">
      <c r="A1519" t="s">
        <v>2485</v>
      </c>
      <c r="B1519" s="1">
        <v>40562</v>
      </c>
      <c r="C1519" s="1">
        <v>40565</v>
      </c>
      <c r="D1519" t="s">
        <v>2056</v>
      </c>
      <c r="E1519" t="s">
        <v>1088</v>
      </c>
      <c r="F1519" t="s">
        <v>35</v>
      </c>
      <c r="G1519" t="s">
        <v>1239</v>
      </c>
      <c r="H1519">
        <v>64.864000000000004</v>
      </c>
      <c r="I1519">
        <v>4</v>
      </c>
      <c r="J1519">
        <v>6.4863999999999997</v>
      </c>
      <c r="K1519">
        <v>2011</v>
      </c>
      <c r="L1519">
        <v>1</v>
      </c>
      <c r="M1519" t="s">
        <v>60</v>
      </c>
      <c r="N1519">
        <v>19</v>
      </c>
      <c r="O1519">
        <v>3</v>
      </c>
      <c r="P1519">
        <v>10</v>
      </c>
      <c r="Q1519">
        <v>16.216000000000001</v>
      </c>
      <c r="R1519" t="s">
        <v>26</v>
      </c>
      <c r="S1519" t="b">
        <v>0</v>
      </c>
      <c r="T1519" t="b">
        <v>0</v>
      </c>
    </row>
    <row r="1520" spans="1:20" x14ac:dyDescent="0.3">
      <c r="A1520" t="s">
        <v>2486</v>
      </c>
      <c r="B1520" s="1">
        <v>41801</v>
      </c>
      <c r="C1520" s="1">
        <v>41806</v>
      </c>
      <c r="D1520" t="s">
        <v>1811</v>
      </c>
      <c r="E1520" t="s">
        <v>39</v>
      </c>
      <c r="F1520" t="s">
        <v>54</v>
      </c>
      <c r="G1520" t="s">
        <v>587</v>
      </c>
      <c r="H1520">
        <v>88.775999999999996</v>
      </c>
      <c r="I1520">
        <v>3</v>
      </c>
      <c r="J1520">
        <v>7.7679</v>
      </c>
      <c r="K1520">
        <v>2014</v>
      </c>
      <c r="L1520">
        <v>6</v>
      </c>
      <c r="M1520" t="s">
        <v>25</v>
      </c>
      <c r="N1520">
        <v>11</v>
      </c>
      <c r="O1520">
        <v>5</v>
      </c>
      <c r="P1520">
        <v>8.75</v>
      </c>
      <c r="Q1520">
        <v>29.591999999999999</v>
      </c>
      <c r="R1520" t="s">
        <v>26</v>
      </c>
      <c r="S1520" t="b">
        <v>0</v>
      </c>
      <c r="T1520" t="b">
        <v>0</v>
      </c>
    </row>
    <row r="1521" spans="1:20" x14ac:dyDescent="0.3">
      <c r="A1521" t="s">
        <v>2486</v>
      </c>
      <c r="B1521" s="1">
        <v>41801</v>
      </c>
      <c r="C1521" s="1">
        <v>41806</v>
      </c>
      <c r="D1521" t="s">
        <v>1811</v>
      </c>
      <c r="E1521" t="s">
        <v>39</v>
      </c>
      <c r="F1521" t="s">
        <v>23</v>
      </c>
      <c r="G1521" t="s">
        <v>1485</v>
      </c>
      <c r="H1521">
        <v>11.56</v>
      </c>
      <c r="I1521">
        <v>4</v>
      </c>
      <c r="J1521">
        <v>5.4332000000000003</v>
      </c>
      <c r="K1521">
        <v>2014</v>
      </c>
      <c r="L1521">
        <v>6</v>
      </c>
      <c r="M1521" t="s">
        <v>25</v>
      </c>
      <c r="N1521">
        <v>11</v>
      </c>
      <c r="O1521">
        <v>5</v>
      </c>
      <c r="P1521">
        <v>47</v>
      </c>
      <c r="Q1521">
        <v>2.89</v>
      </c>
      <c r="R1521" t="s">
        <v>26</v>
      </c>
      <c r="S1521" t="b">
        <v>0</v>
      </c>
      <c r="T1521" t="b">
        <v>0</v>
      </c>
    </row>
    <row r="1522" spans="1:20" x14ac:dyDescent="0.3">
      <c r="A1522" t="s">
        <v>2486</v>
      </c>
      <c r="B1522" s="1">
        <v>41801</v>
      </c>
      <c r="C1522" s="1">
        <v>41806</v>
      </c>
      <c r="D1522" t="s">
        <v>1811</v>
      </c>
      <c r="E1522" t="s">
        <v>39</v>
      </c>
      <c r="F1522" t="s">
        <v>45</v>
      </c>
      <c r="G1522" t="s">
        <v>2487</v>
      </c>
      <c r="H1522">
        <v>15.58</v>
      </c>
      <c r="I1522">
        <v>1</v>
      </c>
      <c r="J1522">
        <v>3.895</v>
      </c>
      <c r="K1522">
        <v>2014</v>
      </c>
      <c r="L1522">
        <v>6</v>
      </c>
      <c r="M1522" t="s">
        <v>25</v>
      </c>
      <c r="N1522">
        <v>11</v>
      </c>
      <c r="O1522">
        <v>5</v>
      </c>
      <c r="P1522">
        <v>25</v>
      </c>
      <c r="Q1522">
        <v>15.58</v>
      </c>
      <c r="R1522" t="s">
        <v>26</v>
      </c>
      <c r="S1522" t="b">
        <v>0</v>
      </c>
      <c r="T1522" t="b">
        <v>0</v>
      </c>
    </row>
    <row r="1523" spans="1:20" x14ac:dyDescent="0.3">
      <c r="A1523" t="s">
        <v>2488</v>
      </c>
      <c r="B1523" s="1">
        <v>41787</v>
      </c>
      <c r="C1523" s="1">
        <v>41791</v>
      </c>
      <c r="D1523" t="s">
        <v>2489</v>
      </c>
      <c r="E1523" t="s">
        <v>39</v>
      </c>
      <c r="F1523" t="s">
        <v>61</v>
      </c>
      <c r="G1523" t="s">
        <v>1714</v>
      </c>
      <c r="H1523">
        <v>98.16</v>
      </c>
      <c r="I1523">
        <v>6</v>
      </c>
      <c r="J1523">
        <v>9.8160000000000007</v>
      </c>
      <c r="K1523">
        <v>2014</v>
      </c>
      <c r="L1523">
        <v>5</v>
      </c>
      <c r="M1523" t="s">
        <v>47</v>
      </c>
      <c r="N1523">
        <v>28</v>
      </c>
      <c r="O1523">
        <v>4</v>
      </c>
      <c r="P1523">
        <v>10</v>
      </c>
      <c r="Q1523">
        <v>16.36</v>
      </c>
      <c r="R1523" t="s">
        <v>26</v>
      </c>
      <c r="S1523" t="b">
        <v>0</v>
      </c>
      <c r="T1523" t="b">
        <v>0</v>
      </c>
    </row>
    <row r="1524" spans="1:20" x14ac:dyDescent="0.3">
      <c r="A1524" t="s">
        <v>2488</v>
      </c>
      <c r="B1524" s="1">
        <v>41787</v>
      </c>
      <c r="C1524" s="1">
        <v>41791</v>
      </c>
      <c r="D1524" t="s">
        <v>2489</v>
      </c>
      <c r="E1524" t="s">
        <v>39</v>
      </c>
      <c r="F1524" t="s">
        <v>31</v>
      </c>
      <c r="G1524" t="s">
        <v>155</v>
      </c>
      <c r="H1524">
        <v>31.44</v>
      </c>
      <c r="I1524">
        <v>3</v>
      </c>
      <c r="J1524">
        <v>7.86</v>
      </c>
      <c r="K1524">
        <v>2014</v>
      </c>
      <c r="L1524">
        <v>5</v>
      </c>
      <c r="M1524" t="s">
        <v>47</v>
      </c>
      <c r="N1524">
        <v>28</v>
      </c>
      <c r="O1524">
        <v>4</v>
      </c>
      <c r="P1524">
        <v>25</v>
      </c>
      <c r="Q1524">
        <v>10.48</v>
      </c>
      <c r="R1524" t="s">
        <v>26</v>
      </c>
      <c r="S1524" t="b">
        <v>0</v>
      </c>
      <c r="T1524" t="b">
        <v>0</v>
      </c>
    </row>
    <row r="1525" spans="1:20" x14ac:dyDescent="0.3">
      <c r="A1525" t="s">
        <v>2490</v>
      </c>
      <c r="B1525" s="1">
        <v>41501</v>
      </c>
      <c r="C1525" s="1">
        <v>41505</v>
      </c>
      <c r="D1525" t="s">
        <v>2384</v>
      </c>
      <c r="E1525" t="s">
        <v>22</v>
      </c>
      <c r="F1525" t="s">
        <v>72</v>
      </c>
      <c r="G1525" t="s">
        <v>2491</v>
      </c>
      <c r="H1525">
        <v>15.54</v>
      </c>
      <c r="I1525">
        <v>3</v>
      </c>
      <c r="J1525">
        <v>7.6146000000000003</v>
      </c>
      <c r="K1525">
        <v>2013</v>
      </c>
      <c r="L1525">
        <v>8</v>
      </c>
      <c r="M1525" t="s">
        <v>53</v>
      </c>
      <c r="N1525">
        <v>15</v>
      </c>
      <c r="O1525">
        <v>4</v>
      </c>
      <c r="P1525">
        <v>49</v>
      </c>
      <c r="Q1525">
        <v>5.18</v>
      </c>
      <c r="R1525" t="s">
        <v>26</v>
      </c>
      <c r="S1525" t="b">
        <v>0</v>
      </c>
      <c r="T1525" t="b">
        <v>0</v>
      </c>
    </row>
    <row r="1526" spans="1:20" x14ac:dyDescent="0.3">
      <c r="A1526" t="s">
        <v>2490</v>
      </c>
      <c r="B1526" s="1">
        <v>41501</v>
      </c>
      <c r="C1526" s="1">
        <v>41505</v>
      </c>
      <c r="D1526" t="s">
        <v>2384</v>
      </c>
      <c r="E1526" t="s">
        <v>22</v>
      </c>
      <c r="F1526" t="s">
        <v>793</v>
      </c>
      <c r="G1526" t="s">
        <v>2492</v>
      </c>
      <c r="H1526">
        <v>105.55200000000001</v>
      </c>
      <c r="I1526">
        <v>6</v>
      </c>
      <c r="J1526">
        <v>35.623800000000003</v>
      </c>
      <c r="K1526">
        <v>2013</v>
      </c>
      <c r="L1526">
        <v>8</v>
      </c>
      <c r="M1526" t="s">
        <v>53</v>
      </c>
      <c r="N1526">
        <v>15</v>
      </c>
      <c r="O1526">
        <v>4</v>
      </c>
      <c r="P1526">
        <v>33.75</v>
      </c>
      <c r="Q1526">
        <v>17.591999999999999</v>
      </c>
      <c r="R1526" t="s">
        <v>26</v>
      </c>
      <c r="S1526" t="b">
        <v>0</v>
      </c>
      <c r="T1526" t="b">
        <v>0</v>
      </c>
    </row>
    <row r="1527" spans="1:20" x14ac:dyDescent="0.3">
      <c r="A1527" t="s">
        <v>2493</v>
      </c>
      <c r="B1527" s="1">
        <v>41689</v>
      </c>
      <c r="C1527" s="1">
        <v>41692</v>
      </c>
      <c r="D1527" t="s">
        <v>597</v>
      </c>
      <c r="E1527" t="s">
        <v>22</v>
      </c>
      <c r="F1527" t="s">
        <v>54</v>
      </c>
      <c r="G1527" t="s">
        <v>331</v>
      </c>
      <c r="H1527">
        <v>167.976</v>
      </c>
      <c r="I1527">
        <v>3</v>
      </c>
      <c r="J1527">
        <v>10.4985</v>
      </c>
      <c r="K1527">
        <v>2014</v>
      </c>
      <c r="L1527">
        <v>2</v>
      </c>
      <c r="M1527" t="s">
        <v>303</v>
      </c>
      <c r="N1527">
        <v>19</v>
      </c>
      <c r="O1527">
        <v>3</v>
      </c>
      <c r="P1527">
        <v>6.25</v>
      </c>
      <c r="Q1527">
        <v>55.991999999999997</v>
      </c>
      <c r="R1527" t="s">
        <v>26</v>
      </c>
      <c r="S1527" t="b">
        <v>0</v>
      </c>
      <c r="T1527" t="b">
        <v>0</v>
      </c>
    </row>
    <row r="1528" spans="1:20" x14ac:dyDescent="0.3">
      <c r="A1528" t="s">
        <v>2493</v>
      </c>
      <c r="B1528" s="1">
        <v>41689</v>
      </c>
      <c r="C1528" s="1">
        <v>41692</v>
      </c>
      <c r="D1528" t="s">
        <v>597</v>
      </c>
      <c r="E1528" t="s">
        <v>22</v>
      </c>
      <c r="F1528" t="s">
        <v>61</v>
      </c>
      <c r="G1528" t="s">
        <v>1327</v>
      </c>
      <c r="H1528">
        <v>109.53</v>
      </c>
      <c r="I1528">
        <v>3</v>
      </c>
      <c r="J1528">
        <v>47.097900000000003</v>
      </c>
      <c r="K1528">
        <v>2014</v>
      </c>
      <c r="L1528">
        <v>2</v>
      </c>
      <c r="M1528" t="s">
        <v>303</v>
      </c>
      <c r="N1528">
        <v>19</v>
      </c>
      <c r="O1528">
        <v>3</v>
      </c>
      <c r="P1528">
        <v>43</v>
      </c>
      <c r="Q1528">
        <v>36.51</v>
      </c>
      <c r="R1528" t="s">
        <v>26</v>
      </c>
      <c r="S1528" t="b">
        <v>0</v>
      </c>
      <c r="T1528" t="b">
        <v>0</v>
      </c>
    </row>
    <row r="1529" spans="1:20" x14ac:dyDescent="0.3">
      <c r="A1529" t="s">
        <v>2493</v>
      </c>
      <c r="B1529" s="1">
        <v>41689</v>
      </c>
      <c r="C1529" s="1">
        <v>41692</v>
      </c>
      <c r="D1529" t="s">
        <v>597</v>
      </c>
      <c r="E1529" t="s">
        <v>22</v>
      </c>
      <c r="F1529" t="s">
        <v>23</v>
      </c>
      <c r="G1529" t="s">
        <v>2494</v>
      </c>
      <c r="H1529">
        <v>9.82</v>
      </c>
      <c r="I1529">
        <v>2</v>
      </c>
      <c r="J1529">
        <v>4.8117999999999999</v>
      </c>
      <c r="K1529">
        <v>2014</v>
      </c>
      <c r="L1529">
        <v>2</v>
      </c>
      <c r="M1529" t="s">
        <v>303</v>
      </c>
      <c r="N1529">
        <v>19</v>
      </c>
      <c r="O1529">
        <v>3</v>
      </c>
      <c r="P1529">
        <v>49</v>
      </c>
      <c r="Q1529">
        <v>4.91</v>
      </c>
      <c r="R1529" t="s">
        <v>26</v>
      </c>
      <c r="S1529" t="b">
        <v>0</v>
      </c>
      <c r="T1529" t="b">
        <v>0</v>
      </c>
    </row>
    <row r="1530" spans="1:20" x14ac:dyDescent="0.3">
      <c r="A1530" t="s">
        <v>2495</v>
      </c>
      <c r="B1530" s="1">
        <v>41954</v>
      </c>
      <c r="C1530" s="1">
        <v>41956</v>
      </c>
      <c r="D1530" t="s">
        <v>2029</v>
      </c>
      <c r="E1530" t="s">
        <v>39</v>
      </c>
      <c r="F1530" t="s">
        <v>33</v>
      </c>
      <c r="G1530" t="s">
        <v>1138</v>
      </c>
      <c r="H1530">
        <v>26.352</v>
      </c>
      <c r="I1530">
        <v>3</v>
      </c>
      <c r="J1530">
        <v>9.5526</v>
      </c>
      <c r="K1530">
        <v>2014</v>
      </c>
      <c r="L1530">
        <v>11</v>
      </c>
      <c r="M1530" t="s">
        <v>70</v>
      </c>
      <c r="N1530">
        <v>11</v>
      </c>
      <c r="O1530">
        <v>2</v>
      </c>
      <c r="P1530">
        <v>36.25</v>
      </c>
      <c r="Q1530">
        <v>8.7840000000000007</v>
      </c>
      <c r="R1530" t="s">
        <v>26</v>
      </c>
      <c r="S1530" t="b">
        <v>0</v>
      </c>
      <c r="T1530" t="b">
        <v>0</v>
      </c>
    </row>
    <row r="1531" spans="1:20" x14ac:dyDescent="0.3">
      <c r="A1531" t="s">
        <v>2496</v>
      </c>
      <c r="B1531" s="1">
        <v>40865</v>
      </c>
      <c r="C1531" s="1">
        <v>40868</v>
      </c>
      <c r="D1531" t="s">
        <v>2497</v>
      </c>
      <c r="E1531" t="s">
        <v>1267</v>
      </c>
      <c r="F1531" t="s">
        <v>72</v>
      </c>
      <c r="G1531" t="s">
        <v>1465</v>
      </c>
      <c r="H1531">
        <v>21.98</v>
      </c>
      <c r="I1531">
        <v>7</v>
      </c>
      <c r="J1531">
        <v>9.891</v>
      </c>
      <c r="K1531">
        <v>2011</v>
      </c>
      <c r="L1531">
        <v>11</v>
      </c>
      <c r="M1531" t="s">
        <v>70</v>
      </c>
      <c r="N1531">
        <v>18</v>
      </c>
      <c r="O1531">
        <v>3</v>
      </c>
      <c r="P1531">
        <v>45</v>
      </c>
      <c r="Q1531">
        <v>3.14</v>
      </c>
      <c r="R1531" t="s">
        <v>26</v>
      </c>
      <c r="S1531" t="b">
        <v>0</v>
      </c>
      <c r="T1531" t="b">
        <v>0</v>
      </c>
    </row>
    <row r="1532" spans="1:20" x14ac:dyDescent="0.3">
      <c r="A1532" t="s">
        <v>2498</v>
      </c>
      <c r="B1532" s="1">
        <v>41542</v>
      </c>
      <c r="C1532" s="1">
        <v>41542</v>
      </c>
      <c r="D1532" t="s">
        <v>918</v>
      </c>
      <c r="E1532" t="s">
        <v>51</v>
      </c>
      <c r="F1532" t="s">
        <v>29</v>
      </c>
      <c r="G1532" t="s">
        <v>2391</v>
      </c>
      <c r="H1532">
        <v>63.2</v>
      </c>
      <c r="I1532">
        <v>5</v>
      </c>
      <c r="J1532">
        <v>23.384</v>
      </c>
      <c r="K1532">
        <v>2013</v>
      </c>
      <c r="L1532">
        <v>9</v>
      </c>
      <c r="M1532" t="s">
        <v>87</v>
      </c>
      <c r="N1532">
        <v>25</v>
      </c>
      <c r="O1532">
        <v>0</v>
      </c>
      <c r="P1532">
        <v>37</v>
      </c>
      <c r="Q1532">
        <v>12.64</v>
      </c>
      <c r="R1532" t="s">
        <v>26</v>
      </c>
      <c r="S1532" t="b">
        <v>0</v>
      </c>
      <c r="T1532" t="b">
        <v>0</v>
      </c>
    </row>
    <row r="1533" spans="1:20" x14ac:dyDescent="0.3">
      <c r="A1533" t="s">
        <v>2499</v>
      </c>
      <c r="B1533" s="1">
        <v>41599</v>
      </c>
      <c r="C1533" s="1">
        <v>41606</v>
      </c>
      <c r="D1533" t="s">
        <v>2500</v>
      </c>
      <c r="E1533" t="s">
        <v>22</v>
      </c>
      <c r="F1533" t="s">
        <v>35</v>
      </c>
      <c r="G1533" t="s">
        <v>176</v>
      </c>
      <c r="H1533">
        <v>39</v>
      </c>
      <c r="I1533">
        <v>12</v>
      </c>
      <c r="J1533">
        <v>11.31</v>
      </c>
      <c r="K1533">
        <v>2013</v>
      </c>
      <c r="L1533">
        <v>11</v>
      </c>
      <c r="M1533" t="s">
        <v>70</v>
      </c>
      <c r="N1533">
        <v>21</v>
      </c>
      <c r="O1533">
        <v>7</v>
      </c>
      <c r="P1533">
        <v>29</v>
      </c>
      <c r="Q1533">
        <v>3.25</v>
      </c>
      <c r="R1533" t="s">
        <v>26</v>
      </c>
      <c r="S1533" t="b">
        <v>0</v>
      </c>
      <c r="T1533" t="b">
        <v>0</v>
      </c>
    </row>
    <row r="1534" spans="1:20" x14ac:dyDescent="0.3">
      <c r="A1534" t="s">
        <v>2501</v>
      </c>
      <c r="B1534" s="1">
        <v>41904</v>
      </c>
      <c r="C1534" s="1">
        <v>41906</v>
      </c>
      <c r="D1534" t="s">
        <v>2502</v>
      </c>
      <c r="E1534" t="s">
        <v>39</v>
      </c>
      <c r="F1534" t="s">
        <v>61</v>
      </c>
      <c r="G1534" t="s">
        <v>275</v>
      </c>
      <c r="H1534">
        <v>71.98</v>
      </c>
      <c r="I1534">
        <v>2</v>
      </c>
      <c r="J1534">
        <v>15.1158</v>
      </c>
      <c r="K1534">
        <v>2014</v>
      </c>
      <c r="L1534">
        <v>9</v>
      </c>
      <c r="M1534" t="s">
        <v>87</v>
      </c>
      <c r="N1534">
        <v>22</v>
      </c>
      <c r="O1534">
        <v>2</v>
      </c>
      <c r="P1534">
        <v>21</v>
      </c>
      <c r="Q1534">
        <v>35.99</v>
      </c>
      <c r="R1534" t="s">
        <v>26</v>
      </c>
      <c r="S1534" t="b">
        <v>0</v>
      </c>
      <c r="T1534" t="b">
        <v>0</v>
      </c>
    </row>
    <row r="1535" spans="1:20" x14ac:dyDescent="0.3">
      <c r="A1535" t="s">
        <v>2501</v>
      </c>
      <c r="B1535" s="1">
        <v>41904</v>
      </c>
      <c r="C1535" s="1">
        <v>41906</v>
      </c>
      <c r="D1535" t="s">
        <v>2502</v>
      </c>
      <c r="E1535" t="s">
        <v>39</v>
      </c>
      <c r="F1535" t="s">
        <v>61</v>
      </c>
      <c r="G1535" t="s">
        <v>2503</v>
      </c>
      <c r="H1535">
        <v>79.98</v>
      </c>
      <c r="I1535">
        <v>2</v>
      </c>
      <c r="J1535">
        <v>26.3934</v>
      </c>
      <c r="K1535">
        <v>2014</v>
      </c>
      <c r="L1535">
        <v>9</v>
      </c>
      <c r="M1535" t="s">
        <v>87</v>
      </c>
      <c r="N1535">
        <v>22</v>
      </c>
      <c r="O1535">
        <v>2</v>
      </c>
      <c r="P1535">
        <v>33</v>
      </c>
      <c r="Q1535">
        <v>39.99</v>
      </c>
      <c r="R1535" t="s">
        <v>26</v>
      </c>
      <c r="S1535" t="b">
        <v>0</v>
      </c>
      <c r="T1535" t="b">
        <v>0</v>
      </c>
    </row>
    <row r="1536" spans="1:20" x14ac:dyDescent="0.3">
      <c r="A1536" t="s">
        <v>2504</v>
      </c>
      <c r="B1536" s="1">
        <v>41327</v>
      </c>
      <c r="C1536" s="1">
        <v>41331</v>
      </c>
      <c r="D1536" t="s">
        <v>603</v>
      </c>
      <c r="E1536" t="s">
        <v>22</v>
      </c>
      <c r="F1536" t="s">
        <v>54</v>
      </c>
      <c r="G1536" t="s">
        <v>419</v>
      </c>
      <c r="H1536">
        <v>445.96</v>
      </c>
      <c r="I1536">
        <v>5</v>
      </c>
      <c r="J1536">
        <v>55.744999999999997</v>
      </c>
      <c r="K1536">
        <v>2013</v>
      </c>
      <c r="L1536">
        <v>2</v>
      </c>
      <c r="M1536" t="s">
        <v>303</v>
      </c>
      <c r="N1536">
        <v>22</v>
      </c>
      <c r="O1536">
        <v>4</v>
      </c>
      <c r="P1536">
        <v>12.5</v>
      </c>
      <c r="Q1536">
        <v>89.191999999999993</v>
      </c>
      <c r="R1536" t="s">
        <v>26</v>
      </c>
      <c r="S1536" t="b">
        <v>0</v>
      </c>
      <c r="T1536" t="b">
        <v>1</v>
      </c>
    </row>
    <row r="1537" spans="1:20" x14ac:dyDescent="0.3">
      <c r="A1537" t="s">
        <v>2504</v>
      </c>
      <c r="B1537" s="1">
        <v>41327</v>
      </c>
      <c r="C1537" s="1">
        <v>41331</v>
      </c>
      <c r="D1537" t="s">
        <v>603</v>
      </c>
      <c r="E1537" t="s">
        <v>22</v>
      </c>
      <c r="F1537" t="s">
        <v>61</v>
      </c>
      <c r="G1537" t="s">
        <v>1733</v>
      </c>
      <c r="H1537">
        <v>36.24</v>
      </c>
      <c r="I1537">
        <v>1</v>
      </c>
      <c r="J1537">
        <v>15.220800000000001</v>
      </c>
      <c r="K1537">
        <v>2013</v>
      </c>
      <c r="L1537">
        <v>2</v>
      </c>
      <c r="M1537" t="s">
        <v>303</v>
      </c>
      <c r="N1537">
        <v>22</v>
      </c>
      <c r="O1537">
        <v>4</v>
      </c>
      <c r="P1537">
        <v>42</v>
      </c>
      <c r="Q1537">
        <v>36.24</v>
      </c>
      <c r="R1537" t="s">
        <v>26</v>
      </c>
      <c r="S1537" t="b">
        <v>0</v>
      </c>
      <c r="T1537" t="b">
        <v>0</v>
      </c>
    </row>
    <row r="1538" spans="1:20" x14ac:dyDescent="0.3">
      <c r="A1538" t="s">
        <v>2504</v>
      </c>
      <c r="B1538" s="1">
        <v>41327</v>
      </c>
      <c r="C1538" s="1">
        <v>41331</v>
      </c>
      <c r="D1538" t="s">
        <v>603</v>
      </c>
      <c r="E1538" t="s">
        <v>22</v>
      </c>
      <c r="F1538" t="s">
        <v>119</v>
      </c>
      <c r="G1538" t="s">
        <v>2505</v>
      </c>
      <c r="H1538">
        <v>10.65</v>
      </c>
      <c r="I1538">
        <v>3</v>
      </c>
      <c r="J1538">
        <v>5.0054999999999996</v>
      </c>
      <c r="K1538">
        <v>2013</v>
      </c>
      <c r="L1538">
        <v>2</v>
      </c>
      <c r="M1538" t="s">
        <v>303</v>
      </c>
      <c r="N1538">
        <v>22</v>
      </c>
      <c r="O1538">
        <v>4</v>
      </c>
      <c r="P1538">
        <v>47</v>
      </c>
      <c r="Q1538">
        <v>3.55</v>
      </c>
      <c r="R1538" t="s">
        <v>26</v>
      </c>
      <c r="S1538" t="b">
        <v>0</v>
      </c>
      <c r="T1538" t="b">
        <v>0</v>
      </c>
    </row>
    <row r="1539" spans="1:20" x14ac:dyDescent="0.3">
      <c r="A1539" t="s">
        <v>2506</v>
      </c>
      <c r="B1539" s="1">
        <v>41982</v>
      </c>
      <c r="C1539" s="1">
        <v>41988</v>
      </c>
      <c r="D1539" t="s">
        <v>2507</v>
      </c>
      <c r="E1539" t="s">
        <v>51</v>
      </c>
      <c r="F1539" t="s">
        <v>72</v>
      </c>
      <c r="G1539" t="s">
        <v>2508</v>
      </c>
      <c r="H1539">
        <v>87.92</v>
      </c>
      <c r="I1539">
        <v>4</v>
      </c>
      <c r="J1539">
        <v>40.443199999999997</v>
      </c>
      <c r="K1539">
        <v>2014</v>
      </c>
      <c r="L1539">
        <v>12</v>
      </c>
      <c r="M1539" t="s">
        <v>41</v>
      </c>
      <c r="N1539">
        <v>9</v>
      </c>
      <c r="O1539">
        <v>6</v>
      </c>
      <c r="P1539">
        <v>46</v>
      </c>
      <c r="Q1539">
        <v>21.98</v>
      </c>
      <c r="R1539" t="s">
        <v>26</v>
      </c>
      <c r="S1539" t="b">
        <v>0</v>
      </c>
      <c r="T1539" t="b">
        <v>0</v>
      </c>
    </row>
    <row r="1540" spans="1:20" x14ac:dyDescent="0.3">
      <c r="A1540" t="s">
        <v>2506</v>
      </c>
      <c r="B1540" s="1">
        <v>41982</v>
      </c>
      <c r="C1540" s="1">
        <v>41988</v>
      </c>
      <c r="D1540" t="s">
        <v>2507</v>
      </c>
      <c r="E1540" t="s">
        <v>51</v>
      </c>
      <c r="F1540" t="s">
        <v>33</v>
      </c>
      <c r="G1540" t="s">
        <v>2002</v>
      </c>
      <c r="H1540">
        <v>22.423999999999999</v>
      </c>
      <c r="I1540">
        <v>1</v>
      </c>
      <c r="J1540">
        <v>8.4090000000000007</v>
      </c>
      <c r="K1540">
        <v>2014</v>
      </c>
      <c r="L1540">
        <v>12</v>
      </c>
      <c r="M1540" t="s">
        <v>41</v>
      </c>
      <c r="N1540">
        <v>9</v>
      </c>
      <c r="O1540">
        <v>6</v>
      </c>
      <c r="P1540">
        <v>37.5</v>
      </c>
      <c r="Q1540">
        <v>22.423999999999999</v>
      </c>
      <c r="R1540" t="s">
        <v>26</v>
      </c>
      <c r="S1540" t="b">
        <v>0</v>
      </c>
      <c r="T1540" t="b">
        <v>0</v>
      </c>
    </row>
    <row r="1541" spans="1:20" x14ac:dyDescent="0.3">
      <c r="A1541" t="s">
        <v>2506</v>
      </c>
      <c r="B1541" s="1">
        <v>41982</v>
      </c>
      <c r="C1541" s="1">
        <v>41988</v>
      </c>
      <c r="D1541" t="s">
        <v>2507</v>
      </c>
      <c r="E1541" t="s">
        <v>51</v>
      </c>
      <c r="F1541" t="s">
        <v>33</v>
      </c>
      <c r="G1541" t="s">
        <v>344</v>
      </c>
      <c r="H1541">
        <v>90.48</v>
      </c>
      <c r="I1541">
        <v>3</v>
      </c>
      <c r="J1541">
        <v>33.93</v>
      </c>
      <c r="K1541">
        <v>2014</v>
      </c>
      <c r="L1541">
        <v>12</v>
      </c>
      <c r="M1541" t="s">
        <v>41</v>
      </c>
      <c r="N1541">
        <v>9</v>
      </c>
      <c r="O1541">
        <v>6</v>
      </c>
      <c r="P1541">
        <v>37.5</v>
      </c>
      <c r="Q1541">
        <v>30.16</v>
      </c>
      <c r="R1541" t="s">
        <v>26</v>
      </c>
      <c r="S1541" t="b">
        <v>0</v>
      </c>
      <c r="T1541" t="b">
        <v>0</v>
      </c>
    </row>
    <row r="1542" spans="1:20" x14ac:dyDescent="0.3">
      <c r="A1542" t="s">
        <v>2506</v>
      </c>
      <c r="B1542" s="1">
        <v>41982</v>
      </c>
      <c r="C1542" s="1">
        <v>41988</v>
      </c>
      <c r="D1542" t="s">
        <v>2507</v>
      </c>
      <c r="E1542" t="s">
        <v>51</v>
      </c>
      <c r="F1542" t="s">
        <v>45</v>
      </c>
      <c r="G1542" t="s">
        <v>2509</v>
      </c>
      <c r="H1542">
        <v>42.76</v>
      </c>
      <c r="I1542">
        <v>1</v>
      </c>
      <c r="J1542">
        <v>11.117599999999999</v>
      </c>
      <c r="K1542">
        <v>2014</v>
      </c>
      <c r="L1542">
        <v>12</v>
      </c>
      <c r="M1542" t="s">
        <v>41</v>
      </c>
      <c r="N1542">
        <v>9</v>
      </c>
      <c r="O1542">
        <v>6</v>
      </c>
      <c r="P1542">
        <v>26</v>
      </c>
      <c r="Q1542">
        <v>42.76</v>
      </c>
      <c r="R1542" t="s">
        <v>26</v>
      </c>
      <c r="S1542" t="b">
        <v>0</v>
      </c>
      <c r="T1542" t="b">
        <v>0</v>
      </c>
    </row>
    <row r="1543" spans="1:20" x14ac:dyDescent="0.3">
      <c r="A1543" t="s">
        <v>2510</v>
      </c>
      <c r="B1543" s="1">
        <v>41901</v>
      </c>
      <c r="C1543" s="1">
        <v>41905</v>
      </c>
      <c r="D1543" t="s">
        <v>1823</v>
      </c>
      <c r="E1543" t="s">
        <v>2511</v>
      </c>
      <c r="F1543" t="s">
        <v>33</v>
      </c>
      <c r="G1543" t="s">
        <v>601</v>
      </c>
      <c r="H1543">
        <v>10.08</v>
      </c>
      <c r="I1543">
        <v>7</v>
      </c>
      <c r="J1543">
        <v>3.528</v>
      </c>
      <c r="K1543">
        <v>2014</v>
      </c>
      <c r="L1543">
        <v>9</v>
      </c>
      <c r="M1543" t="s">
        <v>87</v>
      </c>
      <c r="N1543">
        <v>19</v>
      </c>
      <c r="O1543">
        <v>4</v>
      </c>
      <c r="P1543">
        <v>35</v>
      </c>
      <c r="Q1543">
        <v>1.44</v>
      </c>
      <c r="R1543" t="s">
        <v>26</v>
      </c>
      <c r="S1543" t="b">
        <v>0</v>
      </c>
      <c r="T1543" t="b">
        <v>0</v>
      </c>
    </row>
    <row r="1544" spans="1:20" x14ac:dyDescent="0.3">
      <c r="A1544" t="s">
        <v>2510</v>
      </c>
      <c r="B1544" s="1">
        <v>41901</v>
      </c>
      <c r="C1544" s="1">
        <v>41905</v>
      </c>
      <c r="D1544" t="s">
        <v>1823</v>
      </c>
      <c r="E1544" t="s">
        <v>2511</v>
      </c>
      <c r="F1544" t="s">
        <v>61</v>
      </c>
      <c r="G1544" t="s">
        <v>2512</v>
      </c>
      <c r="H1544">
        <v>101.34</v>
      </c>
      <c r="I1544">
        <v>3</v>
      </c>
      <c r="J1544">
        <v>8.1072000000000006</v>
      </c>
      <c r="K1544">
        <v>2014</v>
      </c>
      <c r="L1544">
        <v>9</v>
      </c>
      <c r="M1544" t="s">
        <v>87</v>
      </c>
      <c r="N1544">
        <v>19</v>
      </c>
      <c r="O1544">
        <v>4</v>
      </c>
      <c r="P1544">
        <v>8</v>
      </c>
      <c r="Q1544">
        <v>33.78</v>
      </c>
      <c r="R1544" t="s">
        <v>26</v>
      </c>
      <c r="S1544" t="b">
        <v>0</v>
      </c>
      <c r="T1544" t="b">
        <v>0</v>
      </c>
    </row>
    <row r="1545" spans="1:20" x14ac:dyDescent="0.3">
      <c r="A1545" t="s">
        <v>2513</v>
      </c>
      <c r="B1545" s="1">
        <v>41638</v>
      </c>
      <c r="C1545" s="1">
        <v>41642</v>
      </c>
      <c r="D1545" t="s">
        <v>740</v>
      </c>
      <c r="E1545" t="s">
        <v>22</v>
      </c>
      <c r="F1545" t="s">
        <v>33</v>
      </c>
      <c r="G1545" t="s">
        <v>480</v>
      </c>
      <c r="H1545">
        <v>11.231999999999999</v>
      </c>
      <c r="I1545">
        <v>3</v>
      </c>
      <c r="J1545">
        <v>3.9312</v>
      </c>
      <c r="K1545">
        <v>2013</v>
      </c>
      <c r="L1545">
        <v>12</v>
      </c>
      <c r="M1545" t="s">
        <v>41</v>
      </c>
      <c r="N1545">
        <v>30</v>
      </c>
      <c r="O1545">
        <v>4</v>
      </c>
      <c r="P1545">
        <v>35</v>
      </c>
      <c r="Q1545">
        <v>3.7440000000000002</v>
      </c>
      <c r="R1545" t="s">
        <v>26</v>
      </c>
      <c r="S1545" t="b">
        <v>0</v>
      </c>
      <c r="T1545" t="b">
        <v>0</v>
      </c>
    </row>
    <row r="1546" spans="1:20" x14ac:dyDescent="0.3">
      <c r="A1546" t="s">
        <v>2514</v>
      </c>
      <c r="B1546" s="1">
        <v>41612</v>
      </c>
      <c r="C1546" s="1">
        <v>41615</v>
      </c>
      <c r="D1546" t="s">
        <v>680</v>
      </c>
      <c r="E1546" t="s">
        <v>22</v>
      </c>
      <c r="F1546" t="s">
        <v>29</v>
      </c>
      <c r="G1546" t="s">
        <v>2515</v>
      </c>
      <c r="H1546">
        <v>111.9</v>
      </c>
      <c r="I1546">
        <v>6</v>
      </c>
      <c r="J1546">
        <v>51.473999999999997</v>
      </c>
      <c r="K1546">
        <v>2013</v>
      </c>
      <c r="L1546">
        <v>12</v>
      </c>
      <c r="M1546" t="s">
        <v>41</v>
      </c>
      <c r="N1546">
        <v>4</v>
      </c>
      <c r="O1546">
        <v>3</v>
      </c>
      <c r="P1546">
        <v>46</v>
      </c>
      <c r="Q1546">
        <v>18.649999999999999</v>
      </c>
      <c r="R1546" t="s">
        <v>26</v>
      </c>
      <c r="S1546" t="b">
        <v>0</v>
      </c>
      <c r="T1546" t="b">
        <v>0</v>
      </c>
    </row>
    <row r="1547" spans="1:20" x14ac:dyDescent="0.3">
      <c r="A1547" t="s">
        <v>2516</v>
      </c>
      <c r="B1547" s="1">
        <v>41520</v>
      </c>
      <c r="C1547" s="1">
        <v>41522</v>
      </c>
      <c r="D1547" t="s">
        <v>797</v>
      </c>
      <c r="E1547" t="s">
        <v>51</v>
      </c>
      <c r="F1547" t="s">
        <v>45</v>
      </c>
      <c r="G1547" t="s">
        <v>2517</v>
      </c>
      <c r="H1547">
        <v>46.53</v>
      </c>
      <c r="I1547">
        <v>3</v>
      </c>
      <c r="J1547">
        <v>12.097799999999999</v>
      </c>
      <c r="K1547">
        <v>2013</v>
      </c>
      <c r="L1547">
        <v>9</v>
      </c>
      <c r="M1547" t="s">
        <v>87</v>
      </c>
      <c r="N1547">
        <v>3</v>
      </c>
      <c r="O1547">
        <v>2</v>
      </c>
      <c r="P1547">
        <v>26</v>
      </c>
      <c r="Q1547">
        <v>15.51</v>
      </c>
      <c r="R1547" t="s">
        <v>26</v>
      </c>
      <c r="S1547" t="b">
        <v>0</v>
      </c>
      <c r="T1547" t="b">
        <v>0</v>
      </c>
    </row>
    <row r="1548" spans="1:20" x14ac:dyDescent="0.3">
      <c r="A1548" t="s">
        <v>2518</v>
      </c>
      <c r="B1548" s="1">
        <v>41755</v>
      </c>
      <c r="C1548" s="1">
        <v>41759</v>
      </c>
      <c r="D1548" t="s">
        <v>2519</v>
      </c>
      <c r="E1548" t="s">
        <v>2400</v>
      </c>
      <c r="F1548" t="s">
        <v>31</v>
      </c>
      <c r="G1548" t="s">
        <v>1349</v>
      </c>
      <c r="H1548">
        <v>8.8960000000000008</v>
      </c>
      <c r="I1548">
        <v>4</v>
      </c>
      <c r="J1548">
        <v>0.66720000000000002</v>
      </c>
      <c r="K1548">
        <v>2014</v>
      </c>
      <c r="L1548">
        <v>4</v>
      </c>
      <c r="M1548" t="s">
        <v>236</v>
      </c>
      <c r="N1548">
        <v>26</v>
      </c>
      <c r="O1548">
        <v>4</v>
      </c>
      <c r="P1548">
        <v>7.5</v>
      </c>
      <c r="Q1548">
        <v>2.2240000000000002</v>
      </c>
      <c r="R1548" t="s">
        <v>48</v>
      </c>
      <c r="S1548" t="b">
        <v>0</v>
      </c>
      <c r="T1548" t="b">
        <v>0</v>
      </c>
    </row>
    <row r="1549" spans="1:20" x14ac:dyDescent="0.3">
      <c r="A1549" t="s">
        <v>2520</v>
      </c>
      <c r="B1549" s="1">
        <v>41201</v>
      </c>
      <c r="C1549" s="1">
        <v>41206</v>
      </c>
      <c r="D1549" t="s">
        <v>2191</v>
      </c>
      <c r="E1549" t="s">
        <v>22</v>
      </c>
      <c r="F1549" t="s">
        <v>61</v>
      </c>
      <c r="G1549" t="s">
        <v>2521</v>
      </c>
      <c r="H1549">
        <v>270</v>
      </c>
      <c r="I1549">
        <v>3</v>
      </c>
      <c r="J1549">
        <v>97.2</v>
      </c>
      <c r="K1549">
        <v>2012</v>
      </c>
      <c r="L1549">
        <v>10</v>
      </c>
      <c r="M1549" t="s">
        <v>82</v>
      </c>
      <c r="N1549">
        <v>19</v>
      </c>
      <c r="O1549">
        <v>5</v>
      </c>
      <c r="P1549">
        <v>36</v>
      </c>
      <c r="Q1549">
        <v>90</v>
      </c>
      <c r="R1549" t="s">
        <v>26</v>
      </c>
      <c r="S1549" t="b">
        <v>0</v>
      </c>
      <c r="T1549" t="b">
        <v>1</v>
      </c>
    </row>
    <row r="1550" spans="1:20" x14ac:dyDescent="0.3">
      <c r="A1550" t="s">
        <v>2522</v>
      </c>
      <c r="B1550" s="1">
        <v>41892</v>
      </c>
      <c r="C1550" s="1">
        <v>41896</v>
      </c>
      <c r="D1550" t="s">
        <v>2362</v>
      </c>
      <c r="E1550" t="s">
        <v>849</v>
      </c>
      <c r="F1550" t="s">
        <v>72</v>
      </c>
      <c r="G1550" t="s">
        <v>2523</v>
      </c>
      <c r="H1550">
        <v>6.3680000000000003</v>
      </c>
      <c r="I1550">
        <v>2</v>
      </c>
      <c r="J1550">
        <v>2.3879999999999999</v>
      </c>
      <c r="K1550">
        <v>2014</v>
      </c>
      <c r="L1550">
        <v>9</v>
      </c>
      <c r="M1550" t="s">
        <v>87</v>
      </c>
      <c r="N1550">
        <v>10</v>
      </c>
      <c r="O1550">
        <v>4</v>
      </c>
      <c r="P1550">
        <v>37.5</v>
      </c>
      <c r="Q1550">
        <v>3.1840000000000002</v>
      </c>
      <c r="R1550" t="s">
        <v>26</v>
      </c>
      <c r="S1550" t="b">
        <v>0</v>
      </c>
      <c r="T1550" t="b">
        <v>0</v>
      </c>
    </row>
    <row r="1551" spans="1:20" x14ac:dyDescent="0.3">
      <c r="A1551" t="s">
        <v>2524</v>
      </c>
      <c r="B1551" s="1">
        <v>41478</v>
      </c>
      <c r="C1551" s="1">
        <v>41485</v>
      </c>
      <c r="D1551" t="s">
        <v>1315</v>
      </c>
      <c r="E1551" t="s">
        <v>2525</v>
      </c>
      <c r="F1551" t="s">
        <v>122</v>
      </c>
      <c r="G1551" t="s">
        <v>2526</v>
      </c>
      <c r="H1551">
        <v>86.2</v>
      </c>
      <c r="I1551">
        <v>5</v>
      </c>
      <c r="J1551">
        <v>24.998000000000001</v>
      </c>
      <c r="K1551">
        <v>2013</v>
      </c>
      <c r="L1551">
        <v>7</v>
      </c>
      <c r="M1551" t="s">
        <v>66</v>
      </c>
      <c r="N1551">
        <v>23</v>
      </c>
      <c r="O1551">
        <v>7</v>
      </c>
      <c r="P1551">
        <v>29</v>
      </c>
      <c r="Q1551">
        <v>17.239999999999998</v>
      </c>
      <c r="R1551" t="s">
        <v>26</v>
      </c>
      <c r="S1551" t="b">
        <v>0</v>
      </c>
      <c r="T1551" t="b">
        <v>0</v>
      </c>
    </row>
    <row r="1552" spans="1:20" x14ac:dyDescent="0.3">
      <c r="A1552" t="s">
        <v>2527</v>
      </c>
      <c r="B1552" s="1">
        <v>42003</v>
      </c>
      <c r="C1552" s="1">
        <v>42007</v>
      </c>
      <c r="D1552" t="s">
        <v>172</v>
      </c>
      <c r="E1552" t="s">
        <v>521</v>
      </c>
      <c r="F1552" t="s">
        <v>119</v>
      </c>
      <c r="G1552" t="s">
        <v>2528</v>
      </c>
      <c r="H1552">
        <v>19.600000000000001</v>
      </c>
      <c r="I1552">
        <v>5</v>
      </c>
      <c r="J1552">
        <v>9.6039999999999992</v>
      </c>
      <c r="K1552">
        <v>2014</v>
      </c>
      <c r="L1552">
        <v>12</v>
      </c>
      <c r="M1552" t="s">
        <v>41</v>
      </c>
      <c r="N1552">
        <v>30</v>
      </c>
      <c r="O1552">
        <v>4</v>
      </c>
      <c r="P1552">
        <v>49</v>
      </c>
      <c r="Q1552">
        <v>3.92</v>
      </c>
      <c r="R1552" t="s">
        <v>26</v>
      </c>
      <c r="S1552" t="b">
        <v>0</v>
      </c>
      <c r="T1552" t="b">
        <v>0</v>
      </c>
    </row>
    <row r="1553" spans="1:20" x14ac:dyDescent="0.3">
      <c r="A1553" t="s">
        <v>2527</v>
      </c>
      <c r="B1553" s="1">
        <v>42003</v>
      </c>
      <c r="C1553" s="1">
        <v>42007</v>
      </c>
      <c r="D1553" t="s">
        <v>172</v>
      </c>
      <c r="E1553" t="s">
        <v>521</v>
      </c>
      <c r="F1553" t="s">
        <v>29</v>
      </c>
      <c r="G1553" t="s">
        <v>1093</v>
      </c>
      <c r="H1553">
        <v>68.459999999999994</v>
      </c>
      <c r="I1553">
        <v>2</v>
      </c>
      <c r="J1553">
        <v>20.538</v>
      </c>
      <c r="K1553">
        <v>2014</v>
      </c>
      <c r="L1553">
        <v>12</v>
      </c>
      <c r="M1553" t="s">
        <v>41</v>
      </c>
      <c r="N1553">
        <v>30</v>
      </c>
      <c r="O1553">
        <v>4</v>
      </c>
      <c r="P1553">
        <v>30</v>
      </c>
      <c r="Q1553">
        <v>34.229999999999997</v>
      </c>
      <c r="R1553" t="s">
        <v>26</v>
      </c>
      <c r="S1553" t="b">
        <v>0</v>
      </c>
      <c r="T1553" t="b">
        <v>0</v>
      </c>
    </row>
    <row r="1554" spans="1:20" x14ac:dyDescent="0.3">
      <c r="A1554" t="s">
        <v>2529</v>
      </c>
      <c r="B1554" s="1">
        <v>41887</v>
      </c>
      <c r="C1554" s="1">
        <v>41889</v>
      </c>
      <c r="D1554" t="s">
        <v>1452</v>
      </c>
      <c r="E1554" t="s">
        <v>51</v>
      </c>
      <c r="F1554" t="s">
        <v>33</v>
      </c>
      <c r="G1554" t="s">
        <v>2340</v>
      </c>
      <c r="H1554">
        <v>13.343999999999999</v>
      </c>
      <c r="I1554">
        <v>6</v>
      </c>
      <c r="J1554">
        <v>4.3368000000000002</v>
      </c>
      <c r="K1554">
        <v>2014</v>
      </c>
      <c r="L1554">
        <v>9</v>
      </c>
      <c r="M1554" t="s">
        <v>87</v>
      </c>
      <c r="N1554">
        <v>5</v>
      </c>
      <c r="O1554">
        <v>2</v>
      </c>
      <c r="P1554">
        <v>32.5</v>
      </c>
      <c r="Q1554">
        <v>2.2240000000000002</v>
      </c>
      <c r="R1554" t="s">
        <v>26</v>
      </c>
      <c r="S1554" t="b">
        <v>0</v>
      </c>
      <c r="T1554" t="b">
        <v>0</v>
      </c>
    </row>
    <row r="1555" spans="1:20" x14ac:dyDescent="0.3">
      <c r="A1555" t="s">
        <v>2530</v>
      </c>
      <c r="B1555" s="1">
        <v>41911</v>
      </c>
      <c r="C1555" s="1">
        <v>41917</v>
      </c>
      <c r="D1555" t="s">
        <v>2193</v>
      </c>
      <c r="E1555" t="s">
        <v>22</v>
      </c>
      <c r="F1555" t="s">
        <v>29</v>
      </c>
      <c r="G1555" t="s">
        <v>124</v>
      </c>
      <c r="H1555">
        <v>9.24</v>
      </c>
      <c r="I1555">
        <v>3</v>
      </c>
      <c r="J1555">
        <v>4.4352</v>
      </c>
      <c r="K1555">
        <v>2014</v>
      </c>
      <c r="L1555">
        <v>9</v>
      </c>
      <c r="M1555" t="s">
        <v>87</v>
      </c>
      <c r="N1555">
        <v>29</v>
      </c>
      <c r="O1555">
        <v>6</v>
      </c>
      <c r="P1555">
        <v>48</v>
      </c>
      <c r="Q1555">
        <v>3.08</v>
      </c>
      <c r="R1555" t="s">
        <v>26</v>
      </c>
      <c r="S1555" t="b">
        <v>0</v>
      </c>
      <c r="T1555" t="b">
        <v>0</v>
      </c>
    </row>
    <row r="1556" spans="1:20" x14ac:dyDescent="0.3">
      <c r="A1556" t="s">
        <v>2531</v>
      </c>
      <c r="B1556" s="1">
        <v>40563</v>
      </c>
      <c r="C1556" s="1">
        <v>40564</v>
      </c>
      <c r="D1556" t="s">
        <v>1996</v>
      </c>
      <c r="E1556" t="s">
        <v>133</v>
      </c>
      <c r="F1556" t="s">
        <v>33</v>
      </c>
      <c r="G1556" t="s">
        <v>997</v>
      </c>
      <c r="H1556">
        <v>32.340000000000003</v>
      </c>
      <c r="I1556">
        <v>10</v>
      </c>
      <c r="J1556">
        <v>-23.716000000000001</v>
      </c>
      <c r="K1556">
        <v>2011</v>
      </c>
      <c r="L1556">
        <v>1</v>
      </c>
      <c r="M1556" t="s">
        <v>60</v>
      </c>
      <c r="N1556">
        <v>20</v>
      </c>
      <c r="O1556">
        <v>1</v>
      </c>
      <c r="P1556">
        <v>-73.33</v>
      </c>
      <c r="Q1556">
        <v>3.234</v>
      </c>
      <c r="R1556" t="s">
        <v>26</v>
      </c>
      <c r="S1556" t="b">
        <v>1</v>
      </c>
      <c r="T1556" t="b">
        <v>0</v>
      </c>
    </row>
    <row r="1557" spans="1:20" x14ac:dyDescent="0.3">
      <c r="A1557" t="s">
        <v>2531</v>
      </c>
      <c r="B1557" s="1">
        <v>40563</v>
      </c>
      <c r="C1557" s="1">
        <v>40564</v>
      </c>
      <c r="D1557" t="s">
        <v>1996</v>
      </c>
      <c r="E1557" t="s">
        <v>133</v>
      </c>
      <c r="F1557" t="s">
        <v>72</v>
      </c>
      <c r="G1557" t="s">
        <v>2532</v>
      </c>
      <c r="H1557">
        <v>56.064</v>
      </c>
      <c r="I1557">
        <v>4</v>
      </c>
      <c r="J1557">
        <v>19.622399999999999</v>
      </c>
      <c r="K1557">
        <v>2011</v>
      </c>
      <c r="L1557">
        <v>1</v>
      </c>
      <c r="M1557" t="s">
        <v>60</v>
      </c>
      <c r="N1557">
        <v>20</v>
      </c>
      <c r="O1557">
        <v>1</v>
      </c>
      <c r="P1557">
        <v>35</v>
      </c>
      <c r="Q1557">
        <v>14.016</v>
      </c>
      <c r="R1557" t="s">
        <v>26</v>
      </c>
      <c r="S1557" t="b">
        <v>0</v>
      </c>
      <c r="T1557" t="b">
        <v>0</v>
      </c>
    </row>
    <row r="1558" spans="1:20" x14ac:dyDescent="0.3">
      <c r="A1558" t="s">
        <v>2531</v>
      </c>
      <c r="B1558" s="1">
        <v>40563</v>
      </c>
      <c r="C1558" s="1">
        <v>40564</v>
      </c>
      <c r="D1558" t="s">
        <v>1996</v>
      </c>
      <c r="E1558" t="s">
        <v>133</v>
      </c>
      <c r="F1558" t="s">
        <v>128</v>
      </c>
      <c r="G1558" t="s">
        <v>1667</v>
      </c>
      <c r="H1558">
        <v>108.72</v>
      </c>
      <c r="I1558">
        <v>5</v>
      </c>
      <c r="J1558">
        <v>36.692999999999998</v>
      </c>
      <c r="K1558">
        <v>2011</v>
      </c>
      <c r="L1558">
        <v>1</v>
      </c>
      <c r="M1558" t="s">
        <v>60</v>
      </c>
      <c r="N1558">
        <v>20</v>
      </c>
      <c r="O1558">
        <v>1</v>
      </c>
      <c r="P1558">
        <v>33.75</v>
      </c>
      <c r="Q1558">
        <v>21.744</v>
      </c>
      <c r="R1558" t="s">
        <v>26</v>
      </c>
      <c r="S1558" t="b">
        <v>0</v>
      </c>
      <c r="T1558" t="b">
        <v>0</v>
      </c>
    </row>
    <row r="1559" spans="1:20" x14ac:dyDescent="0.3">
      <c r="A1559" t="s">
        <v>2531</v>
      </c>
      <c r="B1559" s="1">
        <v>40563</v>
      </c>
      <c r="C1559" s="1">
        <v>40564</v>
      </c>
      <c r="D1559" t="s">
        <v>1996</v>
      </c>
      <c r="E1559" t="s">
        <v>133</v>
      </c>
      <c r="F1559" t="s">
        <v>317</v>
      </c>
      <c r="G1559" t="s">
        <v>2533</v>
      </c>
      <c r="H1559">
        <v>181.47</v>
      </c>
      <c r="I1559">
        <v>5</v>
      </c>
      <c r="J1559">
        <v>-320.59699999999998</v>
      </c>
      <c r="K1559">
        <v>2011</v>
      </c>
      <c r="L1559">
        <v>1</v>
      </c>
      <c r="M1559" t="s">
        <v>60</v>
      </c>
      <c r="N1559">
        <v>20</v>
      </c>
      <c r="O1559">
        <v>1</v>
      </c>
      <c r="P1559">
        <v>-176.67</v>
      </c>
      <c r="Q1559">
        <v>36.293999999999997</v>
      </c>
      <c r="R1559" t="s">
        <v>26</v>
      </c>
      <c r="S1559" t="b">
        <v>1</v>
      </c>
      <c r="T1559" t="b">
        <v>0</v>
      </c>
    </row>
    <row r="1560" spans="1:20" x14ac:dyDescent="0.3">
      <c r="A1560" t="s">
        <v>2534</v>
      </c>
      <c r="B1560" s="1">
        <v>41435</v>
      </c>
      <c r="C1560" s="1">
        <v>41440</v>
      </c>
      <c r="D1560" t="s">
        <v>2535</v>
      </c>
      <c r="E1560" t="s">
        <v>51</v>
      </c>
      <c r="F1560" t="s">
        <v>110</v>
      </c>
      <c r="G1560" t="s">
        <v>1302</v>
      </c>
      <c r="H1560">
        <v>122.352</v>
      </c>
      <c r="I1560">
        <v>3</v>
      </c>
      <c r="J1560">
        <v>13.7646</v>
      </c>
      <c r="K1560">
        <v>2013</v>
      </c>
      <c r="L1560">
        <v>6</v>
      </c>
      <c r="M1560" t="s">
        <v>25</v>
      </c>
      <c r="N1560">
        <v>10</v>
      </c>
      <c r="O1560">
        <v>5</v>
      </c>
      <c r="P1560">
        <v>11.25</v>
      </c>
      <c r="Q1560">
        <v>40.783999999999999</v>
      </c>
      <c r="R1560" t="s">
        <v>48</v>
      </c>
      <c r="S1560" t="b">
        <v>0</v>
      </c>
      <c r="T1560" t="b">
        <v>0</v>
      </c>
    </row>
    <row r="1561" spans="1:20" x14ac:dyDescent="0.3">
      <c r="A1561" t="s">
        <v>2536</v>
      </c>
      <c r="B1561" s="1">
        <v>40812</v>
      </c>
      <c r="C1561" s="1">
        <v>40813</v>
      </c>
      <c r="D1561" t="s">
        <v>1224</v>
      </c>
      <c r="E1561" t="s">
        <v>194</v>
      </c>
      <c r="F1561" t="s">
        <v>72</v>
      </c>
      <c r="G1561" t="s">
        <v>2537</v>
      </c>
      <c r="H1561">
        <v>19.440000000000001</v>
      </c>
      <c r="I1561">
        <v>3</v>
      </c>
      <c r="J1561">
        <v>9.3312000000000008</v>
      </c>
      <c r="K1561">
        <v>2011</v>
      </c>
      <c r="L1561">
        <v>9</v>
      </c>
      <c r="M1561" t="s">
        <v>87</v>
      </c>
      <c r="N1561">
        <v>26</v>
      </c>
      <c r="O1561">
        <v>1</v>
      </c>
      <c r="P1561">
        <v>48</v>
      </c>
      <c r="Q1561">
        <v>6.48</v>
      </c>
      <c r="R1561" t="s">
        <v>26</v>
      </c>
      <c r="S1561" t="b">
        <v>0</v>
      </c>
      <c r="T1561" t="b">
        <v>0</v>
      </c>
    </row>
    <row r="1562" spans="1:20" x14ac:dyDescent="0.3">
      <c r="A1562" t="s">
        <v>2538</v>
      </c>
      <c r="B1562" s="1">
        <v>41993</v>
      </c>
      <c r="C1562" s="1">
        <v>41997</v>
      </c>
      <c r="D1562" t="s">
        <v>1823</v>
      </c>
      <c r="E1562" t="s">
        <v>343</v>
      </c>
      <c r="F1562" t="s">
        <v>29</v>
      </c>
      <c r="G1562" t="s">
        <v>2539</v>
      </c>
      <c r="H1562">
        <v>13.36</v>
      </c>
      <c r="I1562">
        <v>5</v>
      </c>
      <c r="J1562">
        <v>4.008</v>
      </c>
      <c r="K1562">
        <v>2014</v>
      </c>
      <c r="L1562">
        <v>12</v>
      </c>
      <c r="M1562" t="s">
        <v>41</v>
      </c>
      <c r="N1562">
        <v>20</v>
      </c>
      <c r="O1562">
        <v>4</v>
      </c>
      <c r="P1562">
        <v>30</v>
      </c>
      <c r="Q1562">
        <v>2.6720000000000002</v>
      </c>
      <c r="R1562" t="s">
        <v>26</v>
      </c>
      <c r="S1562" t="b">
        <v>0</v>
      </c>
      <c r="T1562" t="b">
        <v>0</v>
      </c>
    </row>
    <row r="1563" spans="1:20" x14ac:dyDescent="0.3">
      <c r="A1563" t="s">
        <v>2538</v>
      </c>
      <c r="B1563" s="1">
        <v>41993</v>
      </c>
      <c r="C1563" s="1">
        <v>41997</v>
      </c>
      <c r="D1563" t="s">
        <v>1823</v>
      </c>
      <c r="E1563" t="s">
        <v>343</v>
      </c>
      <c r="F1563" t="s">
        <v>45</v>
      </c>
      <c r="G1563" t="s">
        <v>2540</v>
      </c>
      <c r="H1563">
        <v>78.256</v>
      </c>
      <c r="I1563">
        <v>2</v>
      </c>
      <c r="J1563">
        <v>-17.607600000000001</v>
      </c>
      <c r="K1563">
        <v>2014</v>
      </c>
      <c r="L1563">
        <v>12</v>
      </c>
      <c r="M1563" t="s">
        <v>41</v>
      </c>
      <c r="N1563">
        <v>20</v>
      </c>
      <c r="O1563">
        <v>4</v>
      </c>
      <c r="P1563">
        <v>-22.5</v>
      </c>
      <c r="Q1563">
        <v>39.128</v>
      </c>
      <c r="R1563" t="s">
        <v>26</v>
      </c>
      <c r="S1563" t="b">
        <v>1</v>
      </c>
      <c r="T1563" t="b">
        <v>0</v>
      </c>
    </row>
    <row r="1564" spans="1:20" x14ac:dyDescent="0.3">
      <c r="A1564" t="s">
        <v>2538</v>
      </c>
      <c r="B1564" s="1">
        <v>41993</v>
      </c>
      <c r="C1564" s="1">
        <v>41997</v>
      </c>
      <c r="D1564" t="s">
        <v>1823</v>
      </c>
      <c r="E1564" t="s">
        <v>343</v>
      </c>
      <c r="F1564" t="s">
        <v>317</v>
      </c>
      <c r="G1564" t="s">
        <v>2541</v>
      </c>
      <c r="H1564">
        <v>102.018</v>
      </c>
      <c r="I1564">
        <v>7</v>
      </c>
      <c r="J1564">
        <v>-183.63239999999999</v>
      </c>
      <c r="K1564">
        <v>2014</v>
      </c>
      <c r="L1564">
        <v>12</v>
      </c>
      <c r="M1564" t="s">
        <v>41</v>
      </c>
      <c r="N1564">
        <v>20</v>
      </c>
      <c r="O1564">
        <v>4</v>
      </c>
      <c r="P1564">
        <v>-180</v>
      </c>
      <c r="Q1564">
        <v>14.574</v>
      </c>
      <c r="R1564" t="s">
        <v>26</v>
      </c>
      <c r="S1564" t="b">
        <v>1</v>
      </c>
      <c r="T1564" t="b">
        <v>0</v>
      </c>
    </row>
    <row r="1565" spans="1:20" x14ac:dyDescent="0.3">
      <c r="A1565" t="s">
        <v>2542</v>
      </c>
      <c r="B1565" s="1">
        <v>41921</v>
      </c>
      <c r="C1565" s="1">
        <v>41927</v>
      </c>
      <c r="D1565" t="s">
        <v>2066</v>
      </c>
      <c r="E1565" t="s">
        <v>194</v>
      </c>
      <c r="F1565" t="s">
        <v>54</v>
      </c>
      <c r="G1565" t="s">
        <v>2543</v>
      </c>
      <c r="H1565">
        <v>103.19199999999999</v>
      </c>
      <c r="I1565">
        <v>1</v>
      </c>
      <c r="J1565">
        <v>11.6091</v>
      </c>
      <c r="K1565">
        <v>2014</v>
      </c>
      <c r="L1565">
        <v>10</v>
      </c>
      <c r="M1565" t="s">
        <v>82</v>
      </c>
      <c r="N1565">
        <v>9</v>
      </c>
      <c r="O1565">
        <v>6</v>
      </c>
      <c r="P1565">
        <v>11.25</v>
      </c>
      <c r="Q1565">
        <v>103.19199999999999</v>
      </c>
      <c r="R1565" t="s">
        <v>26</v>
      </c>
      <c r="S1565" t="b">
        <v>0</v>
      </c>
      <c r="T1565" t="b">
        <v>0</v>
      </c>
    </row>
    <row r="1566" spans="1:20" x14ac:dyDescent="0.3">
      <c r="A1566" t="s">
        <v>2542</v>
      </c>
      <c r="B1566" s="1">
        <v>41921</v>
      </c>
      <c r="C1566" s="1">
        <v>41927</v>
      </c>
      <c r="D1566" t="s">
        <v>2066</v>
      </c>
      <c r="E1566" t="s">
        <v>194</v>
      </c>
      <c r="F1566" t="s">
        <v>61</v>
      </c>
      <c r="G1566" t="s">
        <v>2544</v>
      </c>
      <c r="H1566">
        <v>36</v>
      </c>
      <c r="I1566">
        <v>2</v>
      </c>
      <c r="J1566">
        <v>6.48</v>
      </c>
      <c r="K1566">
        <v>2014</v>
      </c>
      <c r="L1566">
        <v>10</v>
      </c>
      <c r="M1566" t="s">
        <v>82</v>
      </c>
      <c r="N1566">
        <v>9</v>
      </c>
      <c r="O1566">
        <v>6</v>
      </c>
      <c r="P1566">
        <v>18</v>
      </c>
      <c r="Q1566">
        <v>18</v>
      </c>
      <c r="R1566" t="s">
        <v>26</v>
      </c>
      <c r="S1566" t="b">
        <v>0</v>
      </c>
      <c r="T1566" t="b">
        <v>0</v>
      </c>
    </row>
    <row r="1567" spans="1:20" x14ac:dyDescent="0.3">
      <c r="A1567" t="s">
        <v>2542</v>
      </c>
      <c r="B1567" s="1">
        <v>41921</v>
      </c>
      <c r="C1567" s="1">
        <v>41927</v>
      </c>
      <c r="D1567" t="s">
        <v>2066</v>
      </c>
      <c r="E1567" t="s">
        <v>194</v>
      </c>
      <c r="F1567" t="s">
        <v>61</v>
      </c>
      <c r="G1567" t="s">
        <v>476</v>
      </c>
      <c r="H1567">
        <v>239.96</v>
      </c>
      <c r="I1567">
        <v>4</v>
      </c>
      <c r="J1567">
        <v>115.1808</v>
      </c>
      <c r="K1567">
        <v>2014</v>
      </c>
      <c r="L1567">
        <v>10</v>
      </c>
      <c r="M1567" t="s">
        <v>82</v>
      </c>
      <c r="N1567">
        <v>9</v>
      </c>
      <c r="O1567">
        <v>6</v>
      </c>
      <c r="P1567">
        <v>48</v>
      </c>
      <c r="Q1567">
        <v>59.99</v>
      </c>
      <c r="R1567" t="s">
        <v>26</v>
      </c>
      <c r="S1567" t="b">
        <v>0</v>
      </c>
      <c r="T1567" t="b">
        <v>1</v>
      </c>
    </row>
    <row r="1568" spans="1:20" x14ac:dyDescent="0.3">
      <c r="A1568" t="s">
        <v>2542</v>
      </c>
      <c r="B1568" s="1">
        <v>41921</v>
      </c>
      <c r="C1568" s="1">
        <v>41927</v>
      </c>
      <c r="D1568" t="s">
        <v>2066</v>
      </c>
      <c r="E1568" t="s">
        <v>194</v>
      </c>
      <c r="F1568" t="s">
        <v>45</v>
      </c>
      <c r="G1568" t="s">
        <v>2142</v>
      </c>
      <c r="H1568">
        <v>40.68</v>
      </c>
      <c r="I1568">
        <v>2</v>
      </c>
      <c r="J1568">
        <v>0.40679999999999999</v>
      </c>
      <c r="K1568">
        <v>2014</v>
      </c>
      <c r="L1568">
        <v>10</v>
      </c>
      <c r="M1568" t="s">
        <v>82</v>
      </c>
      <c r="N1568">
        <v>9</v>
      </c>
      <c r="O1568">
        <v>6</v>
      </c>
      <c r="P1568">
        <v>1</v>
      </c>
      <c r="Q1568">
        <v>20.34</v>
      </c>
      <c r="R1568" t="s">
        <v>26</v>
      </c>
      <c r="S1568" t="b">
        <v>0</v>
      </c>
      <c r="T1568" t="b">
        <v>0</v>
      </c>
    </row>
    <row r="1569" spans="1:20" x14ac:dyDescent="0.3">
      <c r="A1569" t="s">
        <v>2545</v>
      </c>
      <c r="B1569" s="1">
        <v>40875</v>
      </c>
      <c r="C1569" s="1">
        <v>40875</v>
      </c>
      <c r="D1569" t="s">
        <v>2546</v>
      </c>
      <c r="E1569" t="s">
        <v>51</v>
      </c>
      <c r="F1569" t="s">
        <v>122</v>
      </c>
      <c r="G1569" t="s">
        <v>155</v>
      </c>
      <c r="H1569">
        <v>7.36</v>
      </c>
      <c r="I1569">
        <v>2</v>
      </c>
      <c r="J1569">
        <v>0.1472</v>
      </c>
      <c r="K1569">
        <v>2011</v>
      </c>
      <c r="L1569">
        <v>11</v>
      </c>
      <c r="M1569" t="s">
        <v>70</v>
      </c>
      <c r="N1569">
        <v>28</v>
      </c>
      <c r="O1569">
        <v>0</v>
      </c>
      <c r="P1569">
        <v>2</v>
      </c>
      <c r="Q1569">
        <v>3.68</v>
      </c>
      <c r="R1569" t="s">
        <v>26</v>
      </c>
      <c r="S1569" t="b">
        <v>0</v>
      </c>
      <c r="T1569" t="b">
        <v>0</v>
      </c>
    </row>
    <row r="1570" spans="1:20" x14ac:dyDescent="0.3">
      <c r="A1570" t="s">
        <v>2545</v>
      </c>
      <c r="B1570" s="1">
        <v>40875</v>
      </c>
      <c r="C1570" s="1">
        <v>40875</v>
      </c>
      <c r="D1570" t="s">
        <v>2546</v>
      </c>
      <c r="E1570" t="s">
        <v>51</v>
      </c>
      <c r="F1570" t="s">
        <v>23</v>
      </c>
      <c r="G1570" t="s">
        <v>1676</v>
      </c>
      <c r="H1570">
        <v>41.4</v>
      </c>
      <c r="I1570">
        <v>4</v>
      </c>
      <c r="J1570">
        <v>19.872</v>
      </c>
      <c r="K1570">
        <v>2011</v>
      </c>
      <c r="L1570">
        <v>11</v>
      </c>
      <c r="M1570" t="s">
        <v>70</v>
      </c>
      <c r="N1570">
        <v>28</v>
      </c>
      <c r="O1570">
        <v>0</v>
      </c>
      <c r="P1570">
        <v>48</v>
      </c>
      <c r="Q1570">
        <v>10.35</v>
      </c>
      <c r="R1570" t="s">
        <v>26</v>
      </c>
      <c r="S1570" t="b">
        <v>0</v>
      </c>
      <c r="T1570" t="b">
        <v>0</v>
      </c>
    </row>
    <row r="1571" spans="1:20" x14ac:dyDescent="0.3">
      <c r="A1571" t="s">
        <v>2545</v>
      </c>
      <c r="B1571" s="1">
        <v>40875</v>
      </c>
      <c r="C1571" s="1">
        <v>40875</v>
      </c>
      <c r="D1571" t="s">
        <v>2546</v>
      </c>
      <c r="E1571" t="s">
        <v>51</v>
      </c>
      <c r="F1571" t="s">
        <v>317</v>
      </c>
      <c r="G1571" t="s">
        <v>1018</v>
      </c>
      <c r="H1571">
        <v>411.33199999999999</v>
      </c>
      <c r="I1571">
        <v>4</v>
      </c>
      <c r="J1571">
        <v>-4.8391999999999999</v>
      </c>
      <c r="K1571">
        <v>2011</v>
      </c>
      <c r="L1571">
        <v>11</v>
      </c>
      <c r="M1571" t="s">
        <v>70</v>
      </c>
      <c r="N1571">
        <v>28</v>
      </c>
      <c r="O1571">
        <v>0</v>
      </c>
      <c r="P1571">
        <v>-1.18</v>
      </c>
      <c r="Q1571">
        <v>102.833</v>
      </c>
      <c r="R1571" t="s">
        <v>26</v>
      </c>
      <c r="S1571" t="b">
        <v>1</v>
      </c>
      <c r="T1571" t="b">
        <v>1</v>
      </c>
    </row>
    <row r="1572" spans="1:20" x14ac:dyDescent="0.3">
      <c r="A1572" t="s">
        <v>2547</v>
      </c>
      <c r="B1572" s="1">
        <v>41556</v>
      </c>
      <c r="C1572" s="1">
        <v>41556</v>
      </c>
      <c r="D1572" t="s">
        <v>296</v>
      </c>
      <c r="E1572" t="s">
        <v>22</v>
      </c>
      <c r="F1572" t="s">
        <v>72</v>
      </c>
      <c r="G1572" t="s">
        <v>2548</v>
      </c>
      <c r="H1572">
        <v>61.96</v>
      </c>
      <c r="I1572">
        <v>2</v>
      </c>
      <c r="J1572">
        <v>27.882000000000001</v>
      </c>
      <c r="K1572">
        <v>2013</v>
      </c>
      <c r="L1572">
        <v>10</v>
      </c>
      <c r="M1572" t="s">
        <v>82</v>
      </c>
      <c r="N1572">
        <v>9</v>
      </c>
      <c r="O1572">
        <v>0</v>
      </c>
      <c r="P1572">
        <v>45</v>
      </c>
      <c r="Q1572">
        <v>30.98</v>
      </c>
      <c r="R1572" t="s">
        <v>26</v>
      </c>
      <c r="S1572" t="b">
        <v>0</v>
      </c>
      <c r="T1572" t="b">
        <v>0</v>
      </c>
    </row>
    <row r="1573" spans="1:20" x14ac:dyDescent="0.3">
      <c r="A1573" t="s">
        <v>2549</v>
      </c>
      <c r="B1573" s="1">
        <v>41190</v>
      </c>
      <c r="C1573" s="1">
        <v>41194</v>
      </c>
      <c r="D1573" t="s">
        <v>848</v>
      </c>
      <c r="E1573" t="s">
        <v>51</v>
      </c>
      <c r="F1573" t="s">
        <v>29</v>
      </c>
      <c r="G1573" t="s">
        <v>799</v>
      </c>
      <c r="H1573">
        <v>145.9</v>
      </c>
      <c r="I1573">
        <v>5</v>
      </c>
      <c r="J1573">
        <v>62.737000000000002</v>
      </c>
      <c r="K1573">
        <v>2012</v>
      </c>
      <c r="L1573">
        <v>10</v>
      </c>
      <c r="M1573" t="s">
        <v>82</v>
      </c>
      <c r="N1573">
        <v>8</v>
      </c>
      <c r="O1573">
        <v>4</v>
      </c>
      <c r="P1573">
        <v>43</v>
      </c>
      <c r="Q1573">
        <v>29.18</v>
      </c>
      <c r="R1573" t="s">
        <v>26</v>
      </c>
      <c r="S1573" t="b">
        <v>0</v>
      </c>
      <c r="T1573" t="b">
        <v>0</v>
      </c>
    </row>
    <row r="1574" spans="1:20" x14ac:dyDescent="0.3">
      <c r="A1574" t="s">
        <v>2550</v>
      </c>
      <c r="B1574" s="1">
        <v>40599</v>
      </c>
      <c r="C1574" s="1">
        <v>40604</v>
      </c>
      <c r="D1574" t="s">
        <v>2551</v>
      </c>
      <c r="E1574" t="s">
        <v>1082</v>
      </c>
      <c r="F1574" t="s">
        <v>72</v>
      </c>
      <c r="G1574" t="s">
        <v>2552</v>
      </c>
      <c r="H1574">
        <v>32.896000000000001</v>
      </c>
      <c r="I1574">
        <v>4</v>
      </c>
      <c r="J1574">
        <v>11.102399999999999</v>
      </c>
      <c r="K1574">
        <v>2011</v>
      </c>
      <c r="L1574">
        <v>2</v>
      </c>
      <c r="M1574" t="s">
        <v>303</v>
      </c>
      <c r="N1574">
        <v>25</v>
      </c>
      <c r="O1574">
        <v>5</v>
      </c>
      <c r="P1574">
        <v>33.75</v>
      </c>
      <c r="Q1574">
        <v>8.2240000000000002</v>
      </c>
      <c r="R1574" t="s">
        <v>26</v>
      </c>
      <c r="S1574" t="b">
        <v>0</v>
      </c>
      <c r="T1574" t="b">
        <v>0</v>
      </c>
    </row>
    <row r="1575" spans="1:20" x14ac:dyDescent="0.3">
      <c r="A1575" t="s">
        <v>2550</v>
      </c>
      <c r="B1575" s="1">
        <v>40599</v>
      </c>
      <c r="C1575" s="1">
        <v>40604</v>
      </c>
      <c r="D1575" t="s">
        <v>2551</v>
      </c>
      <c r="E1575" t="s">
        <v>1082</v>
      </c>
      <c r="F1575" t="s">
        <v>72</v>
      </c>
      <c r="G1575" t="s">
        <v>2553</v>
      </c>
      <c r="H1575">
        <v>22.776</v>
      </c>
      <c r="I1575">
        <v>3</v>
      </c>
      <c r="J1575">
        <v>7.6868999999999996</v>
      </c>
      <c r="K1575">
        <v>2011</v>
      </c>
      <c r="L1575">
        <v>2</v>
      </c>
      <c r="M1575" t="s">
        <v>303</v>
      </c>
      <c r="N1575">
        <v>25</v>
      </c>
      <c r="O1575">
        <v>5</v>
      </c>
      <c r="P1575">
        <v>33.75</v>
      </c>
      <c r="Q1575">
        <v>7.5919999999999996</v>
      </c>
      <c r="R1575" t="s">
        <v>26</v>
      </c>
      <c r="S1575" t="b">
        <v>0</v>
      </c>
      <c r="T1575" t="b">
        <v>0</v>
      </c>
    </row>
    <row r="1576" spans="1:20" x14ac:dyDescent="0.3">
      <c r="A1576" t="s">
        <v>2554</v>
      </c>
      <c r="B1576" s="1">
        <v>41431</v>
      </c>
      <c r="C1576" s="1">
        <v>41433</v>
      </c>
      <c r="D1576" t="s">
        <v>2555</v>
      </c>
      <c r="E1576" t="s">
        <v>187</v>
      </c>
      <c r="F1576" t="s">
        <v>33</v>
      </c>
      <c r="G1576" t="s">
        <v>241</v>
      </c>
      <c r="H1576">
        <v>21.552</v>
      </c>
      <c r="I1576">
        <v>6</v>
      </c>
      <c r="J1576">
        <v>7.0044000000000004</v>
      </c>
      <c r="K1576">
        <v>2013</v>
      </c>
      <c r="L1576">
        <v>6</v>
      </c>
      <c r="M1576" t="s">
        <v>25</v>
      </c>
      <c r="N1576">
        <v>6</v>
      </c>
      <c r="O1576">
        <v>2</v>
      </c>
      <c r="P1576">
        <v>32.5</v>
      </c>
      <c r="Q1576">
        <v>3.5920000000000001</v>
      </c>
      <c r="R1576" t="s">
        <v>26</v>
      </c>
      <c r="S1576" t="b">
        <v>0</v>
      </c>
      <c r="T1576" t="b">
        <v>0</v>
      </c>
    </row>
    <row r="1577" spans="1:20" x14ac:dyDescent="0.3">
      <c r="A1577" t="s">
        <v>2554</v>
      </c>
      <c r="B1577" s="1">
        <v>41431</v>
      </c>
      <c r="C1577" s="1">
        <v>41433</v>
      </c>
      <c r="D1577" t="s">
        <v>2555</v>
      </c>
      <c r="E1577" t="s">
        <v>187</v>
      </c>
      <c r="F1577" t="s">
        <v>35</v>
      </c>
      <c r="G1577" t="s">
        <v>2556</v>
      </c>
      <c r="H1577">
        <v>58.24</v>
      </c>
      <c r="I1577">
        <v>4</v>
      </c>
      <c r="J1577">
        <v>15.7248</v>
      </c>
      <c r="K1577">
        <v>2013</v>
      </c>
      <c r="L1577">
        <v>6</v>
      </c>
      <c r="M1577" t="s">
        <v>25</v>
      </c>
      <c r="N1577">
        <v>6</v>
      </c>
      <c r="O1577">
        <v>2</v>
      </c>
      <c r="P1577">
        <v>27</v>
      </c>
      <c r="Q1577">
        <v>14.56</v>
      </c>
      <c r="R1577" t="s">
        <v>26</v>
      </c>
      <c r="S1577" t="b">
        <v>0</v>
      </c>
      <c r="T1577" t="b">
        <v>0</v>
      </c>
    </row>
    <row r="1578" spans="1:20" x14ac:dyDescent="0.3">
      <c r="A1578" t="s">
        <v>2557</v>
      </c>
      <c r="B1578" s="1">
        <v>41619</v>
      </c>
      <c r="C1578" s="1">
        <v>41621</v>
      </c>
      <c r="D1578" t="s">
        <v>1718</v>
      </c>
      <c r="E1578" t="s">
        <v>231</v>
      </c>
      <c r="F1578" t="s">
        <v>72</v>
      </c>
      <c r="G1578" t="s">
        <v>1127</v>
      </c>
      <c r="H1578">
        <v>80.28</v>
      </c>
      <c r="I1578">
        <v>12</v>
      </c>
      <c r="J1578">
        <v>36.928800000000003</v>
      </c>
      <c r="K1578">
        <v>2013</v>
      </c>
      <c r="L1578">
        <v>12</v>
      </c>
      <c r="M1578" t="s">
        <v>41</v>
      </c>
      <c r="N1578">
        <v>11</v>
      </c>
      <c r="O1578">
        <v>2</v>
      </c>
      <c r="P1578">
        <v>46</v>
      </c>
      <c r="Q1578">
        <v>6.69</v>
      </c>
      <c r="R1578" t="s">
        <v>26</v>
      </c>
      <c r="S1578" t="b">
        <v>0</v>
      </c>
      <c r="T1578" t="b">
        <v>0</v>
      </c>
    </row>
    <row r="1579" spans="1:20" x14ac:dyDescent="0.3">
      <c r="A1579" t="s">
        <v>2558</v>
      </c>
      <c r="B1579" s="1">
        <v>41760</v>
      </c>
      <c r="C1579" s="1">
        <v>41765</v>
      </c>
      <c r="D1579" t="s">
        <v>2559</v>
      </c>
      <c r="E1579" t="s">
        <v>22</v>
      </c>
      <c r="F1579" t="s">
        <v>31</v>
      </c>
      <c r="G1579" t="s">
        <v>2560</v>
      </c>
      <c r="H1579">
        <v>9.7799999999999994</v>
      </c>
      <c r="I1579">
        <v>2</v>
      </c>
      <c r="J1579">
        <v>4.0098000000000003</v>
      </c>
      <c r="K1579">
        <v>2014</v>
      </c>
      <c r="L1579">
        <v>5</v>
      </c>
      <c r="M1579" t="s">
        <v>47</v>
      </c>
      <c r="N1579">
        <v>1</v>
      </c>
      <c r="O1579">
        <v>5</v>
      </c>
      <c r="P1579">
        <v>41</v>
      </c>
      <c r="Q1579">
        <v>4.8899999999999997</v>
      </c>
      <c r="R1579" t="s">
        <v>26</v>
      </c>
      <c r="S1579" t="b">
        <v>0</v>
      </c>
      <c r="T1579" t="b">
        <v>0</v>
      </c>
    </row>
    <row r="1580" spans="1:20" x14ac:dyDescent="0.3">
      <c r="A1580" t="s">
        <v>2561</v>
      </c>
      <c r="B1580" s="1">
        <v>41754</v>
      </c>
      <c r="C1580" s="1">
        <v>41758</v>
      </c>
      <c r="D1580" t="s">
        <v>1422</v>
      </c>
      <c r="E1580" t="s">
        <v>2562</v>
      </c>
      <c r="F1580" t="s">
        <v>119</v>
      </c>
      <c r="G1580" t="s">
        <v>2563</v>
      </c>
      <c r="H1580">
        <v>1.81</v>
      </c>
      <c r="I1580">
        <v>1</v>
      </c>
      <c r="J1580">
        <v>0.65159999999999996</v>
      </c>
      <c r="K1580">
        <v>2014</v>
      </c>
      <c r="L1580">
        <v>4</v>
      </c>
      <c r="M1580" t="s">
        <v>236</v>
      </c>
      <c r="N1580">
        <v>25</v>
      </c>
      <c r="O1580">
        <v>4</v>
      </c>
      <c r="P1580">
        <v>36</v>
      </c>
      <c r="Q1580">
        <v>1.81</v>
      </c>
      <c r="R1580" t="s">
        <v>26</v>
      </c>
      <c r="S1580" t="b">
        <v>0</v>
      </c>
      <c r="T1580" t="b">
        <v>0</v>
      </c>
    </row>
    <row r="1581" spans="1:20" x14ac:dyDescent="0.3">
      <c r="A1581" t="s">
        <v>2564</v>
      </c>
      <c r="B1581" s="1">
        <v>41628</v>
      </c>
      <c r="C1581" s="1">
        <v>41634</v>
      </c>
      <c r="D1581" t="s">
        <v>371</v>
      </c>
      <c r="E1581" t="s">
        <v>257</v>
      </c>
      <c r="F1581" t="s">
        <v>174</v>
      </c>
      <c r="G1581" t="s">
        <v>2565</v>
      </c>
      <c r="H1581">
        <v>455.97</v>
      </c>
      <c r="I1581">
        <v>6</v>
      </c>
      <c r="J1581">
        <v>-218.8656</v>
      </c>
      <c r="K1581">
        <v>2013</v>
      </c>
      <c r="L1581">
        <v>12</v>
      </c>
      <c r="M1581" t="s">
        <v>41</v>
      </c>
      <c r="N1581">
        <v>20</v>
      </c>
      <c r="O1581">
        <v>6</v>
      </c>
      <c r="P1581">
        <v>-48</v>
      </c>
      <c r="Q1581">
        <v>75.995000000000005</v>
      </c>
      <c r="R1581" t="s">
        <v>26</v>
      </c>
      <c r="S1581" t="b">
        <v>1</v>
      </c>
      <c r="T1581" t="b">
        <v>1</v>
      </c>
    </row>
    <row r="1582" spans="1:20" x14ac:dyDescent="0.3">
      <c r="A1582" t="s">
        <v>2564</v>
      </c>
      <c r="B1582" s="1">
        <v>41628</v>
      </c>
      <c r="C1582" s="1">
        <v>41634</v>
      </c>
      <c r="D1582" t="s">
        <v>371</v>
      </c>
      <c r="E1582" t="s">
        <v>257</v>
      </c>
      <c r="F1582" t="s">
        <v>33</v>
      </c>
      <c r="G1582" t="s">
        <v>1591</v>
      </c>
      <c r="H1582">
        <v>10.44</v>
      </c>
      <c r="I1582">
        <v>6</v>
      </c>
      <c r="J1582">
        <v>-7.6559999999999997</v>
      </c>
      <c r="K1582">
        <v>2013</v>
      </c>
      <c r="L1582">
        <v>12</v>
      </c>
      <c r="M1582" t="s">
        <v>41</v>
      </c>
      <c r="N1582">
        <v>20</v>
      </c>
      <c r="O1582">
        <v>6</v>
      </c>
      <c r="P1582">
        <v>-73.33</v>
      </c>
      <c r="Q1582">
        <v>1.74</v>
      </c>
      <c r="R1582" t="s">
        <v>26</v>
      </c>
      <c r="S1582" t="b">
        <v>1</v>
      </c>
      <c r="T1582" t="b">
        <v>0</v>
      </c>
    </row>
    <row r="1583" spans="1:20" x14ac:dyDescent="0.3">
      <c r="A1583" t="s">
        <v>2564</v>
      </c>
      <c r="B1583" s="1">
        <v>41628</v>
      </c>
      <c r="C1583" s="1">
        <v>41634</v>
      </c>
      <c r="D1583" t="s">
        <v>371</v>
      </c>
      <c r="E1583" t="s">
        <v>257</v>
      </c>
      <c r="F1583" t="s">
        <v>33</v>
      </c>
      <c r="G1583" t="s">
        <v>757</v>
      </c>
      <c r="H1583">
        <v>5.2140000000000004</v>
      </c>
      <c r="I1583">
        <v>2</v>
      </c>
      <c r="J1583">
        <v>-4.1711999999999998</v>
      </c>
      <c r="K1583">
        <v>2013</v>
      </c>
      <c r="L1583">
        <v>12</v>
      </c>
      <c r="M1583" t="s">
        <v>41</v>
      </c>
      <c r="N1583">
        <v>20</v>
      </c>
      <c r="O1583">
        <v>6</v>
      </c>
      <c r="P1583">
        <v>-80</v>
      </c>
      <c r="Q1583">
        <v>2.6070000000000002</v>
      </c>
      <c r="R1583" t="s">
        <v>26</v>
      </c>
      <c r="S1583" t="b">
        <v>1</v>
      </c>
      <c r="T1583" t="b">
        <v>0</v>
      </c>
    </row>
    <row r="1584" spans="1:20" x14ac:dyDescent="0.3">
      <c r="A1584" t="s">
        <v>2566</v>
      </c>
      <c r="B1584" s="1">
        <v>41890</v>
      </c>
      <c r="C1584" s="1">
        <v>41891</v>
      </c>
      <c r="D1584" t="s">
        <v>1278</v>
      </c>
      <c r="E1584" t="s">
        <v>2567</v>
      </c>
      <c r="F1584" t="s">
        <v>29</v>
      </c>
      <c r="G1584" t="s">
        <v>1925</v>
      </c>
      <c r="H1584">
        <v>25.16</v>
      </c>
      <c r="I1584">
        <v>2</v>
      </c>
      <c r="J1584">
        <v>10.5672</v>
      </c>
      <c r="K1584">
        <v>2014</v>
      </c>
      <c r="L1584">
        <v>9</v>
      </c>
      <c r="M1584" t="s">
        <v>87</v>
      </c>
      <c r="N1584">
        <v>8</v>
      </c>
      <c r="O1584">
        <v>1</v>
      </c>
      <c r="P1584">
        <v>42</v>
      </c>
      <c r="Q1584">
        <v>12.58</v>
      </c>
      <c r="R1584" t="s">
        <v>26</v>
      </c>
      <c r="S1584" t="b">
        <v>0</v>
      </c>
      <c r="T1584" t="b">
        <v>0</v>
      </c>
    </row>
    <row r="1585" spans="1:20" x14ac:dyDescent="0.3">
      <c r="A1585" t="s">
        <v>2566</v>
      </c>
      <c r="B1585" s="1">
        <v>41890</v>
      </c>
      <c r="C1585" s="1">
        <v>41891</v>
      </c>
      <c r="D1585" t="s">
        <v>1278</v>
      </c>
      <c r="E1585" t="s">
        <v>2567</v>
      </c>
      <c r="F1585" t="s">
        <v>54</v>
      </c>
      <c r="G1585" t="s">
        <v>2568</v>
      </c>
      <c r="H1585">
        <v>126.56</v>
      </c>
      <c r="I1585">
        <v>4</v>
      </c>
      <c r="J1585">
        <v>47.46</v>
      </c>
      <c r="K1585">
        <v>2014</v>
      </c>
      <c r="L1585">
        <v>9</v>
      </c>
      <c r="M1585" t="s">
        <v>87</v>
      </c>
      <c r="N1585">
        <v>8</v>
      </c>
      <c r="O1585">
        <v>1</v>
      </c>
      <c r="P1585">
        <v>37.5</v>
      </c>
      <c r="Q1585">
        <v>31.64</v>
      </c>
      <c r="R1585" t="s">
        <v>26</v>
      </c>
      <c r="S1585" t="b">
        <v>0</v>
      </c>
      <c r="T1585" t="b">
        <v>0</v>
      </c>
    </row>
    <row r="1586" spans="1:20" x14ac:dyDescent="0.3">
      <c r="A1586" t="s">
        <v>2569</v>
      </c>
      <c r="B1586" s="1">
        <v>40875</v>
      </c>
      <c r="C1586" s="1">
        <v>40878</v>
      </c>
      <c r="D1586" t="s">
        <v>2297</v>
      </c>
      <c r="E1586" t="s">
        <v>51</v>
      </c>
      <c r="F1586" t="s">
        <v>35</v>
      </c>
      <c r="G1586" t="s">
        <v>2556</v>
      </c>
      <c r="H1586">
        <v>43.68</v>
      </c>
      <c r="I1586">
        <v>3</v>
      </c>
      <c r="J1586">
        <v>11.7936</v>
      </c>
      <c r="K1586">
        <v>2011</v>
      </c>
      <c r="L1586">
        <v>11</v>
      </c>
      <c r="M1586" t="s">
        <v>70</v>
      </c>
      <c r="N1586">
        <v>28</v>
      </c>
      <c r="O1586">
        <v>3</v>
      </c>
      <c r="P1586">
        <v>27</v>
      </c>
      <c r="Q1586">
        <v>14.56</v>
      </c>
      <c r="R1586" t="s">
        <v>26</v>
      </c>
      <c r="S1586" t="b">
        <v>0</v>
      </c>
      <c r="T1586" t="b">
        <v>0</v>
      </c>
    </row>
    <row r="1587" spans="1:20" x14ac:dyDescent="0.3">
      <c r="A1587" t="s">
        <v>2569</v>
      </c>
      <c r="B1587" s="1">
        <v>40875</v>
      </c>
      <c r="C1587" s="1">
        <v>40878</v>
      </c>
      <c r="D1587" t="s">
        <v>2297</v>
      </c>
      <c r="E1587" t="s">
        <v>51</v>
      </c>
      <c r="F1587" t="s">
        <v>61</v>
      </c>
      <c r="G1587" t="s">
        <v>656</v>
      </c>
      <c r="H1587">
        <v>139.93</v>
      </c>
      <c r="I1587">
        <v>7</v>
      </c>
      <c r="J1587">
        <v>34.982500000000002</v>
      </c>
      <c r="K1587">
        <v>2011</v>
      </c>
      <c r="L1587">
        <v>11</v>
      </c>
      <c r="M1587" t="s">
        <v>70</v>
      </c>
      <c r="N1587">
        <v>28</v>
      </c>
      <c r="O1587">
        <v>3</v>
      </c>
      <c r="P1587">
        <v>25</v>
      </c>
      <c r="Q1587">
        <v>19.989999999999998</v>
      </c>
      <c r="R1587" t="s">
        <v>26</v>
      </c>
      <c r="S1587" t="b">
        <v>0</v>
      </c>
      <c r="T1587" t="b">
        <v>0</v>
      </c>
    </row>
    <row r="1588" spans="1:20" x14ac:dyDescent="0.3">
      <c r="A1588" t="s">
        <v>2570</v>
      </c>
      <c r="B1588" s="1">
        <v>41249</v>
      </c>
      <c r="C1588" s="1">
        <v>41253</v>
      </c>
      <c r="D1588" t="s">
        <v>1227</v>
      </c>
      <c r="E1588" t="s">
        <v>981</v>
      </c>
      <c r="F1588" t="s">
        <v>72</v>
      </c>
      <c r="G1588" t="s">
        <v>2571</v>
      </c>
      <c r="H1588">
        <v>6.48</v>
      </c>
      <c r="I1588">
        <v>1</v>
      </c>
      <c r="J1588">
        <v>3.1103999999999998</v>
      </c>
      <c r="K1588">
        <v>2012</v>
      </c>
      <c r="L1588">
        <v>12</v>
      </c>
      <c r="M1588" t="s">
        <v>41</v>
      </c>
      <c r="N1588">
        <v>6</v>
      </c>
      <c r="O1588">
        <v>4</v>
      </c>
      <c r="P1588">
        <v>48</v>
      </c>
      <c r="Q1588">
        <v>6.48</v>
      </c>
      <c r="R1588" t="s">
        <v>26</v>
      </c>
      <c r="S1588" t="b">
        <v>0</v>
      </c>
      <c r="T1588" t="b">
        <v>0</v>
      </c>
    </row>
    <row r="1589" spans="1:20" x14ac:dyDescent="0.3">
      <c r="A1589" t="s">
        <v>2570</v>
      </c>
      <c r="B1589" s="1">
        <v>41249</v>
      </c>
      <c r="C1589" s="1">
        <v>41253</v>
      </c>
      <c r="D1589" t="s">
        <v>1227</v>
      </c>
      <c r="E1589" t="s">
        <v>981</v>
      </c>
      <c r="F1589" t="s">
        <v>23</v>
      </c>
      <c r="G1589" t="s">
        <v>2240</v>
      </c>
      <c r="H1589">
        <v>14.94</v>
      </c>
      <c r="I1589">
        <v>3</v>
      </c>
      <c r="J1589">
        <v>6.8723999999999998</v>
      </c>
      <c r="K1589">
        <v>2012</v>
      </c>
      <c r="L1589">
        <v>12</v>
      </c>
      <c r="M1589" t="s">
        <v>41</v>
      </c>
      <c r="N1589">
        <v>6</v>
      </c>
      <c r="O1589">
        <v>4</v>
      </c>
      <c r="P1589">
        <v>46</v>
      </c>
      <c r="Q1589">
        <v>4.9800000000000004</v>
      </c>
      <c r="R1589" t="s">
        <v>26</v>
      </c>
      <c r="S1589" t="b">
        <v>0</v>
      </c>
      <c r="T1589" t="b">
        <v>0</v>
      </c>
    </row>
    <row r="1590" spans="1:20" x14ac:dyDescent="0.3">
      <c r="A1590" t="s">
        <v>2572</v>
      </c>
      <c r="B1590" s="1">
        <v>41621</v>
      </c>
      <c r="C1590" s="1">
        <v>41625</v>
      </c>
      <c r="D1590" t="s">
        <v>2573</v>
      </c>
      <c r="E1590" t="s">
        <v>763</v>
      </c>
      <c r="F1590" t="s">
        <v>29</v>
      </c>
      <c r="G1590" t="s">
        <v>338</v>
      </c>
      <c r="H1590">
        <v>383.64</v>
      </c>
      <c r="I1590">
        <v>6</v>
      </c>
      <c r="J1590">
        <v>122.76479999999999</v>
      </c>
      <c r="K1590">
        <v>2013</v>
      </c>
      <c r="L1590">
        <v>12</v>
      </c>
      <c r="M1590" t="s">
        <v>41</v>
      </c>
      <c r="N1590">
        <v>13</v>
      </c>
      <c r="O1590">
        <v>4</v>
      </c>
      <c r="P1590">
        <v>32</v>
      </c>
      <c r="Q1590">
        <v>63.94</v>
      </c>
      <c r="R1590" t="s">
        <v>26</v>
      </c>
      <c r="S1590" t="b">
        <v>0</v>
      </c>
      <c r="T1590" t="b">
        <v>1</v>
      </c>
    </row>
    <row r="1591" spans="1:20" x14ac:dyDescent="0.3">
      <c r="A1591" t="s">
        <v>2572</v>
      </c>
      <c r="B1591" s="1">
        <v>41621</v>
      </c>
      <c r="C1591" s="1">
        <v>41625</v>
      </c>
      <c r="D1591" t="s">
        <v>2573</v>
      </c>
      <c r="E1591" t="s">
        <v>763</v>
      </c>
      <c r="F1591" t="s">
        <v>35</v>
      </c>
      <c r="G1591" t="s">
        <v>447</v>
      </c>
      <c r="H1591">
        <v>56.52</v>
      </c>
      <c r="I1591">
        <v>3</v>
      </c>
      <c r="J1591">
        <v>15.8256</v>
      </c>
      <c r="K1591">
        <v>2013</v>
      </c>
      <c r="L1591">
        <v>12</v>
      </c>
      <c r="M1591" t="s">
        <v>41</v>
      </c>
      <c r="N1591">
        <v>13</v>
      </c>
      <c r="O1591">
        <v>4</v>
      </c>
      <c r="P1591">
        <v>28</v>
      </c>
      <c r="Q1591">
        <v>18.84</v>
      </c>
      <c r="R1591" t="s">
        <v>26</v>
      </c>
      <c r="S1591" t="b">
        <v>0</v>
      </c>
      <c r="T1591" t="b">
        <v>0</v>
      </c>
    </row>
    <row r="1592" spans="1:20" x14ac:dyDescent="0.3">
      <c r="A1592" t="s">
        <v>2574</v>
      </c>
      <c r="B1592" s="1">
        <v>41892</v>
      </c>
      <c r="C1592" s="1">
        <v>41897</v>
      </c>
      <c r="D1592" t="s">
        <v>1759</v>
      </c>
      <c r="E1592" t="s">
        <v>22</v>
      </c>
      <c r="F1592" t="s">
        <v>31</v>
      </c>
      <c r="G1592" t="s">
        <v>2575</v>
      </c>
      <c r="H1592">
        <v>6.56</v>
      </c>
      <c r="I1592">
        <v>2</v>
      </c>
      <c r="J1592">
        <v>1.9024000000000001</v>
      </c>
      <c r="K1592">
        <v>2014</v>
      </c>
      <c r="L1592">
        <v>9</v>
      </c>
      <c r="M1592" t="s">
        <v>87</v>
      </c>
      <c r="N1592">
        <v>10</v>
      </c>
      <c r="O1592">
        <v>5</v>
      </c>
      <c r="P1592">
        <v>29</v>
      </c>
      <c r="Q1592">
        <v>3.28</v>
      </c>
      <c r="R1592" t="s">
        <v>26</v>
      </c>
      <c r="S1592" t="b">
        <v>0</v>
      </c>
      <c r="T1592" t="b">
        <v>0</v>
      </c>
    </row>
    <row r="1593" spans="1:20" x14ac:dyDescent="0.3">
      <c r="A1593" t="s">
        <v>2574</v>
      </c>
      <c r="B1593" s="1">
        <v>41892</v>
      </c>
      <c r="C1593" s="1">
        <v>41897</v>
      </c>
      <c r="D1593" t="s">
        <v>1759</v>
      </c>
      <c r="E1593" t="s">
        <v>22</v>
      </c>
      <c r="F1593" t="s">
        <v>110</v>
      </c>
      <c r="G1593" t="s">
        <v>1163</v>
      </c>
      <c r="H1593">
        <v>243.92</v>
      </c>
      <c r="I1593">
        <v>5</v>
      </c>
      <c r="J1593">
        <v>-15.244999999999999</v>
      </c>
      <c r="K1593">
        <v>2014</v>
      </c>
      <c r="L1593">
        <v>9</v>
      </c>
      <c r="M1593" t="s">
        <v>87</v>
      </c>
      <c r="N1593">
        <v>10</v>
      </c>
      <c r="O1593">
        <v>5</v>
      </c>
      <c r="P1593">
        <v>-6.25</v>
      </c>
      <c r="Q1593">
        <v>48.783999999999999</v>
      </c>
      <c r="R1593" t="s">
        <v>26</v>
      </c>
      <c r="S1593" t="b">
        <v>1</v>
      </c>
      <c r="T1593" t="b">
        <v>1</v>
      </c>
    </row>
    <row r="1594" spans="1:20" x14ac:dyDescent="0.3">
      <c r="A1594" t="s">
        <v>2574</v>
      </c>
      <c r="B1594" s="1">
        <v>41892</v>
      </c>
      <c r="C1594" s="1">
        <v>41897</v>
      </c>
      <c r="D1594" t="s">
        <v>1759</v>
      </c>
      <c r="E1594" t="s">
        <v>22</v>
      </c>
      <c r="F1594" t="s">
        <v>72</v>
      </c>
      <c r="G1594" t="s">
        <v>2349</v>
      </c>
      <c r="H1594">
        <v>47.52</v>
      </c>
      <c r="I1594">
        <v>9</v>
      </c>
      <c r="J1594">
        <v>22.8096</v>
      </c>
      <c r="K1594">
        <v>2014</v>
      </c>
      <c r="L1594">
        <v>9</v>
      </c>
      <c r="M1594" t="s">
        <v>87</v>
      </c>
      <c r="N1594">
        <v>10</v>
      </c>
      <c r="O1594">
        <v>5</v>
      </c>
      <c r="P1594">
        <v>48</v>
      </c>
      <c r="Q1594">
        <v>5.28</v>
      </c>
      <c r="R1594" t="s">
        <v>26</v>
      </c>
      <c r="S1594" t="b">
        <v>0</v>
      </c>
      <c r="T1594" t="b">
        <v>0</v>
      </c>
    </row>
    <row r="1595" spans="1:20" x14ac:dyDescent="0.3">
      <c r="A1595" t="s">
        <v>2576</v>
      </c>
      <c r="B1595" s="1">
        <v>40892</v>
      </c>
      <c r="C1595" s="1">
        <v>40896</v>
      </c>
      <c r="D1595" t="s">
        <v>938</v>
      </c>
      <c r="E1595" t="s">
        <v>194</v>
      </c>
      <c r="F1595" t="s">
        <v>29</v>
      </c>
      <c r="G1595" t="s">
        <v>2577</v>
      </c>
      <c r="H1595">
        <v>6.16</v>
      </c>
      <c r="I1595">
        <v>2</v>
      </c>
      <c r="J1595">
        <v>1.9712000000000001</v>
      </c>
      <c r="K1595">
        <v>2011</v>
      </c>
      <c r="L1595">
        <v>12</v>
      </c>
      <c r="M1595" t="s">
        <v>41</v>
      </c>
      <c r="N1595">
        <v>15</v>
      </c>
      <c r="O1595">
        <v>4</v>
      </c>
      <c r="P1595">
        <v>32</v>
      </c>
      <c r="Q1595">
        <v>3.08</v>
      </c>
      <c r="R1595" t="s">
        <v>26</v>
      </c>
      <c r="S1595" t="b">
        <v>0</v>
      </c>
      <c r="T1595" t="b">
        <v>0</v>
      </c>
    </row>
    <row r="1596" spans="1:20" x14ac:dyDescent="0.3">
      <c r="A1596" t="s">
        <v>2578</v>
      </c>
      <c r="B1596" s="1">
        <v>40987</v>
      </c>
      <c r="C1596" s="1">
        <v>40988</v>
      </c>
      <c r="D1596" t="s">
        <v>1522</v>
      </c>
      <c r="E1596" t="s">
        <v>498</v>
      </c>
      <c r="F1596" t="s">
        <v>119</v>
      </c>
      <c r="G1596" t="s">
        <v>692</v>
      </c>
      <c r="H1596">
        <v>10.9</v>
      </c>
      <c r="I1596">
        <v>5</v>
      </c>
      <c r="J1596">
        <v>3.597</v>
      </c>
      <c r="K1596">
        <v>2012</v>
      </c>
      <c r="L1596">
        <v>3</v>
      </c>
      <c r="M1596" t="s">
        <v>135</v>
      </c>
      <c r="N1596">
        <v>19</v>
      </c>
      <c r="O1596">
        <v>1</v>
      </c>
      <c r="P1596">
        <v>33</v>
      </c>
      <c r="Q1596">
        <v>2.1800000000000002</v>
      </c>
      <c r="R1596" t="s">
        <v>26</v>
      </c>
      <c r="S1596" t="b">
        <v>0</v>
      </c>
      <c r="T1596" t="b">
        <v>0</v>
      </c>
    </row>
    <row r="1597" spans="1:20" x14ac:dyDescent="0.3">
      <c r="A1597" t="s">
        <v>2579</v>
      </c>
      <c r="B1597" s="1">
        <v>40743</v>
      </c>
      <c r="C1597" s="1">
        <v>40748</v>
      </c>
      <c r="D1597" t="s">
        <v>1593</v>
      </c>
      <c r="E1597" t="s">
        <v>354</v>
      </c>
      <c r="F1597" t="s">
        <v>33</v>
      </c>
      <c r="G1597" t="s">
        <v>578</v>
      </c>
      <c r="H1597">
        <v>6.0960000000000001</v>
      </c>
      <c r="I1597">
        <v>2</v>
      </c>
      <c r="J1597">
        <v>2.2098</v>
      </c>
      <c r="K1597">
        <v>2011</v>
      </c>
      <c r="L1597">
        <v>7</v>
      </c>
      <c r="M1597" t="s">
        <v>66</v>
      </c>
      <c r="N1597">
        <v>19</v>
      </c>
      <c r="O1597">
        <v>5</v>
      </c>
      <c r="P1597">
        <v>36.25</v>
      </c>
      <c r="Q1597">
        <v>3.048</v>
      </c>
      <c r="R1597" t="s">
        <v>26</v>
      </c>
      <c r="S1597" t="b">
        <v>0</v>
      </c>
      <c r="T1597" t="b">
        <v>0</v>
      </c>
    </row>
    <row r="1598" spans="1:20" x14ac:dyDescent="0.3">
      <c r="A1598" t="s">
        <v>2580</v>
      </c>
      <c r="B1598" s="1">
        <v>41617</v>
      </c>
      <c r="C1598" s="1">
        <v>41620</v>
      </c>
      <c r="D1598" t="s">
        <v>239</v>
      </c>
      <c r="E1598" t="s">
        <v>51</v>
      </c>
      <c r="F1598" t="s">
        <v>45</v>
      </c>
      <c r="G1598" t="s">
        <v>1653</v>
      </c>
      <c r="H1598">
        <v>34.049999999999997</v>
      </c>
      <c r="I1598">
        <v>3</v>
      </c>
      <c r="J1598">
        <v>9.5340000000000007</v>
      </c>
      <c r="K1598">
        <v>2013</v>
      </c>
      <c r="L1598">
        <v>12</v>
      </c>
      <c r="M1598" t="s">
        <v>41</v>
      </c>
      <c r="N1598">
        <v>9</v>
      </c>
      <c r="O1598">
        <v>3</v>
      </c>
      <c r="P1598">
        <v>28</v>
      </c>
      <c r="Q1598">
        <v>11.35</v>
      </c>
      <c r="R1598" t="s">
        <v>26</v>
      </c>
      <c r="S1598" t="b">
        <v>0</v>
      </c>
      <c r="T1598" t="b">
        <v>0</v>
      </c>
    </row>
    <row r="1599" spans="1:20" x14ac:dyDescent="0.3">
      <c r="A1599" t="s">
        <v>2580</v>
      </c>
      <c r="B1599" s="1">
        <v>41617</v>
      </c>
      <c r="C1599" s="1">
        <v>41620</v>
      </c>
      <c r="D1599" t="s">
        <v>239</v>
      </c>
      <c r="E1599" t="s">
        <v>51</v>
      </c>
      <c r="F1599" t="s">
        <v>45</v>
      </c>
      <c r="G1599" t="s">
        <v>2581</v>
      </c>
      <c r="H1599">
        <v>352.38</v>
      </c>
      <c r="I1599">
        <v>2</v>
      </c>
      <c r="J1599">
        <v>81.047399999999996</v>
      </c>
      <c r="K1599">
        <v>2013</v>
      </c>
      <c r="L1599">
        <v>12</v>
      </c>
      <c r="M1599" t="s">
        <v>41</v>
      </c>
      <c r="N1599">
        <v>9</v>
      </c>
      <c r="O1599">
        <v>3</v>
      </c>
      <c r="P1599">
        <v>23</v>
      </c>
      <c r="Q1599">
        <v>176.19</v>
      </c>
      <c r="R1599" t="s">
        <v>26</v>
      </c>
      <c r="S1599" t="b">
        <v>0</v>
      </c>
      <c r="T1599" t="b">
        <v>1</v>
      </c>
    </row>
    <row r="1600" spans="1:20" x14ac:dyDescent="0.3">
      <c r="A1600" t="s">
        <v>2582</v>
      </c>
      <c r="B1600" s="1">
        <v>41249</v>
      </c>
      <c r="C1600" s="1">
        <v>41254</v>
      </c>
      <c r="D1600" t="s">
        <v>2583</v>
      </c>
      <c r="E1600" t="s">
        <v>51</v>
      </c>
      <c r="F1600" t="s">
        <v>35</v>
      </c>
      <c r="G1600" t="s">
        <v>2455</v>
      </c>
      <c r="H1600">
        <v>7.78</v>
      </c>
      <c r="I1600">
        <v>2</v>
      </c>
      <c r="J1600">
        <v>2.0228000000000002</v>
      </c>
      <c r="K1600">
        <v>2012</v>
      </c>
      <c r="L1600">
        <v>12</v>
      </c>
      <c r="M1600" t="s">
        <v>41</v>
      </c>
      <c r="N1600">
        <v>6</v>
      </c>
      <c r="O1600">
        <v>5</v>
      </c>
      <c r="P1600">
        <v>26</v>
      </c>
      <c r="Q1600">
        <v>3.89</v>
      </c>
      <c r="R1600" t="s">
        <v>26</v>
      </c>
      <c r="S1600" t="b">
        <v>0</v>
      </c>
      <c r="T1600" t="b">
        <v>0</v>
      </c>
    </row>
    <row r="1601" spans="1:20" x14ac:dyDescent="0.3">
      <c r="A1601" t="s">
        <v>2584</v>
      </c>
      <c r="B1601" s="1">
        <v>41170</v>
      </c>
      <c r="C1601" s="1">
        <v>41173</v>
      </c>
      <c r="D1601" t="s">
        <v>1768</v>
      </c>
      <c r="E1601" t="s">
        <v>194</v>
      </c>
      <c r="F1601" t="s">
        <v>45</v>
      </c>
      <c r="G1601" t="s">
        <v>2437</v>
      </c>
      <c r="H1601">
        <v>443.92</v>
      </c>
      <c r="I1601">
        <v>4</v>
      </c>
      <c r="J1601">
        <v>8.8783999999999992</v>
      </c>
      <c r="K1601">
        <v>2012</v>
      </c>
      <c r="L1601">
        <v>9</v>
      </c>
      <c r="M1601" t="s">
        <v>87</v>
      </c>
      <c r="N1601">
        <v>18</v>
      </c>
      <c r="O1601">
        <v>3</v>
      </c>
      <c r="P1601">
        <v>2</v>
      </c>
      <c r="Q1601">
        <v>110.98</v>
      </c>
      <c r="R1601" t="s">
        <v>26</v>
      </c>
      <c r="S1601" t="b">
        <v>0</v>
      </c>
      <c r="T1601" t="b">
        <v>1</v>
      </c>
    </row>
    <row r="1602" spans="1:20" x14ac:dyDescent="0.3">
      <c r="A1602" t="s">
        <v>2585</v>
      </c>
      <c r="B1602" s="1">
        <v>41572</v>
      </c>
      <c r="C1602" s="1">
        <v>41576</v>
      </c>
      <c r="D1602" t="s">
        <v>891</v>
      </c>
      <c r="E1602" t="s">
        <v>22</v>
      </c>
      <c r="F1602" t="s">
        <v>61</v>
      </c>
      <c r="G1602" t="s">
        <v>953</v>
      </c>
      <c r="H1602">
        <v>100</v>
      </c>
      <c r="I1602">
        <v>4</v>
      </c>
      <c r="J1602">
        <v>21</v>
      </c>
      <c r="K1602">
        <v>2013</v>
      </c>
      <c r="L1602">
        <v>10</v>
      </c>
      <c r="M1602" t="s">
        <v>82</v>
      </c>
      <c r="N1602">
        <v>25</v>
      </c>
      <c r="O1602">
        <v>4</v>
      </c>
      <c r="P1602">
        <v>21</v>
      </c>
      <c r="Q1602">
        <v>25</v>
      </c>
      <c r="R1602" t="s">
        <v>26</v>
      </c>
      <c r="S1602" t="b">
        <v>0</v>
      </c>
      <c r="T1602" t="b">
        <v>0</v>
      </c>
    </row>
    <row r="1603" spans="1:20" x14ac:dyDescent="0.3">
      <c r="A1603" t="s">
        <v>2585</v>
      </c>
      <c r="B1603" s="1">
        <v>41572</v>
      </c>
      <c r="C1603" s="1">
        <v>41576</v>
      </c>
      <c r="D1603" t="s">
        <v>891</v>
      </c>
      <c r="E1603" t="s">
        <v>22</v>
      </c>
      <c r="F1603" t="s">
        <v>61</v>
      </c>
      <c r="G1603" t="s">
        <v>2586</v>
      </c>
      <c r="H1603">
        <v>359.98</v>
      </c>
      <c r="I1603">
        <v>2</v>
      </c>
      <c r="J1603">
        <v>21.598800000000001</v>
      </c>
      <c r="K1603">
        <v>2013</v>
      </c>
      <c r="L1603">
        <v>10</v>
      </c>
      <c r="M1603" t="s">
        <v>82</v>
      </c>
      <c r="N1603">
        <v>25</v>
      </c>
      <c r="O1603">
        <v>4</v>
      </c>
      <c r="P1603">
        <v>6</v>
      </c>
      <c r="Q1603">
        <v>179.99</v>
      </c>
      <c r="R1603" t="s">
        <v>26</v>
      </c>
      <c r="S1603" t="b">
        <v>0</v>
      </c>
      <c r="T1603" t="b">
        <v>1</v>
      </c>
    </row>
    <row r="1604" spans="1:20" x14ac:dyDescent="0.3">
      <c r="A1604" t="s">
        <v>2587</v>
      </c>
      <c r="B1604" s="1">
        <v>40815</v>
      </c>
      <c r="C1604" s="1">
        <v>40817</v>
      </c>
      <c r="D1604" t="s">
        <v>2588</v>
      </c>
      <c r="E1604" t="s">
        <v>39</v>
      </c>
      <c r="F1604" t="s">
        <v>29</v>
      </c>
      <c r="G1604" t="s">
        <v>124</v>
      </c>
      <c r="H1604">
        <v>6.16</v>
      </c>
      <c r="I1604">
        <v>2</v>
      </c>
      <c r="J1604">
        <v>2.9567999999999999</v>
      </c>
      <c r="K1604">
        <v>2011</v>
      </c>
      <c r="L1604">
        <v>9</v>
      </c>
      <c r="M1604" t="s">
        <v>87</v>
      </c>
      <c r="N1604">
        <v>29</v>
      </c>
      <c r="O1604">
        <v>2</v>
      </c>
      <c r="P1604">
        <v>48</v>
      </c>
      <c r="Q1604">
        <v>3.08</v>
      </c>
      <c r="R1604" t="s">
        <v>26</v>
      </c>
      <c r="S1604" t="b">
        <v>0</v>
      </c>
      <c r="T1604" t="b">
        <v>0</v>
      </c>
    </row>
    <row r="1605" spans="1:20" x14ac:dyDescent="0.3">
      <c r="A1605" t="s">
        <v>2589</v>
      </c>
      <c r="B1605" s="1">
        <v>41886</v>
      </c>
      <c r="C1605" s="1">
        <v>41891</v>
      </c>
      <c r="D1605" t="s">
        <v>2342</v>
      </c>
      <c r="E1605" t="s">
        <v>2590</v>
      </c>
      <c r="F1605" t="s">
        <v>33</v>
      </c>
      <c r="G1605" t="s">
        <v>264</v>
      </c>
      <c r="H1605">
        <v>82.56</v>
      </c>
      <c r="I1605">
        <v>5</v>
      </c>
      <c r="J1605">
        <v>28.896000000000001</v>
      </c>
      <c r="K1605">
        <v>2014</v>
      </c>
      <c r="L1605">
        <v>9</v>
      </c>
      <c r="M1605" t="s">
        <v>87</v>
      </c>
      <c r="N1605">
        <v>4</v>
      </c>
      <c r="O1605">
        <v>5</v>
      </c>
      <c r="P1605">
        <v>35</v>
      </c>
      <c r="Q1605">
        <v>16.512</v>
      </c>
      <c r="R1605" t="s">
        <v>26</v>
      </c>
      <c r="S1605" t="b">
        <v>0</v>
      </c>
      <c r="T1605" t="b">
        <v>0</v>
      </c>
    </row>
    <row r="1606" spans="1:20" x14ac:dyDescent="0.3">
      <c r="A1606" t="s">
        <v>2589</v>
      </c>
      <c r="B1606" s="1">
        <v>41886</v>
      </c>
      <c r="C1606" s="1">
        <v>41891</v>
      </c>
      <c r="D1606" t="s">
        <v>2342</v>
      </c>
      <c r="E1606" t="s">
        <v>2590</v>
      </c>
      <c r="F1606" t="s">
        <v>61</v>
      </c>
      <c r="G1606" t="s">
        <v>2591</v>
      </c>
      <c r="H1606">
        <v>284.97000000000003</v>
      </c>
      <c r="I1606">
        <v>3</v>
      </c>
      <c r="J1606">
        <v>85.491</v>
      </c>
      <c r="K1606">
        <v>2014</v>
      </c>
      <c r="L1606">
        <v>9</v>
      </c>
      <c r="M1606" t="s">
        <v>87</v>
      </c>
      <c r="N1606">
        <v>4</v>
      </c>
      <c r="O1606">
        <v>5</v>
      </c>
      <c r="P1606">
        <v>30</v>
      </c>
      <c r="Q1606">
        <v>94.990000000000009</v>
      </c>
      <c r="R1606" t="s">
        <v>26</v>
      </c>
      <c r="S1606" t="b">
        <v>0</v>
      </c>
      <c r="T1606" t="b">
        <v>1</v>
      </c>
    </row>
    <row r="1607" spans="1:20" x14ac:dyDescent="0.3">
      <c r="A1607" t="s">
        <v>2592</v>
      </c>
      <c r="B1607" s="1">
        <v>41722</v>
      </c>
      <c r="C1607" s="1">
        <v>41725</v>
      </c>
      <c r="D1607" t="s">
        <v>1718</v>
      </c>
      <c r="E1607" t="s">
        <v>39</v>
      </c>
      <c r="F1607" t="s">
        <v>33</v>
      </c>
      <c r="G1607" t="s">
        <v>757</v>
      </c>
      <c r="H1607">
        <v>34.76</v>
      </c>
      <c r="I1607">
        <v>5</v>
      </c>
      <c r="J1607">
        <v>11.297000000000001</v>
      </c>
      <c r="K1607">
        <v>2014</v>
      </c>
      <c r="L1607">
        <v>3</v>
      </c>
      <c r="M1607" t="s">
        <v>135</v>
      </c>
      <c r="N1607">
        <v>24</v>
      </c>
      <c r="O1607">
        <v>3</v>
      </c>
      <c r="P1607">
        <v>32.5</v>
      </c>
      <c r="Q1607">
        <v>6.952</v>
      </c>
      <c r="R1607" t="s">
        <v>26</v>
      </c>
      <c r="S1607" t="b">
        <v>0</v>
      </c>
      <c r="T1607" t="b">
        <v>0</v>
      </c>
    </row>
    <row r="1608" spans="1:20" x14ac:dyDescent="0.3">
      <c r="A1608" t="s">
        <v>2593</v>
      </c>
      <c r="B1608" s="1">
        <v>41946</v>
      </c>
      <c r="C1608" s="1">
        <v>41951</v>
      </c>
      <c r="D1608" t="s">
        <v>2594</v>
      </c>
      <c r="E1608" t="s">
        <v>1231</v>
      </c>
      <c r="F1608" t="s">
        <v>72</v>
      </c>
      <c r="G1608" t="s">
        <v>715</v>
      </c>
      <c r="H1608">
        <v>19.440000000000001</v>
      </c>
      <c r="I1608">
        <v>3</v>
      </c>
      <c r="J1608">
        <v>9.3312000000000008</v>
      </c>
      <c r="K1608">
        <v>2014</v>
      </c>
      <c r="L1608">
        <v>11</v>
      </c>
      <c r="M1608" t="s">
        <v>70</v>
      </c>
      <c r="N1608">
        <v>3</v>
      </c>
      <c r="O1608">
        <v>5</v>
      </c>
      <c r="P1608">
        <v>48</v>
      </c>
      <c r="Q1608">
        <v>6.48</v>
      </c>
      <c r="R1608" t="s">
        <v>26</v>
      </c>
      <c r="S1608" t="b">
        <v>0</v>
      </c>
      <c r="T1608" t="b">
        <v>0</v>
      </c>
    </row>
    <row r="1609" spans="1:20" x14ac:dyDescent="0.3">
      <c r="A1609" t="s">
        <v>2595</v>
      </c>
      <c r="B1609" s="1">
        <v>41838</v>
      </c>
      <c r="C1609" s="1">
        <v>41840</v>
      </c>
      <c r="D1609" t="s">
        <v>1471</v>
      </c>
      <c r="E1609" t="s">
        <v>1663</v>
      </c>
      <c r="F1609" t="s">
        <v>72</v>
      </c>
      <c r="G1609" t="s">
        <v>2596</v>
      </c>
      <c r="H1609">
        <v>32.4</v>
      </c>
      <c r="I1609">
        <v>5</v>
      </c>
      <c r="J1609">
        <v>15.552</v>
      </c>
      <c r="K1609">
        <v>2014</v>
      </c>
      <c r="L1609">
        <v>7</v>
      </c>
      <c r="M1609" t="s">
        <v>66</v>
      </c>
      <c r="N1609">
        <v>18</v>
      </c>
      <c r="O1609">
        <v>2</v>
      </c>
      <c r="P1609">
        <v>48</v>
      </c>
      <c r="Q1609">
        <v>6.48</v>
      </c>
      <c r="R1609" t="s">
        <v>26</v>
      </c>
      <c r="S1609" t="b">
        <v>0</v>
      </c>
      <c r="T1609" t="b">
        <v>0</v>
      </c>
    </row>
    <row r="1610" spans="1:20" x14ac:dyDescent="0.3">
      <c r="A1610" t="s">
        <v>2595</v>
      </c>
      <c r="B1610" s="1">
        <v>41838</v>
      </c>
      <c r="C1610" s="1">
        <v>41840</v>
      </c>
      <c r="D1610" t="s">
        <v>1471</v>
      </c>
      <c r="E1610" t="s">
        <v>1663</v>
      </c>
      <c r="F1610" t="s">
        <v>128</v>
      </c>
      <c r="G1610" t="s">
        <v>2418</v>
      </c>
      <c r="H1610">
        <v>57.9</v>
      </c>
      <c r="I1610">
        <v>5</v>
      </c>
      <c r="J1610">
        <v>28.95</v>
      </c>
      <c r="K1610">
        <v>2014</v>
      </c>
      <c r="L1610">
        <v>7</v>
      </c>
      <c r="M1610" t="s">
        <v>66</v>
      </c>
      <c r="N1610">
        <v>18</v>
      </c>
      <c r="O1610">
        <v>2</v>
      </c>
      <c r="P1610">
        <v>50</v>
      </c>
      <c r="Q1610">
        <v>11.58</v>
      </c>
      <c r="R1610" t="s">
        <v>26</v>
      </c>
      <c r="S1610" t="b">
        <v>0</v>
      </c>
      <c r="T1610" t="b">
        <v>0</v>
      </c>
    </row>
    <row r="1611" spans="1:20" x14ac:dyDescent="0.3">
      <c r="A1611" t="s">
        <v>2595</v>
      </c>
      <c r="B1611" s="1">
        <v>41838</v>
      </c>
      <c r="C1611" s="1">
        <v>41840</v>
      </c>
      <c r="D1611" t="s">
        <v>1471</v>
      </c>
      <c r="E1611" t="s">
        <v>1663</v>
      </c>
      <c r="F1611" t="s">
        <v>45</v>
      </c>
      <c r="G1611" t="s">
        <v>1906</v>
      </c>
      <c r="H1611">
        <v>10.56</v>
      </c>
      <c r="I1611">
        <v>2</v>
      </c>
      <c r="J1611">
        <v>0</v>
      </c>
      <c r="K1611">
        <v>2014</v>
      </c>
      <c r="L1611">
        <v>7</v>
      </c>
      <c r="M1611" t="s">
        <v>66</v>
      </c>
      <c r="N1611">
        <v>18</v>
      </c>
      <c r="O1611">
        <v>2</v>
      </c>
      <c r="P1611">
        <v>0</v>
      </c>
      <c r="Q1611">
        <v>5.28</v>
      </c>
      <c r="R1611" t="s">
        <v>26</v>
      </c>
      <c r="S1611" t="b">
        <v>0</v>
      </c>
      <c r="T1611" t="b">
        <v>0</v>
      </c>
    </row>
    <row r="1612" spans="1:20" x14ac:dyDescent="0.3">
      <c r="A1612" t="s">
        <v>2597</v>
      </c>
      <c r="B1612" s="1">
        <v>40851</v>
      </c>
      <c r="C1612" s="1">
        <v>40858</v>
      </c>
      <c r="D1612" t="s">
        <v>2060</v>
      </c>
      <c r="E1612" t="s">
        <v>231</v>
      </c>
      <c r="F1612" t="s">
        <v>31</v>
      </c>
      <c r="G1612" t="s">
        <v>127</v>
      </c>
      <c r="H1612">
        <v>2.94</v>
      </c>
      <c r="I1612">
        <v>1</v>
      </c>
      <c r="J1612">
        <v>0.79379999999999995</v>
      </c>
      <c r="K1612">
        <v>2011</v>
      </c>
      <c r="L1612">
        <v>11</v>
      </c>
      <c r="M1612" t="s">
        <v>70</v>
      </c>
      <c r="N1612">
        <v>4</v>
      </c>
      <c r="O1612">
        <v>7</v>
      </c>
      <c r="P1612">
        <v>27</v>
      </c>
      <c r="Q1612">
        <v>2.94</v>
      </c>
      <c r="R1612" t="s">
        <v>26</v>
      </c>
      <c r="S1612" t="b">
        <v>0</v>
      </c>
      <c r="T1612" t="b">
        <v>0</v>
      </c>
    </row>
    <row r="1613" spans="1:20" x14ac:dyDescent="0.3">
      <c r="A1613" t="s">
        <v>2598</v>
      </c>
      <c r="B1613" s="1">
        <v>41627</v>
      </c>
      <c r="C1613" s="1">
        <v>41630</v>
      </c>
      <c r="D1613" t="s">
        <v>1198</v>
      </c>
      <c r="E1613" t="s">
        <v>412</v>
      </c>
      <c r="F1613" t="s">
        <v>33</v>
      </c>
      <c r="G1613" t="s">
        <v>344</v>
      </c>
      <c r="H1613">
        <v>45.24</v>
      </c>
      <c r="I1613">
        <v>4</v>
      </c>
      <c r="J1613">
        <v>-30.16</v>
      </c>
      <c r="K1613">
        <v>2013</v>
      </c>
      <c r="L1613">
        <v>12</v>
      </c>
      <c r="M1613" t="s">
        <v>41</v>
      </c>
      <c r="N1613">
        <v>19</v>
      </c>
      <c r="O1613">
        <v>3</v>
      </c>
      <c r="P1613">
        <v>-66.67</v>
      </c>
      <c r="Q1613">
        <v>11.31</v>
      </c>
      <c r="R1613" t="s">
        <v>26</v>
      </c>
      <c r="S1613" t="b">
        <v>1</v>
      </c>
      <c r="T1613" t="b">
        <v>0</v>
      </c>
    </row>
    <row r="1614" spans="1:20" x14ac:dyDescent="0.3">
      <c r="A1614" t="s">
        <v>2598</v>
      </c>
      <c r="B1614" s="1">
        <v>41627</v>
      </c>
      <c r="C1614" s="1">
        <v>41630</v>
      </c>
      <c r="D1614" t="s">
        <v>1198</v>
      </c>
      <c r="E1614" t="s">
        <v>412</v>
      </c>
      <c r="F1614" t="s">
        <v>31</v>
      </c>
      <c r="G1614" t="s">
        <v>2599</v>
      </c>
      <c r="H1614">
        <v>18.687999999999999</v>
      </c>
      <c r="I1614">
        <v>4</v>
      </c>
      <c r="J1614">
        <v>2.3359999999999999</v>
      </c>
      <c r="K1614">
        <v>2013</v>
      </c>
      <c r="L1614">
        <v>12</v>
      </c>
      <c r="M1614" t="s">
        <v>41</v>
      </c>
      <c r="N1614">
        <v>19</v>
      </c>
      <c r="O1614">
        <v>3</v>
      </c>
      <c r="P1614">
        <v>12.5</v>
      </c>
      <c r="Q1614">
        <v>4.6719999999999997</v>
      </c>
      <c r="R1614" t="s">
        <v>26</v>
      </c>
      <c r="S1614" t="b">
        <v>0</v>
      </c>
      <c r="T1614" t="b">
        <v>0</v>
      </c>
    </row>
    <row r="1615" spans="1:20" x14ac:dyDescent="0.3">
      <c r="A1615" t="s">
        <v>2598</v>
      </c>
      <c r="B1615" s="1">
        <v>41627</v>
      </c>
      <c r="C1615" s="1">
        <v>41630</v>
      </c>
      <c r="D1615" t="s">
        <v>1198</v>
      </c>
      <c r="E1615" t="s">
        <v>412</v>
      </c>
      <c r="F1615" t="s">
        <v>72</v>
      </c>
      <c r="G1615" t="s">
        <v>2600</v>
      </c>
      <c r="H1615">
        <v>11.648</v>
      </c>
      <c r="I1615">
        <v>2</v>
      </c>
      <c r="J1615">
        <v>3.7856000000000001</v>
      </c>
      <c r="K1615">
        <v>2013</v>
      </c>
      <c r="L1615">
        <v>12</v>
      </c>
      <c r="M1615" t="s">
        <v>41</v>
      </c>
      <c r="N1615">
        <v>19</v>
      </c>
      <c r="O1615">
        <v>3</v>
      </c>
      <c r="P1615">
        <v>32.5</v>
      </c>
      <c r="Q1615">
        <v>5.8239999999999998</v>
      </c>
      <c r="R1615" t="s">
        <v>26</v>
      </c>
      <c r="S1615" t="b">
        <v>0</v>
      </c>
      <c r="T1615" t="b">
        <v>0</v>
      </c>
    </row>
    <row r="1616" spans="1:20" x14ac:dyDescent="0.3">
      <c r="A1616" t="s">
        <v>2598</v>
      </c>
      <c r="B1616" s="1">
        <v>41627</v>
      </c>
      <c r="C1616" s="1">
        <v>41630</v>
      </c>
      <c r="D1616" t="s">
        <v>1198</v>
      </c>
      <c r="E1616" t="s">
        <v>412</v>
      </c>
      <c r="F1616" t="s">
        <v>61</v>
      </c>
      <c r="G1616" t="s">
        <v>334</v>
      </c>
      <c r="H1616">
        <v>112.776</v>
      </c>
      <c r="I1616">
        <v>3</v>
      </c>
      <c r="J1616">
        <v>-8.4581999999999997</v>
      </c>
      <c r="K1616">
        <v>2013</v>
      </c>
      <c r="L1616">
        <v>12</v>
      </c>
      <c r="M1616" t="s">
        <v>41</v>
      </c>
      <c r="N1616">
        <v>19</v>
      </c>
      <c r="O1616">
        <v>3</v>
      </c>
      <c r="P1616">
        <v>-7.5</v>
      </c>
      <c r="Q1616">
        <v>37.591999999999999</v>
      </c>
      <c r="R1616" t="s">
        <v>26</v>
      </c>
      <c r="S1616" t="b">
        <v>1</v>
      </c>
      <c r="T1616" t="b">
        <v>0</v>
      </c>
    </row>
    <row r="1617" spans="1:20" x14ac:dyDescent="0.3">
      <c r="A1617" t="s">
        <v>2598</v>
      </c>
      <c r="B1617" s="1">
        <v>41627</v>
      </c>
      <c r="C1617" s="1">
        <v>41630</v>
      </c>
      <c r="D1617" t="s">
        <v>1198</v>
      </c>
      <c r="E1617" t="s">
        <v>412</v>
      </c>
      <c r="F1617" t="s">
        <v>174</v>
      </c>
      <c r="G1617" t="s">
        <v>2601</v>
      </c>
      <c r="H1617">
        <v>377.45</v>
      </c>
      <c r="I1617">
        <v>5</v>
      </c>
      <c r="J1617">
        <v>-264.21499999999997</v>
      </c>
      <c r="K1617">
        <v>2013</v>
      </c>
      <c r="L1617">
        <v>12</v>
      </c>
      <c r="M1617" t="s">
        <v>41</v>
      </c>
      <c r="N1617">
        <v>19</v>
      </c>
      <c r="O1617">
        <v>3</v>
      </c>
      <c r="P1617">
        <v>-70</v>
      </c>
      <c r="Q1617">
        <v>75.489999999999995</v>
      </c>
      <c r="R1617" t="s">
        <v>26</v>
      </c>
      <c r="S1617" t="b">
        <v>1</v>
      </c>
      <c r="T1617" t="b">
        <v>1</v>
      </c>
    </row>
    <row r="1618" spans="1:20" x14ac:dyDescent="0.3">
      <c r="A1618" t="s">
        <v>2598</v>
      </c>
      <c r="B1618" s="1">
        <v>41627</v>
      </c>
      <c r="C1618" s="1">
        <v>41630</v>
      </c>
      <c r="D1618" t="s">
        <v>1198</v>
      </c>
      <c r="E1618" t="s">
        <v>412</v>
      </c>
      <c r="F1618" t="s">
        <v>23</v>
      </c>
      <c r="G1618" t="s">
        <v>1698</v>
      </c>
      <c r="H1618">
        <v>15.936</v>
      </c>
      <c r="I1618">
        <v>4</v>
      </c>
      <c r="J1618">
        <v>5.1791999999999998</v>
      </c>
      <c r="K1618">
        <v>2013</v>
      </c>
      <c r="L1618">
        <v>12</v>
      </c>
      <c r="M1618" t="s">
        <v>41</v>
      </c>
      <c r="N1618">
        <v>19</v>
      </c>
      <c r="O1618">
        <v>3</v>
      </c>
      <c r="P1618">
        <v>32.5</v>
      </c>
      <c r="Q1618">
        <v>3.984</v>
      </c>
      <c r="R1618" t="s">
        <v>26</v>
      </c>
      <c r="S1618" t="b">
        <v>0</v>
      </c>
      <c r="T1618" t="b">
        <v>0</v>
      </c>
    </row>
    <row r="1619" spans="1:20" x14ac:dyDescent="0.3">
      <c r="A1619" t="s">
        <v>2598</v>
      </c>
      <c r="B1619" s="1">
        <v>41627</v>
      </c>
      <c r="C1619" s="1">
        <v>41630</v>
      </c>
      <c r="D1619" t="s">
        <v>1198</v>
      </c>
      <c r="E1619" t="s">
        <v>412</v>
      </c>
      <c r="F1619" t="s">
        <v>54</v>
      </c>
      <c r="G1619" t="s">
        <v>1812</v>
      </c>
      <c r="H1619">
        <v>28.68</v>
      </c>
      <c r="I1619">
        <v>3</v>
      </c>
      <c r="J1619">
        <v>-7.17</v>
      </c>
      <c r="K1619">
        <v>2013</v>
      </c>
      <c r="L1619">
        <v>12</v>
      </c>
      <c r="M1619" t="s">
        <v>41</v>
      </c>
      <c r="N1619">
        <v>19</v>
      </c>
      <c r="O1619">
        <v>3</v>
      </c>
      <c r="P1619">
        <v>-25</v>
      </c>
      <c r="Q1619">
        <v>9.56</v>
      </c>
      <c r="R1619" t="s">
        <v>26</v>
      </c>
      <c r="S1619" t="b">
        <v>1</v>
      </c>
      <c r="T1619" t="b">
        <v>0</v>
      </c>
    </row>
    <row r="1620" spans="1:20" x14ac:dyDescent="0.3">
      <c r="A1620" t="s">
        <v>2602</v>
      </c>
      <c r="B1620" s="1">
        <v>41542</v>
      </c>
      <c r="C1620" s="1">
        <v>41549</v>
      </c>
      <c r="D1620" t="s">
        <v>2336</v>
      </c>
      <c r="E1620" t="s">
        <v>99</v>
      </c>
      <c r="F1620" t="s">
        <v>29</v>
      </c>
      <c r="G1620" t="s">
        <v>2603</v>
      </c>
      <c r="H1620">
        <v>21.44</v>
      </c>
      <c r="I1620">
        <v>2</v>
      </c>
      <c r="J1620">
        <v>7.5039999999999996</v>
      </c>
      <c r="K1620">
        <v>2013</v>
      </c>
      <c r="L1620">
        <v>9</v>
      </c>
      <c r="M1620" t="s">
        <v>87</v>
      </c>
      <c r="N1620">
        <v>25</v>
      </c>
      <c r="O1620">
        <v>7</v>
      </c>
      <c r="P1620">
        <v>35</v>
      </c>
      <c r="Q1620">
        <v>10.72</v>
      </c>
      <c r="R1620" t="s">
        <v>26</v>
      </c>
      <c r="S1620" t="b">
        <v>0</v>
      </c>
      <c r="T1620" t="b">
        <v>0</v>
      </c>
    </row>
    <row r="1621" spans="1:20" x14ac:dyDescent="0.3">
      <c r="A1621" t="s">
        <v>2604</v>
      </c>
      <c r="B1621" s="1">
        <v>41437</v>
      </c>
      <c r="C1621" s="1">
        <v>41441</v>
      </c>
      <c r="D1621" t="s">
        <v>1482</v>
      </c>
      <c r="E1621" t="s">
        <v>39</v>
      </c>
      <c r="F1621" t="s">
        <v>23</v>
      </c>
      <c r="G1621" t="s">
        <v>537</v>
      </c>
      <c r="H1621">
        <v>14.62</v>
      </c>
      <c r="I1621">
        <v>2</v>
      </c>
      <c r="J1621">
        <v>6.8714000000000004</v>
      </c>
      <c r="K1621">
        <v>2013</v>
      </c>
      <c r="L1621">
        <v>6</v>
      </c>
      <c r="M1621" t="s">
        <v>25</v>
      </c>
      <c r="N1621">
        <v>12</v>
      </c>
      <c r="O1621">
        <v>4</v>
      </c>
      <c r="P1621">
        <v>47</v>
      </c>
      <c r="Q1621">
        <v>7.31</v>
      </c>
      <c r="R1621" t="s">
        <v>26</v>
      </c>
      <c r="S1621" t="b">
        <v>0</v>
      </c>
      <c r="T1621" t="b">
        <v>0</v>
      </c>
    </row>
    <row r="1622" spans="1:20" x14ac:dyDescent="0.3">
      <c r="A1622" t="s">
        <v>2604</v>
      </c>
      <c r="B1622" s="1">
        <v>41437</v>
      </c>
      <c r="C1622" s="1">
        <v>41441</v>
      </c>
      <c r="D1622" t="s">
        <v>1482</v>
      </c>
      <c r="E1622" t="s">
        <v>39</v>
      </c>
      <c r="F1622" t="s">
        <v>33</v>
      </c>
      <c r="G1622" t="s">
        <v>439</v>
      </c>
      <c r="H1622">
        <v>53.984000000000002</v>
      </c>
      <c r="I1622">
        <v>14</v>
      </c>
      <c r="J1622">
        <v>17.544799999999999</v>
      </c>
      <c r="K1622">
        <v>2013</v>
      </c>
      <c r="L1622">
        <v>6</v>
      </c>
      <c r="M1622" t="s">
        <v>25</v>
      </c>
      <c r="N1622">
        <v>12</v>
      </c>
      <c r="O1622">
        <v>4</v>
      </c>
      <c r="P1622">
        <v>32.5</v>
      </c>
      <c r="Q1622">
        <v>3.8559999999999999</v>
      </c>
      <c r="R1622" t="s">
        <v>26</v>
      </c>
      <c r="S1622" t="b">
        <v>0</v>
      </c>
      <c r="T1622" t="b">
        <v>0</v>
      </c>
    </row>
    <row r="1623" spans="1:20" x14ac:dyDescent="0.3">
      <c r="A1623" t="s">
        <v>2604</v>
      </c>
      <c r="B1623" s="1">
        <v>41437</v>
      </c>
      <c r="C1623" s="1">
        <v>41441</v>
      </c>
      <c r="D1623" t="s">
        <v>1482</v>
      </c>
      <c r="E1623" t="s">
        <v>39</v>
      </c>
      <c r="F1623" t="s">
        <v>61</v>
      </c>
      <c r="G1623" t="s">
        <v>2605</v>
      </c>
      <c r="H1623">
        <v>389.97</v>
      </c>
      <c r="I1623">
        <v>3</v>
      </c>
      <c r="J1623">
        <v>132.5898</v>
      </c>
      <c r="K1623">
        <v>2013</v>
      </c>
      <c r="L1623">
        <v>6</v>
      </c>
      <c r="M1623" t="s">
        <v>25</v>
      </c>
      <c r="N1623">
        <v>12</v>
      </c>
      <c r="O1623">
        <v>4</v>
      </c>
      <c r="P1623">
        <v>34</v>
      </c>
      <c r="Q1623">
        <v>129.99</v>
      </c>
      <c r="R1623" t="s">
        <v>26</v>
      </c>
      <c r="S1623" t="b">
        <v>0</v>
      </c>
      <c r="T1623" t="b">
        <v>1</v>
      </c>
    </row>
    <row r="1624" spans="1:20" x14ac:dyDescent="0.3">
      <c r="A1624" t="s">
        <v>2606</v>
      </c>
      <c r="B1624" s="1">
        <v>41069</v>
      </c>
      <c r="C1624" s="1">
        <v>41071</v>
      </c>
      <c r="D1624" t="s">
        <v>398</v>
      </c>
      <c r="E1624" t="s">
        <v>2607</v>
      </c>
      <c r="F1624" t="s">
        <v>29</v>
      </c>
      <c r="G1624" t="s">
        <v>2608</v>
      </c>
      <c r="H1624">
        <v>355.36</v>
      </c>
      <c r="I1624">
        <v>4</v>
      </c>
      <c r="J1624">
        <v>92.393600000000006</v>
      </c>
      <c r="K1624">
        <v>2012</v>
      </c>
      <c r="L1624">
        <v>6</v>
      </c>
      <c r="M1624" t="s">
        <v>25</v>
      </c>
      <c r="N1624">
        <v>9</v>
      </c>
      <c r="O1624">
        <v>2</v>
      </c>
      <c r="P1624">
        <v>26</v>
      </c>
      <c r="Q1624">
        <v>88.84</v>
      </c>
      <c r="R1624" t="s">
        <v>26</v>
      </c>
      <c r="S1624" t="b">
        <v>0</v>
      </c>
      <c r="T1624" t="b">
        <v>1</v>
      </c>
    </row>
    <row r="1625" spans="1:20" x14ac:dyDescent="0.3">
      <c r="A1625" t="s">
        <v>2606</v>
      </c>
      <c r="B1625" s="1">
        <v>41069</v>
      </c>
      <c r="C1625" s="1">
        <v>41071</v>
      </c>
      <c r="D1625" t="s">
        <v>398</v>
      </c>
      <c r="E1625" t="s">
        <v>2607</v>
      </c>
      <c r="F1625" t="s">
        <v>54</v>
      </c>
      <c r="G1625" t="s">
        <v>2609</v>
      </c>
      <c r="H1625">
        <v>140.376</v>
      </c>
      <c r="I1625">
        <v>3</v>
      </c>
      <c r="J1625">
        <v>8.7735000000000003</v>
      </c>
      <c r="K1625">
        <v>2012</v>
      </c>
      <c r="L1625">
        <v>6</v>
      </c>
      <c r="M1625" t="s">
        <v>25</v>
      </c>
      <c r="N1625">
        <v>9</v>
      </c>
      <c r="O1625">
        <v>2</v>
      </c>
      <c r="P1625">
        <v>6.25</v>
      </c>
      <c r="Q1625">
        <v>46.792000000000002</v>
      </c>
      <c r="R1625" t="s">
        <v>26</v>
      </c>
      <c r="S1625" t="b">
        <v>0</v>
      </c>
      <c r="T1625" t="b">
        <v>0</v>
      </c>
    </row>
    <row r="1626" spans="1:20" x14ac:dyDescent="0.3">
      <c r="A1626" t="s">
        <v>2610</v>
      </c>
      <c r="B1626" s="1">
        <v>41296</v>
      </c>
      <c r="C1626" s="1">
        <v>41301</v>
      </c>
      <c r="D1626" t="s">
        <v>1145</v>
      </c>
      <c r="E1626" t="s">
        <v>39</v>
      </c>
      <c r="F1626" t="s">
        <v>72</v>
      </c>
      <c r="G1626" t="s">
        <v>1089</v>
      </c>
      <c r="H1626">
        <v>12.96</v>
      </c>
      <c r="I1626">
        <v>2</v>
      </c>
      <c r="J1626">
        <v>6.2207999999999997</v>
      </c>
      <c r="K1626">
        <v>2013</v>
      </c>
      <c r="L1626">
        <v>1</v>
      </c>
      <c r="M1626" t="s">
        <v>60</v>
      </c>
      <c r="N1626">
        <v>22</v>
      </c>
      <c r="O1626">
        <v>5</v>
      </c>
      <c r="P1626">
        <v>48</v>
      </c>
      <c r="Q1626">
        <v>6.48</v>
      </c>
      <c r="R1626" t="s">
        <v>26</v>
      </c>
      <c r="S1626" t="b">
        <v>0</v>
      </c>
      <c r="T1626" t="b">
        <v>0</v>
      </c>
    </row>
    <row r="1627" spans="1:20" x14ac:dyDescent="0.3">
      <c r="A1627" t="s">
        <v>2611</v>
      </c>
      <c r="B1627" s="1">
        <v>40691</v>
      </c>
      <c r="C1627" s="1">
        <v>40696</v>
      </c>
      <c r="D1627" t="s">
        <v>2612</v>
      </c>
      <c r="E1627" t="s">
        <v>39</v>
      </c>
      <c r="F1627" t="s">
        <v>54</v>
      </c>
      <c r="G1627" t="s">
        <v>2613</v>
      </c>
      <c r="H1627">
        <v>57.408000000000001</v>
      </c>
      <c r="I1627">
        <v>6</v>
      </c>
      <c r="J1627">
        <v>5.7408000000000001</v>
      </c>
      <c r="K1627">
        <v>2011</v>
      </c>
      <c r="L1627">
        <v>5</v>
      </c>
      <c r="M1627" t="s">
        <v>47</v>
      </c>
      <c r="N1627">
        <v>28</v>
      </c>
      <c r="O1627">
        <v>5</v>
      </c>
      <c r="P1627">
        <v>10</v>
      </c>
      <c r="Q1627">
        <v>9.5679999999999996</v>
      </c>
      <c r="R1627" t="s">
        <v>26</v>
      </c>
      <c r="S1627" t="b">
        <v>0</v>
      </c>
      <c r="T1627" t="b">
        <v>0</v>
      </c>
    </row>
    <row r="1628" spans="1:20" x14ac:dyDescent="0.3">
      <c r="A1628" t="s">
        <v>2611</v>
      </c>
      <c r="B1628" s="1">
        <v>40691</v>
      </c>
      <c r="C1628" s="1">
        <v>40696</v>
      </c>
      <c r="D1628" t="s">
        <v>2612</v>
      </c>
      <c r="E1628" t="s">
        <v>39</v>
      </c>
      <c r="F1628" t="s">
        <v>61</v>
      </c>
      <c r="G1628" t="s">
        <v>2215</v>
      </c>
      <c r="H1628">
        <v>27.6</v>
      </c>
      <c r="I1628">
        <v>4</v>
      </c>
      <c r="J1628">
        <v>2.2080000000000002</v>
      </c>
      <c r="K1628">
        <v>2011</v>
      </c>
      <c r="L1628">
        <v>5</v>
      </c>
      <c r="M1628" t="s">
        <v>47</v>
      </c>
      <c r="N1628">
        <v>28</v>
      </c>
      <c r="O1628">
        <v>5</v>
      </c>
      <c r="P1628">
        <v>8</v>
      </c>
      <c r="Q1628">
        <v>6.9</v>
      </c>
      <c r="R1628" t="s">
        <v>26</v>
      </c>
      <c r="S1628" t="b">
        <v>0</v>
      </c>
      <c r="T1628" t="b">
        <v>0</v>
      </c>
    </row>
    <row r="1629" spans="1:20" x14ac:dyDescent="0.3">
      <c r="A1629" t="s">
        <v>2614</v>
      </c>
      <c r="B1629" s="1">
        <v>41218</v>
      </c>
      <c r="C1629" s="1">
        <v>41218</v>
      </c>
      <c r="D1629" t="s">
        <v>246</v>
      </c>
      <c r="E1629" t="s">
        <v>39</v>
      </c>
      <c r="F1629" t="s">
        <v>33</v>
      </c>
      <c r="G1629" t="s">
        <v>102</v>
      </c>
      <c r="H1629">
        <v>98.352000000000004</v>
      </c>
      <c r="I1629">
        <v>3</v>
      </c>
      <c r="J1629">
        <v>35.6526</v>
      </c>
      <c r="K1629">
        <v>2012</v>
      </c>
      <c r="L1629">
        <v>11</v>
      </c>
      <c r="M1629" t="s">
        <v>70</v>
      </c>
      <c r="N1629">
        <v>5</v>
      </c>
      <c r="O1629">
        <v>0</v>
      </c>
      <c r="P1629">
        <v>36.25</v>
      </c>
      <c r="Q1629">
        <v>32.783999999999999</v>
      </c>
      <c r="R1629" t="s">
        <v>26</v>
      </c>
      <c r="S1629" t="b">
        <v>0</v>
      </c>
      <c r="T1629" t="b">
        <v>0</v>
      </c>
    </row>
    <row r="1630" spans="1:20" x14ac:dyDescent="0.3">
      <c r="A1630" t="s">
        <v>2615</v>
      </c>
      <c r="B1630" s="1">
        <v>41400</v>
      </c>
      <c r="C1630" s="1">
        <v>41402</v>
      </c>
      <c r="D1630" t="s">
        <v>2616</v>
      </c>
      <c r="E1630" t="s">
        <v>51</v>
      </c>
      <c r="F1630" t="s">
        <v>174</v>
      </c>
      <c r="G1630" t="s">
        <v>2237</v>
      </c>
      <c r="H1630">
        <v>71.087999999999994</v>
      </c>
      <c r="I1630">
        <v>2</v>
      </c>
      <c r="J1630">
        <v>-1.7771999999999999</v>
      </c>
      <c r="K1630">
        <v>2013</v>
      </c>
      <c r="L1630">
        <v>5</v>
      </c>
      <c r="M1630" t="s">
        <v>47</v>
      </c>
      <c r="N1630">
        <v>6</v>
      </c>
      <c r="O1630">
        <v>2</v>
      </c>
      <c r="P1630">
        <v>-2.5</v>
      </c>
      <c r="Q1630">
        <v>35.543999999999997</v>
      </c>
      <c r="R1630" t="s">
        <v>48</v>
      </c>
      <c r="S1630" t="b">
        <v>1</v>
      </c>
      <c r="T1630" t="b">
        <v>0</v>
      </c>
    </row>
    <row r="1631" spans="1:20" x14ac:dyDescent="0.3">
      <c r="A1631" t="s">
        <v>2617</v>
      </c>
      <c r="B1631" s="1">
        <v>41947</v>
      </c>
      <c r="C1631" s="1">
        <v>41952</v>
      </c>
      <c r="D1631" t="s">
        <v>1074</v>
      </c>
      <c r="E1631" t="s">
        <v>51</v>
      </c>
      <c r="F1631" t="s">
        <v>72</v>
      </c>
      <c r="G1631" t="s">
        <v>2123</v>
      </c>
      <c r="H1631">
        <v>35.880000000000003</v>
      </c>
      <c r="I1631">
        <v>6</v>
      </c>
      <c r="J1631">
        <v>17.581199999999999</v>
      </c>
      <c r="K1631">
        <v>2014</v>
      </c>
      <c r="L1631">
        <v>11</v>
      </c>
      <c r="M1631" t="s">
        <v>70</v>
      </c>
      <c r="N1631">
        <v>4</v>
      </c>
      <c r="O1631">
        <v>5</v>
      </c>
      <c r="P1631">
        <v>49</v>
      </c>
      <c r="Q1631">
        <v>5.98</v>
      </c>
      <c r="R1631" t="s">
        <v>26</v>
      </c>
      <c r="S1631" t="b">
        <v>0</v>
      </c>
      <c r="T1631" t="b">
        <v>0</v>
      </c>
    </row>
    <row r="1632" spans="1:20" x14ac:dyDescent="0.3">
      <c r="A1632" t="s">
        <v>2618</v>
      </c>
      <c r="B1632" s="1">
        <v>41227</v>
      </c>
      <c r="C1632" s="1">
        <v>41230</v>
      </c>
      <c r="D1632" t="s">
        <v>2044</v>
      </c>
      <c r="E1632" t="s">
        <v>1088</v>
      </c>
      <c r="F1632" t="s">
        <v>119</v>
      </c>
      <c r="G1632" t="s">
        <v>2315</v>
      </c>
      <c r="H1632">
        <v>8.7200000000000006</v>
      </c>
      <c r="I1632">
        <v>5</v>
      </c>
      <c r="J1632">
        <v>2.2890000000000001</v>
      </c>
      <c r="K1632">
        <v>2012</v>
      </c>
      <c r="L1632">
        <v>11</v>
      </c>
      <c r="M1632" t="s">
        <v>70</v>
      </c>
      <c r="N1632">
        <v>14</v>
      </c>
      <c r="O1632">
        <v>3</v>
      </c>
      <c r="P1632">
        <v>26.25</v>
      </c>
      <c r="Q1632">
        <v>1.744</v>
      </c>
      <c r="R1632" t="s">
        <v>26</v>
      </c>
      <c r="S1632" t="b">
        <v>0</v>
      </c>
      <c r="T1632" t="b">
        <v>0</v>
      </c>
    </row>
    <row r="1633" spans="1:20" x14ac:dyDescent="0.3">
      <c r="A1633" t="s">
        <v>2618</v>
      </c>
      <c r="B1633" s="1">
        <v>41227</v>
      </c>
      <c r="C1633" s="1">
        <v>41230</v>
      </c>
      <c r="D1633" t="s">
        <v>2044</v>
      </c>
      <c r="E1633" t="s">
        <v>1088</v>
      </c>
      <c r="F1633" t="s">
        <v>61</v>
      </c>
      <c r="G1633" t="s">
        <v>1313</v>
      </c>
      <c r="H1633">
        <v>91.176000000000002</v>
      </c>
      <c r="I1633">
        <v>3</v>
      </c>
      <c r="J1633">
        <v>4.5587999999999997</v>
      </c>
      <c r="K1633">
        <v>2012</v>
      </c>
      <c r="L1633">
        <v>11</v>
      </c>
      <c r="M1633" t="s">
        <v>70</v>
      </c>
      <c r="N1633">
        <v>14</v>
      </c>
      <c r="O1633">
        <v>3</v>
      </c>
      <c r="P1633">
        <v>5</v>
      </c>
      <c r="Q1633">
        <v>30.391999999999999</v>
      </c>
      <c r="R1633" t="s">
        <v>26</v>
      </c>
      <c r="S1633" t="b">
        <v>0</v>
      </c>
      <c r="T1633" t="b">
        <v>0</v>
      </c>
    </row>
    <row r="1634" spans="1:20" x14ac:dyDescent="0.3">
      <c r="A1634" t="s">
        <v>2618</v>
      </c>
      <c r="B1634" s="1">
        <v>41227</v>
      </c>
      <c r="C1634" s="1">
        <v>41230</v>
      </c>
      <c r="D1634" t="s">
        <v>2044</v>
      </c>
      <c r="E1634" t="s">
        <v>1088</v>
      </c>
      <c r="F1634" t="s">
        <v>61</v>
      </c>
      <c r="G1634" t="s">
        <v>1167</v>
      </c>
      <c r="H1634">
        <v>159.96799999999999</v>
      </c>
      <c r="I1634">
        <v>4</v>
      </c>
      <c r="J1634">
        <v>29.994</v>
      </c>
      <c r="K1634">
        <v>2012</v>
      </c>
      <c r="L1634">
        <v>11</v>
      </c>
      <c r="M1634" t="s">
        <v>70</v>
      </c>
      <c r="N1634">
        <v>14</v>
      </c>
      <c r="O1634">
        <v>3</v>
      </c>
      <c r="P1634">
        <v>18.75</v>
      </c>
      <c r="Q1634">
        <v>39.991999999999997</v>
      </c>
      <c r="R1634" t="s">
        <v>26</v>
      </c>
      <c r="S1634" t="b">
        <v>0</v>
      </c>
      <c r="T1634" t="b">
        <v>0</v>
      </c>
    </row>
    <row r="1635" spans="1:20" x14ac:dyDescent="0.3">
      <c r="A1635" t="s">
        <v>2619</v>
      </c>
      <c r="B1635" s="1">
        <v>41544</v>
      </c>
      <c r="C1635" s="1">
        <v>41548</v>
      </c>
      <c r="D1635" t="s">
        <v>2620</v>
      </c>
      <c r="E1635" t="s">
        <v>51</v>
      </c>
      <c r="F1635" t="s">
        <v>72</v>
      </c>
      <c r="G1635" t="s">
        <v>1820</v>
      </c>
      <c r="H1635">
        <v>12.96</v>
      </c>
      <c r="I1635">
        <v>2</v>
      </c>
      <c r="J1635">
        <v>6.2207999999999997</v>
      </c>
      <c r="K1635">
        <v>2013</v>
      </c>
      <c r="L1635">
        <v>9</v>
      </c>
      <c r="M1635" t="s">
        <v>87</v>
      </c>
      <c r="N1635">
        <v>27</v>
      </c>
      <c r="O1635">
        <v>4</v>
      </c>
      <c r="P1635">
        <v>48</v>
      </c>
      <c r="Q1635">
        <v>6.48</v>
      </c>
      <c r="R1635" t="s">
        <v>26</v>
      </c>
      <c r="S1635" t="b">
        <v>0</v>
      </c>
      <c r="T1635" t="b">
        <v>0</v>
      </c>
    </row>
    <row r="1636" spans="1:20" x14ac:dyDescent="0.3">
      <c r="A1636" t="s">
        <v>2621</v>
      </c>
      <c r="B1636" s="1">
        <v>40564</v>
      </c>
      <c r="C1636" s="1">
        <v>40569</v>
      </c>
      <c r="D1636" t="s">
        <v>2089</v>
      </c>
      <c r="E1636" t="s">
        <v>22</v>
      </c>
      <c r="F1636" t="s">
        <v>72</v>
      </c>
      <c r="G1636" t="s">
        <v>277</v>
      </c>
      <c r="H1636">
        <v>19.36</v>
      </c>
      <c r="I1636">
        <v>2</v>
      </c>
      <c r="J1636">
        <v>9.2927999999999997</v>
      </c>
      <c r="K1636">
        <v>2011</v>
      </c>
      <c r="L1636">
        <v>1</v>
      </c>
      <c r="M1636" t="s">
        <v>60</v>
      </c>
      <c r="N1636">
        <v>21</v>
      </c>
      <c r="O1636">
        <v>5</v>
      </c>
      <c r="P1636">
        <v>48</v>
      </c>
      <c r="Q1636">
        <v>9.68</v>
      </c>
      <c r="R1636" t="s">
        <v>26</v>
      </c>
      <c r="S1636" t="b">
        <v>0</v>
      </c>
      <c r="T1636" t="b">
        <v>0</v>
      </c>
    </row>
    <row r="1637" spans="1:20" x14ac:dyDescent="0.3">
      <c r="A1637" t="s">
        <v>2621</v>
      </c>
      <c r="B1637" s="1">
        <v>40564</v>
      </c>
      <c r="C1637" s="1">
        <v>40569</v>
      </c>
      <c r="D1637" t="s">
        <v>2089</v>
      </c>
      <c r="E1637" t="s">
        <v>22</v>
      </c>
      <c r="F1637" t="s">
        <v>29</v>
      </c>
      <c r="G1637" t="s">
        <v>2622</v>
      </c>
      <c r="H1637">
        <v>19.3</v>
      </c>
      <c r="I1637">
        <v>2</v>
      </c>
      <c r="J1637">
        <v>5.79</v>
      </c>
      <c r="K1637">
        <v>2011</v>
      </c>
      <c r="L1637">
        <v>1</v>
      </c>
      <c r="M1637" t="s">
        <v>60</v>
      </c>
      <c r="N1637">
        <v>21</v>
      </c>
      <c r="O1637">
        <v>5</v>
      </c>
      <c r="P1637">
        <v>30</v>
      </c>
      <c r="Q1637">
        <v>9.65</v>
      </c>
      <c r="R1637" t="s">
        <v>26</v>
      </c>
      <c r="S1637" t="b">
        <v>0</v>
      </c>
      <c r="T1637" t="b">
        <v>0</v>
      </c>
    </row>
    <row r="1638" spans="1:20" x14ac:dyDescent="0.3">
      <c r="A1638" t="s">
        <v>2623</v>
      </c>
      <c r="B1638" s="1">
        <v>41640</v>
      </c>
      <c r="C1638" s="1">
        <v>41646</v>
      </c>
      <c r="D1638" t="s">
        <v>2624</v>
      </c>
      <c r="E1638" t="s">
        <v>51</v>
      </c>
      <c r="F1638" t="s">
        <v>33</v>
      </c>
      <c r="G1638" t="s">
        <v>1448</v>
      </c>
      <c r="H1638">
        <v>38.375999999999998</v>
      </c>
      <c r="I1638">
        <v>3</v>
      </c>
      <c r="J1638">
        <v>13.4316</v>
      </c>
      <c r="K1638">
        <v>2014</v>
      </c>
      <c r="L1638">
        <v>1</v>
      </c>
      <c r="M1638" t="s">
        <v>60</v>
      </c>
      <c r="N1638">
        <v>1</v>
      </c>
      <c r="O1638">
        <v>6</v>
      </c>
      <c r="P1638">
        <v>35</v>
      </c>
      <c r="Q1638">
        <v>12.792</v>
      </c>
      <c r="R1638" t="s">
        <v>26</v>
      </c>
      <c r="S1638" t="b">
        <v>0</v>
      </c>
      <c r="T1638" t="b">
        <v>0</v>
      </c>
    </row>
    <row r="1639" spans="1:20" x14ac:dyDescent="0.3">
      <c r="A1639" t="s">
        <v>2625</v>
      </c>
      <c r="B1639" s="1">
        <v>41727</v>
      </c>
      <c r="C1639" s="1">
        <v>41730</v>
      </c>
      <c r="D1639" t="s">
        <v>2626</v>
      </c>
      <c r="E1639" t="s">
        <v>756</v>
      </c>
      <c r="F1639" t="s">
        <v>72</v>
      </c>
      <c r="G1639" t="s">
        <v>2627</v>
      </c>
      <c r="H1639">
        <v>12.96</v>
      </c>
      <c r="I1639">
        <v>2</v>
      </c>
      <c r="J1639">
        <v>6.3503999999999996</v>
      </c>
      <c r="K1639">
        <v>2014</v>
      </c>
      <c r="L1639">
        <v>3</v>
      </c>
      <c r="M1639" t="s">
        <v>135</v>
      </c>
      <c r="N1639">
        <v>29</v>
      </c>
      <c r="O1639">
        <v>3</v>
      </c>
      <c r="P1639">
        <v>49</v>
      </c>
      <c r="Q1639">
        <v>6.48</v>
      </c>
      <c r="R1639" t="s">
        <v>26</v>
      </c>
      <c r="S1639" t="b">
        <v>0</v>
      </c>
      <c r="T1639" t="b">
        <v>0</v>
      </c>
    </row>
    <row r="1640" spans="1:20" x14ac:dyDescent="0.3">
      <c r="A1640" t="s">
        <v>2625</v>
      </c>
      <c r="B1640" s="1">
        <v>41727</v>
      </c>
      <c r="C1640" s="1">
        <v>41730</v>
      </c>
      <c r="D1640" t="s">
        <v>2626</v>
      </c>
      <c r="E1640" t="s">
        <v>756</v>
      </c>
      <c r="F1640" t="s">
        <v>29</v>
      </c>
      <c r="G1640" t="s">
        <v>2628</v>
      </c>
      <c r="H1640">
        <v>26.48</v>
      </c>
      <c r="I1640">
        <v>1</v>
      </c>
      <c r="J1640">
        <v>10.0624</v>
      </c>
      <c r="K1640">
        <v>2014</v>
      </c>
      <c r="L1640">
        <v>3</v>
      </c>
      <c r="M1640" t="s">
        <v>135</v>
      </c>
      <c r="N1640">
        <v>29</v>
      </c>
      <c r="O1640">
        <v>3</v>
      </c>
      <c r="P1640">
        <v>38</v>
      </c>
      <c r="Q1640">
        <v>26.48</v>
      </c>
      <c r="R1640" t="s">
        <v>26</v>
      </c>
      <c r="S1640" t="b">
        <v>0</v>
      </c>
      <c r="T1640" t="b">
        <v>0</v>
      </c>
    </row>
    <row r="1641" spans="1:20" x14ac:dyDescent="0.3">
      <c r="A1641" t="s">
        <v>2625</v>
      </c>
      <c r="B1641" s="1">
        <v>41727</v>
      </c>
      <c r="C1641" s="1">
        <v>41730</v>
      </c>
      <c r="D1641" t="s">
        <v>2626</v>
      </c>
      <c r="E1641" t="s">
        <v>756</v>
      </c>
      <c r="F1641" t="s">
        <v>72</v>
      </c>
      <c r="G1641" t="s">
        <v>1783</v>
      </c>
      <c r="H1641">
        <v>26.72</v>
      </c>
      <c r="I1641">
        <v>4</v>
      </c>
      <c r="J1641">
        <v>12.8256</v>
      </c>
      <c r="K1641">
        <v>2014</v>
      </c>
      <c r="L1641">
        <v>3</v>
      </c>
      <c r="M1641" t="s">
        <v>135</v>
      </c>
      <c r="N1641">
        <v>29</v>
      </c>
      <c r="O1641">
        <v>3</v>
      </c>
      <c r="P1641">
        <v>48</v>
      </c>
      <c r="Q1641">
        <v>6.68</v>
      </c>
      <c r="R1641" t="s">
        <v>26</v>
      </c>
      <c r="S1641" t="b">
        <v>0</v>
      </c>
      <c r="T1641" t="b">
        <v>0</v>
      </c>
    </row>
    <row r="1642" spans="1:20" x14ac:dyDescent="0.3">
      <c r="A1642" t="s">
        <v>2625</v>
      </c>
      <c r="B1642" s="1">
        <v>41727</v>
      </c>
      <c r="C1642" s="1">
        <v>41730</v>
      </c>
      <c r="D1642" t="s">
        <v>2626</v>
      </c>
      <c r="E1642" t="s">
        <v>756</v>
      </c>
      <c r="F1642" t="s">
        <v>72</v>
      </c>
      <c r="G1642" t="s">
        <v>457</v>
      </c>
      <c r="H1642">
        <v>20.04</v>
      </c>
      <c r="I1642">
        <v>3</v>
      </c>
      <c r="J1642">
        <v>9.6191999999999993</v>
      </c>
      <c r="K1642">
        <v>2014</v>
      </c>
      <c r="L1642">
        <v>3</v>
      </c>
      <c r="M1642" t="s">
        <v>135</v>
      </c>
      <c r="N1642">
        <v>29</v>
      </c>
      <c r="O1642">
        <v>3</v>
      </c>
      <c r="P1642">
        <v>48</v>
      </c>
      <c r="Q1642">
        <v>6.68</v>
      </c>
      <c r="R1642" t="s">
        <v>26</v>
      </c>
      <c r="S1642" t="b">
        <v>0</v>
      </c>
      <c r="T1642" t="b">
        <v>0</v>
      </c>
    </row>
    <row r="1643" spans="1:20" x14ac:dyDescent="0.3">
      <c r="A1643" t="s">
        <v>2625</v>
      </c>
      <c r="B1643" s="1">
        <v>41727</v>
      </c>
      <c r="C1643" s="1">
        <v>41730</v>
      </c>
      <c r="D1643" t="s">
        <v>2626</v>
      </c>
      <c r="E1643" t="s">
        <v>756</v>
      </c>
      <c r="F1643" t="s">
        <v>29</v>
      </c>
      <c r="G1643" t="s">
        <v>2577</v>
      </c>
      <c r="H1643">
        <v>21.56</v>
      </c>
      <c r="I1643">
        <v>7</v>
      </c>
      <c r="J1643">
        <v>6.8992000000000004</v>
      </c>
      <c r="K1643">
        <v>2014</v>
      </c>
      <c r="L1643">
        <v>3</v>
      </c>
      <c r="M1643" t="s">
        <v>135</v>
      </c>
      <c r="N1643">
        <v>29</v>
      </c>
      <c r="O1643">
        <v>3</v>
      </c>
      <c r="P1643">
        <v>32</v>
      </c>
      <c r="Q1643">
        <v>3.08</v>
      </c>
      <c r="R1643" t="s">
        <v>26</v>
      </c>
      <c r="S1643" t="b">
        <v>0</v>
      </c>
      <c r="T1643" t="b">
        <v>0</v>
      </c>
    </row>
    <row r="1644" spans="1:20" x14ac:dyDescent="0.3">
      <c r="A1644" t="s">
        <v>2629</v>
      </c>
      <c r="B1644" s="1">
        <v>41296</v>
      </c>
      <c r="C1644" s="1">
        <v>41302</v>
      </c>
      <c r="D1644" t="s">
        <v>385</v>
      </c>
      <c r="E1644" t="s">
        <v>194</v>
      </c>
      <c r="F1644" t="s">
        <v>23</v>
      </c>
      <c r="G1644" t="s">
        <v>2630</v>
      </c>
      <c r="H1644">
        <v>44.4</v>
      </c>
      <c r="I1644">
        <v>3</v>
      </c>
      <c r="J1644">
        <v>22.2</v>
      </c>
      <c r="K1644">
        <v>2013</v>
      </c>
      <c r="L1644">
        <v>1</v>
      </c>
      <c r="M1644" t="s">
        <v>60</v>
      </c>
      <c r="N1644">
        <v>22</v>
      </c>
      <c r="O1644">
        <v>6</v>
      </c>
      <c r="P1644">
        <v>50</v>
      </c>
      <c r="Q1644">
        <v>14.8</v>
      </c>
      <c r="R1644" t="s">
        <v>26</v>
      </c>
      <c r="S1644" t="b">
        <v>0</v>
      </c>
      <c r="T1644" t="b">
        <v>0</v>
      </c>
    </row>
    <row r="1645" spans="1:20" x14ac:dyDescent="0.3">
      <c r="A1645" t="s">
        <v>2629</v>
      </c>
      <c r="B1645" s="1">
        <v>41296</v>
      </c>
      <c r="C1645" s="1">
        <v>41302</v>
      </c>
      <c r="D1645" t="s">
        <v>385</v>
      </c>
      <c r="E1645" t="s">
        <v>194</v>
      </c>
      <c r="F1645" t="s">
        <v>23</v>
      </c>
      <c r="G1645" t="s">
        <v>2631</v>
      </c>
      <c r="H1645">
        <v>20.65</v>
      </c>
      <c r="I1645">
        <v>5</v>
      </c>
      <c r="J1645">
        <v>9.4990000000000006</v>
      </c>
      <c r="K1645">
        <v>2013</v>
      </c>
      <c r="L1645">
        <v>1</v>
      </c>
      <c r="M1645" t="s">
        <v>60</v>
      </c>
      <c r="N1645">
        <v>22</v>
      </c>
      <c r="O1645">
        <v>6</v>
      </c>
      <c r="P1645">
        <v>46</v>
      </c>
      <c r="Q1645">
        <v>4.13</v>
      </c>
      <c r="R1645" t="s">
        <v>26</v>
      </c>
      <c r="S1645" t="b">
        <v>0</v>
      </c>
      <c r="T1645" t="b">
        <v>0</v>
      </c>
    </row>
    <row r="1646" spans="1:20" x14ac:dyDescent="0.3">
      <c r="A1646" t="s">
        <v>2632</v>
      </c>
      <c r="B1646" s="1">
        <v>41639</v>
      </c>
      <c r="C1646" s="1">
        <v>41639</v>
      </c>
      <c r="D1646" t="s">
        <v>2633</v>
      </c>
      <c r="E1646" t="s">
        <v>22</v>
      </c>
      <c r="F1646" t="s">
        <v>45</v>
      </c>
      <c r="G1646" t="s">
        <v>2300</v>
      </c>
      <c r="H1646">
        <v>481.32</v>
      </c>
      <c r="I1646">
        <v>4</v>
      </c>
      <c r="J1646">
        <v>125.14319999999999</v>
      </c>
      <c r="K1646">
        <v>2013</v>
      </c>
      <c r="L1646">
        <v>12</v>
      </c>
      <c r="M1646" t="s">
        <v>41</v>
      </c>
      <c r="N1646">
        <v>31</v>
      </c>
      <c r="O1646">
        <v>0</v>
      </c>
      <c r="P1646">
        <v>26</v>
      </c>
      <c r="Q1646">
        <v>120.33</v>
      </c>
      <c r="R1646" t="s">
        <v>26</v>
      </c>
      <c r="S1646" t="b">
        <v>0</v>
      </c>
      <c r="T1646" t="b">
        <v>1</v>
      </c>
    </row>
    <row r="1647" spans="1:20" x14ac:dyDescent="0.3">
      <c r="A1647" t="s">
        <v>2632</v>
      </c>
      <c r="B1647" s="1">
        <v>41639</v>
      </c>
      <c r="C1647" s="1">
        <v>41639</v>
      </c>
      <c r="D1647" t="s">
        <v>2633</v>
      </c>
      <c r="E1647" t="s">
        <v>22</v>
      </c>
      <c r="F1647" t="s">
        <v>33</v>
      </c>
      <c r="G1647" t="s">
        <v>2388</v>
      </c>
      <c r="H1647">
        <v>6.3840000000000003</v>
      </c>
      <c r="I1647">
        <v>1</v>
      </c>
      <c r="J1647">
        <v>2.1545999999999998</v>
      </c>
      <c r="K1647">
        <v>2013</v>
      </c>
      <c r="L1647">
        <v>12</v>
      </c>
      <c r="M1647" t="s">
        <v>41</v>
      </c>
      <c r="N1647">
        <v>31</v>
      </c>
      <c r="O1647">
        <v>0</v>
      </c>
      <c r="P1647">
        <v>33.75</v>
      </c>
      <c r="Q1647">
        <v>6.3840000000000003</v>
      </c>
      <c r="R1647" t="s">
        <v>26</v>
      </c>
      <c r="S1647" t="b">
        <v>0</v>
      </c>
      <c r="T1647" t="b">
        <v>0</v>
      </c>
    </row>
    <row r="1648" spans="1:20" x14ac:dyDescent="0.3">
      <c r="A1648" t="s">
        <v>2634</v>
      </c>
      <c r="B1648" s="1">
        <v>41864</v>
      </c>
      <c r="C1648" s="1">
        <v>41867</v>
      </c>
      <c r="D1648" t="s">
        <v>1278</v>
      </c>
      <c r="E1648" t="s">
        <v>2635</v>
      </c>
      <c r="F1648" t="s">
        <v>29</v>
      </c>
      <c r="G1648" t="s">
        <v>2261</v>
      </c>
      <c r="H1648">
        <v>54.92</v>
      </c>
      <c r="I1648">
        <v>4</v>
      </c>
      <c r="J1648">
        <v>19.7712</v>
      </c>
      <c r="K1648">
        <v>2014</v>
      </c>
      <c r="L1648">
        <v>8</v>
      </c>
      <c r="M1648" t="s">
        <v>53</v>
      </c>
      <c r="N1648">
        <v>13</v>
      </c>
      <c r="O1648">
        <v>3</v>
      </c>
      <c r="P1648">
        <v>36</v>
      </c>
      <c r="Q1648">
        <v>13.73</v>
      </c>
      <c r="R1648" t="s">
        <v>26</v>
      </c>
      <c r="S1648" t="b">
        <v>0</v>
      </c>
      <c r="T1648" t="b">
        <v>0</v>
      </c>
    </row>
    <row r="1649" spans="1:20" x14ac:dyDescent="0.3">
      <c r="A1649" t="s">
        <v>2636</v>
      </c>
      <c r="B1649" s="1">
        <v>41162</v>
      </c>
      <c r="C1649" s="1">
        <v>41164</v>
      </c>
      <c r="D1649" t="s">
        <v>1041</v>
      </c>
      <c r="E1649" t="s">
        <v>39</v>
      </c>
      <c r="F1649" t="s">
        <v>45</v>
      </c>
      <c r="G1649" t="s">
        <v>2637</v>
      </c>
      <c r="H1649">
        <v>353.88</v>
      </c>
      <c r="I1649">
        <v>6</v>
      </c>
      <c r="J1649">
        <v>17.693999999999999</v>
      </c>
      <c r="K1649">
        <v>2012</v>
      </c>
      <c r="L1649">
        <v>9</v>
      </c>
      <c r="M1649" t="s">
        <v>87</v>
      </c>
      <c r="N1649">
        <v>10</v>
      </c>
      <c r="O1649">
        <v>2</v>
      </c>
      <c r="P1649">
        <v>5</v>
      </c>
      <c r="Q1649">
        <v>58.98</v>
      </c>
      <c r="R1649" t="s">
        <v>26</v>
      </c>
      <c r="S1649" t="b">
        <v>0</v>
      </c>
      <c r="T1649" t="b">
        <v>1</v>
      </c>
    </row>
    <row r="1650" spans="1:20" x14ac:dyDescent="0.3">
      <c r="A1650" t="s">
        <v>2638</v>
      </c>
      <c r="B1650" s="1">
        <v>40855</v>
      </c>
      <c r="C1650" s="1">
        <v>40861</v>
      </c>
      <c r="D1650" t="s">
        <v>1736</v>
      </c>
      <c r="E1650" t="s">
        <v>2639</v>
      </c>
      <c r="F1650" t="s">
        <v>54</v>
      </c>
      <c r="G1650" t="s">
        <v>2640</v>
      </c>
      <c r="H1650">
        <v>333.57600000000002</v>
      </c>
      <c r="I1650">
        <v>3</v>
      </c>
      <c r="J1650">
        <v>25.0182</v>
      </c>
      <c r="K1650">
        <v>2011</v>
      </c>
      <c r="L1650">
        <v>11</v>
      </c>
      <c r="M1650" t="s">
        <v>70</v>
      </c>
      <c r="N1650">
        <v>8</v>
      </c>
      <c r="O1650">
        <v>6</v>
      </c>
      <c r="P1650">
        <v>7.5</v>
      </c>
      <c r="Q1650">
        <v>111.19199999999999</v>
      </c>
      <c r="R1650" t="s">
        <v>26</v>
      </c>
      <c r="S1650" t="b">
        <v>0</v>
      </c>
      <c r="T1650" t="b">
        <v>1</v>
      </c>
    </row>
    <row r="1651" spans="1:20" x14ac:dyDescent="0.3">
      <c r="A1651" t="s">
        <v>2641</v>
      </c>
      <c r="B1651" s="1">
        <v>41176</v>
      </c>
      <c r="C1651" s="1">
        <v>41180</v>
      </c>
      <c r="D1651" t="s">
        <v>838</v>
      </c>
      <c r="E1651" t="s">
        <v>22</v>
      </c>
      <c r="F1651" t="s">
        <v>29</v>
      </c>
      <c r="G1651" t="s">
        <v>875</v>
      </c>
      <c r="H1651">
        <v>14.91</v>
      </c>
      <c r="I1651">
        <v>3</v>
      </c>
      <c r="J1651">
        <v>4.6220999999999997</v>
      </c>
      <c r="K1651">
        <v>2012</v>
      </c>
      <c r="L1651">
        <v>9</v>
      </c>
      <c r="M1651" t="s">
        <v>87</v>
      </c>
      <c r="N1651">
        <v>24</v>
      </c>
      <c r="O1651">
        <v>4</v>
      </c>
      <c r="P1651">
        <v>31</v>
      </c>
      <c r="Q1651">
        <v>4.97</v>
      </c>
      <c r="R1651" t="s">
        <v>26</v>
      </c>
      <c r="S1651" t="b">
        <v>0</v>
      </c>
      <c r="T1651" t="b">
        <v>0</v>
      </c>
    </row>
    <row r="1652" spans="1:20" x14ac:dyDescent="0.3">
      <c r="A1652" t="s">
        <v>2642</v>
      </c>
      <c r="B1652" s="1">
        <v>41377</v>
      </c>
      <c r="C1652" s="1">
        <v>41381</v>
      </c>
      <c r="D1652" t="s">
        <v>2643</v>
      </c>
      <c r="E1652" t="s">
        <v>22</v>
      </c>
      <c r="F1652" t="s">
        <v>33</v>
      </c>
      <c r="G1652" t="s">
        <v>2644</v>
      </c>
      <c r="H1652">
        <v>13.208</v>
      </c>
      <c r="I1652">
        <v>1</v>
      </c>
      <c r="J1652">
        <v>4.6227999999999998</v>
      </c>
      <c r="K1652">
        <v>2013</v>
      </c>
      <c r="L1652">
        <v>4</v>
      </c>
      <c r="M1652" t="s">
        <v>236</v>
      </c>
      <c r="N1652">
        <v>13</v>
      </c>
      <c r="O1652">
        <v>4</v>
      </c>
      <c r="P1652">
        <v>35</v>
      </c>
      <c r="Q1652">
        <v>13.208</v>
      </c>
      <c r="R1652" t="s">
        <v>26</v>
      </c>
      <c r="S1652" t="b">
        <v>0</v>
      </c>
      <c r="T1652" t="b">
        <v>0</v>
      </c>
    </row>
    <row r="1653" spans="1:20" x14ac:dyDescent="0.3">
      <c r="A1653" t="s">
        <v>2645</v>
      </c>
      <c r="B1653" s="1">
        <v>41613</v>
      </c>
      <c r="C1653" s="1">
        <v>41618</v>
      </c>
      <c r="D1653" t="s">
        <v>788</v>
      </c>
      <c r="E1653" t="s">
        <v>51</v>
      </c>
      <c r="F1653" t="s">
        <v>72</v>
      </c>
      <c r="G1653" t="s">
        <v>2646</v>
      </c>
      <c r="H1653">
        <v>104.85</v>
      </c>
      <c r="I1653">
        <v>1</v>
      </c>
      <c r="J1653">
        <v>50.328000000000003</v>
      </c>
      <c r="K1653">
        <v>2013</v>
      </c>
      <c r="L1653">
        <v>12</v>
      </c>
      <c r="M1653" t="s">
        <v>41</v>
      </c>
      <c r="N1653">
        <v>5</v>
      </c>
      <c r="O1653">
        <v>5</v>
      </c>
      <c r="P1653">
        <v>48</v>
      </c>
      <c r="Q1653">
        <v>104.85</v>
      </c>
      <c r="R1653" t="s">
        <v>26</v>
      </c>
      <c r="S1653" t="b">
        <v>0</v>
      </c>
      <c r="T1653" t="b">
        <v>0</v>
      </c>
    </row>
    <row r="1654" spans="1:20" x14ac:dyDescent="0.3">
      <c r="A1654" t="s">
        <v>2647</v>
      </c>
      <c r="B1654" s="1">
        <v>40858</v>
      </c>
      <c r="C1654" s="1">
        <v>40865</v>
      </c>
      <c r="D1654" t="s">
        <v>691</v>
      </c>
      <c r="E1654" t="s">
        <v>22</v>
      </c>
      <c r="F1654" t="s">
        <v>31</v>
      </c>
      <c r="G1654" t="s">
        <v>1753</v>
      </c>
      <c r="H1654">
        <v>30.48</v>
      </c>
      <c r="I1654">
        <v>3</v>
      </c>
      <c r="J1654">
        <v>7.9248000000000003</v>
      </c>
      <c r="K1654">
        <v>2011</v>
      </c>
      <c r="L1654">
        <v>11</v>
      </c>
      <c r="M1654" t="s">
        <v>70</v>
      </c>
      <c r="N1654">
        <v>11</v>
      </c>
      <c r="O1654">
        <v>7</v>
      </c>
      <c r="P1654">
        <v>26</v>
      </c>
      <c r="Q1654">
        <v>10.16</v>
      </c>
      <c r="R1654" t="s">
        <v>26</v>
      </c>
      <c r="S1654" t="b">
        <v>0</v>
      </c>
      <c r="T1654" t="b">
        <v>0</v>
      </c>
    </row>
    <row r="1655" spans="1:20" x14ac:dyDescent="0.3">
      <c r="A1655" t="s">
        <v>2647</v>
      </c>
      <c r="B1655" s="1">
        <v>40858</v>
      </c>
      <c r="C1655" s="1">
        <v>40865</v>
      </c>
      <c r="D1655" t="s">
        <v>691</v>
      </c>
      <c r="E1655" t="s">
        <v>22</v>
      </c>
      <c r="F1655" t="s">
        <v>110</v>
      </c>
      <c r="G1655" t="s">
        <v>1500</v>
      </c>
      <c r="H1655">
        <v>112.648</v>
      </c>
      <c r="I1655">
        <v>1</v>
      </c>
      <c r="J1655">
        <v>11.264799999999999</v>
      </c>
      <c r="K1655">
        <v>2011</v>
      </c>
      <c r="L1655">
        <v>11</v>
      </c>
      <c r="M1655" t="s">
        <v>70</v>
      </c>
      <c r="N1655">
        <v>11</v>
      </c>
      <c r="O1655">
        <v>7</v>
      </c>
      <c r="P1655">
        <v>10</v>
      </c>
      <c r="Q1655">
        <v>112.648</v>
      </c>
      <c r="R1655" t="s">
        <v>26</v>
      </c>
      <c r="S1655" t="b">
        <v>0</v>
      </c>
      <c r="T1655" t="b">
        <v>0</v>
      </c>
    </row>
    <row r="1656" spans="1:20" x14ac:dyDescent="0.3">
      <c r="A1656" t="s">
        <v>2648</v>
      </c>
      <c r="B1656" s="1">
        <v>41001</v>
      </c>
      <c r="C1656" s="1">
        <v>41008</v>
      </c>
      <c r="D1656" t="s">
        <v>2649</v>
      </c>
      <c r="E1656" t="s">
        <v>22</v>
      </c>
      <c r="F1656" t="s">
        <v>793</v>
      </c>
      <c r="G1656" t="s">
        <v>2650</v>
      </c>
      <c r="H1656">
        <v>71.975999999999999</v>
      </c>
      <c r="I1656">
        <v>3</v>
      </c>
      <c r="J1656">
        <v>24.291899999999998</v>
      </c>
      <c r="K1656">
        <v>2012</v>
      </c>
      <c r="L1656">
        <v>4</v>
      </c>
      <c r="M1656" t="s">
        <v>236</v>
      </c>
      <c r="N1656">
        <v>2</v>
      </c>
      <c r="O1656">
        <v>7</v>
      </c>
      <c r="P1656">
        <v>33.75</v>
      </c>
      <c r="Q1656">
        <v>23.992000000000001</v>
      </c>
      <c r="R1656" t="s">
        <v>48</v>
      </c>
      <c r="S1656" t="b">
        <v>0</v>
      </c>
      <c r="T1656" t="b">
        <v>0</v>
      </c>
    </row>
    <row r="1657" spans="1:20" x14ac:dyDescent="0.3">
      <c r="A1657" t="s">
        <v>2651</v>
      </c>
      <c r="B1657" s="1">
        <v>41255</v>
      </c>
      <c r="C1657" s="1">
        <v>41259</v>
      </c>
      <c r="D1657" t="s">
        <v>326</v>
      </c>
      <c r="E1657" t="s">
        <v>2652</v>
      </c>
      <c r="F1657" t="s">
        <v>31</v>
      </c>
      <c r="G1657" t="s">
        <v>145</v>
      </c>
      <c r="H1657">
        <v>2.21</v>
      </c>
      <c r="I1657">
        <v>1</v>
      </c>
      <c r="J1657">
        <v>0.59670000000000001</v>
      </c>
      <c r="K1657">
        <v>2012</v>
      </c>
      <c r="L1657">
        <v>12</v>
      </c>
      <c r="M1657" t="s">
        <v>41</v>
      </c>
      <c r="N1657">
        <v>12</v>
      </c>
      <c r="O1657">
        <v>4</v>
      </c>
      <c r="P1657">
        <v>27</v>
      </c>
      <c r="Q1657">
        <v>2.21</v>
      </c>
      <c r="R1657" t="s">
        <v>26</v>
      </c>
      <c r="S1657" t="b">
        <v>0</v>
      </c>
      <c r="T1657" t="b">
        <v>0</v>
      </c>
    </row>
    <row r="1658" spans="1:20" x14ac:dyDescent="0.3">
      <c r="A1658" t="s">
        <v>2651</v>
      </c>
      <c r="B1658" s="1">
        <v>41255</v>
      </c>
      <c r="C1658" s="1">
        <v>41259</v>
      </c>
      <c r="D1658" t="s">
        <v>326</v>
      </c>
      <c r="E1658" t="s">
        <v>2652</v>
      </c>
      <c r="F1658" t="s">
        <v>128</v>
      </c>
      <c r="G1658" t="s">
        <v>2653</v>
      </c>
      <c r="H1658">
        <v>15.52</v>
      </c>
      <c r="I1658">
        <v>4</v>
      </c>
      <c r="J1658">
        <v>7.4496000000000002</v>
      </c>
      <c r="K1658">
        <v>2012</v>
      </c>
      <c r="L1658">
        <v>12</v>
      </c>
      <c r="M1658" t="s">
        <v>41</v>
      </c>
      <c r="N1658">
        <v>12</v>
      </c>
      <c r="O1658">
        <v>4</v>
      </c>
      <c r="P1658">
        <v>48</v>
      </c>
      <c r="Q1658">
        <v>3.88</v>
      </c>
      <c r="R1658" t="s">
        <v>26</v>
      </c>
      <c r="S1658" t="b">
        <v>0</v>
      </c>
      <c r="T1658" t="b">
        <v>0</v>
      </c>
    </row>
    <row r="1659" spans="1:20" x14ac:dyDescent="0.3">
      <c r="A1659" t="s">
        <v>2651</v>
      </c>
      <c r="B1659" s="1">
        <v>41255</v>
      </c>
      <c r="C1659" s="1">
        <v>41259</v>
      </c>
      <c r="D1659" t="s">
        <v>326</v>
      </c>
      <c r="E1659" t="s">
        <v>2652</v>
      </c>
      <c r="F1659" t="s">
        <v>72</v>
      </c>
      <c r="G1659" t="s">
        <v>2654</v>
      </c>
      <c r="H1659">
        <v>36.44</v>
      </c>
      <c r="I1659">
        <v>4</v>
      </c>
      <c r="J1659">
        <v>16.398</v>
      </c>
      <c r="K1659">
        <v>2012</v>
      </c>
      <c r="L1659">
        <v>12</v>
      </c>
      <c r="M1659" t="s">
        <v>41</v>
      </c>
      <c r="N1659">
        <v>12</v>
      </c>
      <c r="O1659">
        <v>4</v>
      </c>
      <c r="P1659">
        <v>45</v>
      </c>
      <c r="Q1659">
        <v>9.11</v>
      </c>
      <c r="R1659" t="s">
        <v>26</v>
      </c>
      <c r="S1659" t="b">
        <v>0</v>
      </c>
      <c r="T1659" t="b">
        <v>0</v>
      </c>
    </row>
    <row r="1660" spans="1:20" x14ac:dyDescent="0.3">
      <c r="A1660" t="s">
        <v>2655</v>
      </c>
      <c r="B1660" s="1">
        <v>41915</v>
      </c>
      <c r="C1660" s="1">
        <v>41921</v>
      </c>
      <c r="D1660" t="s">
        <v>2656</v>
      </c>
      <c r="E1660" t="s">
        <v>1088</v>
      </c>
      <c r="F1660" t="s">
        <v>317</v>
      </c>
      <c r="G1660" t="s">
        <v>2533</v>
      </c>
      <c r="H1660">
        <v>217.76400000000001</v>
      </c>
      <c r="I1660">
        <v>6</v>
      </c>
      <c r="J1660">
        <v>-384.71640000000002</v>
      </c>
      <c r="K1660">
        <v>2014</v>
      </c>
      <c r="L1660">
        <v>10</v>
      </c>
      <c r="M1660" t="s">
        <v>82</v>
      </c>
      <c r="N1660">
        <v>3</v>
      </c>
      <c r="O1660">
        <v>6</v>
      </c>
      <c r="P1660">
        <v>-176.67</v>
      </c>
      <c r="Q1660">
        <v>36.293999999999997</v>
      </c>
      <c r="R1660" t="s">
        <v>26</v>
      </c>
      <c r="S1660" t="b">
        <v>1</v>
      </c>
      <c r="T1660" t="b">
        <v>1</v>
      </c>
    </row>
    <row r="1661" spans="1:20" x14ac:dyDescent="0.3">
      <c r="A1661" t="s">
        <v>2655</v>
      </c>
      <c r="B1661" s="1">
        <v>41915</v>
      </c>
      <c r="C1661" s="1">
        <v>41921</v>
      </c>
      <c r="D1661" t="s">
        <v>2656</v>
      </c>
      <c r="E1661" t="s">
        <v>1088</v>
      </c>
      <c r="F1661" t="s">
        <v>122</v>
      </c>
      <c r="G1661" t="s">
        <v>2657</v>
      </c>
      <c r="H1661">
        <v>39.072000000000003</v>
      </c>
      <c r="I1661">
        <v>6</v>
      </c>
      <c r="J1661">
        <v>4.3956</v>
      </c>
      <c r="K1661">
        <v>2014</v>
      </c>
      <c r="L1661">
        <v>10</v>
      </c>
      <c r="M1661" t="s">
        <v>82</v>
      </c>
      <c r="N1661">
        <v>3</v>
      </c>
      <c r="O1661">
        <v>6</v>
      </c>
      <c r="P1661">
        <v>11.25</v>
      </c>
      <c r="Q1661">
        <v>6.5119999999999996</v>
      </c>
      <c r="R1661" t="s">
        <v>26</v>
      </c>
      <c r="S1661" t="b">
        <v>0</v>
      </c>
      <c r="T1661" t="b">
        <v>0</v>
      </c>
    </row>
    <row r="1662" spans="1:20" x14ac:dyDescent="0.3">
      <c r="A1662" t="s">
        <v>2655</v>
      </c>
      <c r="B1662" s="1">
        <v>41915</v>
      </c>
      <c r="C1662" s="1">
        <v>41921</v>
      </c>
      <c r="D1662" t="s">
        <v>2656</v>
      </c>
      <c r="E1662" t="s">
        <v>1088</v>
      </c>
      <c r="F1662" t="s">
        <v>33</v>
      </c>
      <c r="G1662" t="s">
        <v>997</v>
      </c>
      <c r="H1662">
        <v>22.638000000000002</v>
      </c>
      <c r="I1662">
        <v>7</v>
      </c>
      <c r="J1662">
        <v>-16.601199999999999</v>
      </c>
      <c r="K1662">
        <v>2014</v>
      </c>
      <c r="L1662">
        <v>10</v>
      </c>
      <c r="M1662" t="s">
        <v>82</v>
      </c>
      <c r="N1662">
        <v>3</v>
      </c>
      <c r="O1662">
        <v>6</v>
      </c>
      <c r="P1662">
        <v>-73.33</v>
      </c>
      <c r="Q1662">
        <v>3.234</v>
      </c>
      <c r="R1662" t="s">
        <v>26</v>
      </c>
      <c r="S1662" t="b">
        <v>1</v>
      </c>
      <c r="T1662" t="b">
        <v>0</v>
      </c>
    </row>
    <row r="1663" spans="1:20" x14ac:dyDescent="0.3">
      <c r="A1663" t="s">
        <v>2655</v>
      </c>
      <c r="B1663" s="1">
        <v>41915</v>
      </c>
      <c r="C1663" s="1">
        <v>41921</v>
      </c>
      <c r="D1663" t="s">
        <v>2656</v>
      </c>
      <c r="E1663" t="s">
        <v>1088</v>
      </c>
      <c r="F1663" t="s">
        <v>31</v>
      </c>
      <c r="G1663" t="s">
        <v>1423</v>
      </c>
      <c r="H1663">
        <v>95.144000000000005</v>
      </c>
      <c r="I1663">
        <v>7</v>
      </c>
      <c r="J1663">
        <v>10.7037</v>
      </c>
      <c r="K1663">
        <v>2014</v>
      </c>
      <c r="L1663">
        <v>10</v>
      </c>
      <c r="M1663" t="s">
        <v>82</v>
      </c>
      <c r="N1663">
        <v>3</v>
      </c>
      <c r="O1663">
        <v>6</v>
      </c>
      <c r="P1663">
        <v>11.25</v>
      </c>
      <c r="Q1663">
        <v>13.592000000000001</v>
      </c>
      <c r="R1663" t="s">
        <v>26</v>
      </c>
      <c r="S1663" t="b">
        <v>0</v>
      </c>
      <c r="T1663" t="b">
        <v>0</v>
      </c>
    </row>
    <row r="1664" spans="1:20" x14ac:dyDescent="0.3">
      <c r="A1664" t="s">
        <v>2658</v>
      </c>
      <c r="B1664" s="1">
        <v>41912</v>
      </c>
      <c r="C1664" s="1">
        <v>41915</v>
      </c>
      <c r="D1664" t="s">
        <v>529</v>
      </c>
      <c r="E1664" t="s">
        <v>1515</v>
      </c>
      <c r="F1664" t="s">
        <v>119</v>
      </c>
      <c r="G1664" t="s">
        <v>1290</v>
      </c>
      <c r="H1664">
        <v>35</v>
      </c>
      <c r="I1664">
        <v>7</v>
      </c>
      <c r="J1664">
        <v>16.8</v>
      </c>
      <c r="K1664">
        <v>2014</v>
      </c>
      <c r="L1664">
        <v>9</v>
      </c>
      <c r="M1664" t="s">
        <v>87</v>
      </c>
      <c r="N1664">
        <v>30</v>
      </c>
      <c r="O1664">
        <v>3</v>
      </c>
      <c r="P1664">
        <v>48</v>
      </c>
      <c r="Q1664">
        <v>5</v>
      </c>
      <c r="R1664" t="s">
        <v>26</v>
      </c>
      <c r="S1664" t="b">
        <v>0</v>
      </c>
      <c r="T1664" t="b">
        <v>0</v>
      </c>
    </row>
    <row r="1665" spans="1:20" x14ac:dyDescent="0.3">
      <c r="A1665" t="s">
        <v>2658</v>
      </c>
      <c r="B1665" s="1">
        <v>41912</v>
      </c>
      <c r="C1665" s="1">
        <v>41915</v>
      </c>
      <c r="D1665" t="s">
        <v>529</v>
      </c>
      <c r="E1665" t="s">
        <v>1515</v>
      </c>
      <c r="F1665" t="s">
        <v>110</v>
      </c>
      <c r="G1665" t="s">
        <v>789</v>
      </c>
      <c r="H1665">
        <v>72.784000000000006</v>
      </c>
      <c r="I1665">
        <v>1</v>
      </c>
      <c r="J1665">
        <v>0</v>
      </c>
      <c r="K1665">
        <v>2014</v>
      </c>
      <c r="L1665">
        <v>9</v>
      </c>
      <c r="M1665" t="s">
        <v>87</v>
      </c>
      <c r="N1665">
        <v>30</v>
      </c>
      <c r="O1665">
        <v>3</v>
      </c>
      <c r="P1665">
        <v>0</v>
      </c>
      <c r="Q1665">
        <v>72.784000000000006</v>
      </c>
      <c r="R1665" t="s">
        <v>26</v>
      </c>
      <c r="S1665" t="b">
        <v>0</v>
      </c>
      <c r="T1665" t="b">
        <v>0</v>
      </c>
    </row>
    <row r="1666" spans="1:20" x14ac:dyDescent="0.3">
      <c r="A1666" t="s">
        <v>2658</v>
      </c>
      <c r="B1666" s="1">
        <v>41912</v>
      </c>
      <c r="C1666" s="1">
        <v>41915</v>
      </c>
      <c r="D1666" t="s">
        <v>529</v>
      </c>
      <c r="E1666" t="s">
        <v>1515</v>
      </c>
      <c r="F1666" t="s">
        <v>35</v>
      </c>
      <c r="G1666" t="s">
        <v>313</v>
      </c>
      <c r="H1666">
        <v>97.84</v>
      </c>
      <c r="I1666">
        <v>2</v>
      </c>
      <c r="J1666">
        <v>25.438400000000001</v>
      </c>
      <c r="K1666">
        <v>2014</v>
      </c>
      <c r="L1666">
        <v>9</v>
      </c>
      <c r="M1666" t="s">
        <v>87</v>
      </c>
      <c r="N1666">
        <v>30</v>
      </c>
      <c r="O1666">
        <v>3</v>
      </c>
      <c r="P1666">
        <v>26</v>
      </c>
      <c r="Q1666">
        <v>48.92</v>
      </c>
      <c r="R1666" t="s">
        <v>26</v>
      </c>
      <c r="S1666" t="b">
        <v>0</v>
      </c>
      <c r="T1666" t="b">
        <v>0</v>
      </c>
    </row>
    <row r="1667" spans="1:20" x14ac:dyDescent="0.3">
      <c r="A1667" t="s">
        <v>2658</v>
      </c>
      <c r="B1667" s="1">
        <v>41912</v>
      </c>
      <c r="C1667" s="1">
        <v>41915</v>
      </c>
      <c r="D1667" t="s">
        <v>529</v>
      </c>
      <c r="E1667" t="s">
        <v>1515</v>
      </c>
      <c r="F1667" t="s">
        <v>29</v>
      </c>
      <c r="G1667" t="s">
        <v>625</v>
      </c>
      <c r="H1667">
        <v>51.75</v>
      </c>
      <c r="I1667">
        <v>1</v>
      </c>
      <c r="J1667">
        <v>15.525</v>
      </c>
      <c r="K1667">
        <v>2014</v>
      </c>
      <c r="L1667">
        <v>9</v>
      </c>
      <c r="M1667" t="s">
        <v>87</v>
      </c>
      <c r="N1667">
        <v>30</v>
      </c>
      <c r="O1667">
        <v>3</v>
      </c>
      <c r="P1667">
        <v>30</v>
      </c>
      <c r="Q1667">
        <v>51.75</v>
      </c>
      <c r="R1667" t="s">
        <v>26</v>
      </c>
      <c r="S1667" t="b">
        <v>0</v>
      </c>
      <c r="T1667" t="b">
        <v>0</v>
      </c>
    </row>
    <row r="1668" spans="1:20" x14ac:dyDescent="0.3">
      <c r="A1668" t="s">
        <v>2658</v>
      </c>
      <c r="B1668" s="1">
        <v>41912</v>
      </c>
      <c r="C1668" s="1">
        <v>41915</v>
      </c>
      <c r="D1668" t="s">
        <v>529</v>
      </c>
      <c r="E1668" t="s">
        <v>1515</v>
      </c>
      <c r="F1668" t="s">
        <v>33</v>
      </c>
      <c r="G1668" t="s">
        <v>559</v>
      </c>
      <c r="H1668">
        <v>46.671999999999997</v>
      </c>
      <c r="I1668">
        <v>2</v>
      </c>
      <c r="J1668">
        <v>16.3352</v>
      </c>
      <c r="K1668">
        <v>2014</v>
      </c>
      <c r="L1668">
        <v>9</v>
      </c>
      <c r="M1668" t="s">
        <v>87</v>
      </c>
      <c r="N1668">
        <v>30</v>
      </c>
      <c r="O1668">
        <v>3</v>
      </c>
      <c r="P1668">
        <v>35</v>
      </c>
      <c r="Q1668">
        <v>23.335999999999999</v>
      </c>
      <c r="R1668" t="s">
        <v>26</v>
      </c>
      <c r="S1668" t="b">
        <v>0</v>
      </c>
      <c r="T1668" t="b">
        <v>0</v>
      </c>
    </row>
    <row r="1669" spans="1:20" x14ac:dyDescent="0.3">
      <c r="A1669" t="s">
        <v>2659</v>
      </c>
      <c r="B1669" s="1">
        <v>40990</v>
      </c>
      <c r="C1669" s="1">
        <v>40992</v>
      </c>
      <c r="D1669" t="s">
        <v>153</v>
      </c>
      <c r="E1669" t="s">
        <v>1335</v>
      </c>
      <c r="F1669" t="s">
        <v>54</v>
      </c>
      <c r="G1669" t="s">
        <v>856</v>
      </c>
      <c r="H1669">
        <v>15.984</v>
      </c>
      <c r="I1669">
        <v>2</v>
      </c>
      <c r="J1669">
        <v>1.1988000000000001</v>
      </c>
      <c r="K1669">
        <v>2012</v>
      </c>
      <c r="L1669">
        <v>3</v>
      </c>
      <c r="M1669" t="s">
        <v>135</v>
      </c>
      <c r="N1669">
        <v>22</v>
      </c>
      <c r="O1669">
        <v>2</v>
      </c>
      <c r="P1669">
        <v>7.5</v>
      </c>
      <c r="Q1669">
        <v>7.992</v>
      </c>
      <c r="R1669" t="s">
        <v>26</v>
      </c>
      <c r="S1669" t="b">
        <v>0</v>
      </c>
      <c r="T1669" t="b">
        <v>0</v>
      </c>
    </row>
    <row r="1670" spans="1:20" x14ac:dyDescent="0.3">
      <c r="A1670" t="s">
        <v>2660</v>
      </c>
      <c r="B1670" s="1">
        <v>40990</v>
      </c>
      <c r="C1670" s="1">
        <v>40994</v>
      </c>
      <c r="D1670" t="s">
        <v>2661</v>
      </c>
      <c r="E1670" t="s">
        <v>194</v>
      </c>
      <c r="F1670" t="s">
        <v>72</v>
      </c>
      <c r="G1670" t="s">
        <v>155</v>
      </c>
      <c r="H1670">
        <v>105.52</v>
      </c>
      <c r="I1670">
        <v>4</v>
      </c>
      <c r="J1670">
        <v>48.539200000000001</v>
      </c>
      <c r="K1670">
        <v>2012</v>
      </c>
      <c r="L1670">
        <v>3</v>
      </c>
      <c r="M1670" t="s">
        <v>135</v>
      </c>
      <c r="N1670">
        <v>22</v>
      </c>
      <c r="O1670">
        <v>4</v>
      </c>
      <c r="P1670">
        <v>46</v>
      </c>
      <c r="Q1670">
        <v>26.38</v>
      </c>
      <c r="R1670" t="s">
        <v>26</v>
      </c>
      <c r="S1670" t="b">
        <v>0</v>
      </c>
      <c r="T1670" t="b">
        <v>0</v>
      </c>
    </row>
    <row r="1671" spans="1:20" x14ac:dyDescent="0.3">
      <c r="A1671" t="s">
        <v>2660</v>
      </c>
      <c r="B1671" s="1">
        <v>40990</v>
      </c>
      <c r="C1671" s="1">
        <v>40994</v>
      </c>
      <c r="D1671" t="s">
        <v>2661</v>
      </c>
      <c r="E1671" t="s">
        <v>194</v>
      </c>
      <c r="F1671" t="s">
        <v>29</v>
      </c>
      <c r="G1671" t="s">
        <v>2662</v>
      </c>
      <c r="H1671">
        <v>91.96</v>
      </c>
      <c r="I1671">
        <v>2</v>
      </c>
      <c r="J1671">
        <v>15.6332</v>
      </c>
      <c r="K1671">
        <v>2012</v>
      </c>
      <c r="L1671">
        <v>3</v>
      </c>
      <c r="M1671" t="s">
        <v>135</v>
      </c>
      <c r="N1671">
        <v>22</v>
      </c>
      <c r="O1671">
        <v>4</v>
      </c>
      <c r="P1671">
        <v>17</v>
      </c>
      <c r="Q1671">
        <v>45.98</v>
      </c>
      <c r="R1671" t="s">
        <v>26</v>
      </c>
      <c r="S1671" t="b">
        <v>0</v>
      </c>
      <c r="T1671" t="b">
        <v>0</v>
      </c>
    </row>
    <row r="1672" spans="1:20" x14ac:dyDescent="0.3">
      <c r="A1672" t="s">
        <v>2663</v>
      </c>
      <c r="B1672" s="1">
        <v>41772</v>
      </c>
      <c r="C1672" s="1">
        <v>41778</v>
      </c>
      <c r="D1672" t="s">
        <v>2664</v>
      </c>
      <c r="E1672" t="s">
        <v>51</v>
      </c>
      <c r="F1672" t="s">
        <v>122</v>
      </c>
      <c r="G1672" t="s">
        <v>2665</v>
      </c>
      <c r="H1672">
        <v>238.62</v>
      </c>
      <c r="I1672">
        <v>2</v>
      </c>
      <c r="J1672">
        <v>4.7724000000000002</v>
      </c>
      <c r="K1672">
        <v>2014</v>
      </c>
      <c r="L1672">
        <v>5</v>
      </c>
      <c r="M1672" t="s">
        <v>47</v>
      </c>
      <c r="N1672">
        <v>13</v>
      </c>
      <c r="O1672">
        <v>6</v>
      </c>
      <c r="P1672">
        <v>2</v>
      </c>
      <c r="Q1672">
        <v>119.31</v>
      </c>
      <c r="R1672" t="s">
        <v>26</v>
      </c>
      <c r="S1672" t="b">
        <v>0</v>
      </c>
      <c r="T1672" t="b">
        <v>1</v>
      </c>
    </row>
    <row r="1673" spans="1:20" x14ac:dyDescent="0.3">
      <c r="A1673" t="s">
        <v>2663</v>
      </c>
      <c r="B1673" s="1">
        <v>41772</v>
      </c>
      <c r="C1673" s="1">
        <v>41778</v>
      </c>
      <c r="D1673" t="s">
        <v>2664</v>
      </c>
      <c r="E1673" t="s">
        <v>51</v>
      </c>
      <c r="F1673" t="s">
        <v>35</v>
      </c>
      <c r="G1673" t="s">
        <v>2666</v>
      </c>
      <c r="H1673">
        <v>7.77</v>
      </c>
      <c r="I1673">
        <v>1</v>
      </c>
      <c r="J1673">
        <v>2.0979000000000001</v>
      </c>
      <c r="K1673">
        <v>2014</v>
      </c>
      <c r="L1673">
        <v>5</v>
      </c>
      <c r="M1673" t="s">
        <v>47</v>
      </c>
      <c r="N1673">
        <v>13</v>
      </c>
      <c r="O1673">
        <v>6</v>
      </c>
      <c r="P1673">
        <v>27</v>
      </c>
      <c r="Q1673">
        <v>7.77</v>
      </c>
      <c r="R1673" t="s">
        <v>26</v>
      </c>
      <c r="S1673" t="b">
        <v>0</v>
      </c>
      <c r="T1673" t="b">
        <v>0</v>
      </c>
    </row>
    <row r="1674" spans="1:20" x14ac:dyDescent="0.3">
      <c r="A1674" t="s">
        <v>2663</v>
      </c>
      <c r="B1674" s="1">
        <v>41772</v>
      </c>
      <c r="C1674" s="1">
        <v>41778</v>
      </c>
      <c r="D1674" t="s">
        <v>2664</v>
      </c>
      <c r="E1674" t="s">
        <v>51</v>
      </c>
      <c r="F1674" t="s">
        <v>174</v>
      </c>
      <c r="G1674" t="s">
        <v>1639</v>
      </c>
      <c r="H1674">
        <v>285.48</v>
      </c>
      <c r="I1674">
        <v>5</v>
      </c>
      <c r="J1674">
        <v>-10.705500000000001</v>
      </c>
      <c r="K1674">
        <v>2014</v>
      </c>
      <c r="L1674">
        <v>5</v>
      </c>
      <c r="M1674" t="s">
        <v>47</v>
      </c>
      <c r="N1674">
        <v>13</v>
      </c>
      <c r="O1674">
        <v>6</v>
      </c>
      <c r="P1674">
        <v>-3.75</v>
      </c>
      <c r="Q1674">
        <v>57.095999999999997</v>
      </c>
      <c r="R1674" t="s">
        <v>26</v>
      </c>
      <c r="S1674" t="b">
        <v>1</v>
      </c>
      <c r="T1674" t="b">
        <v>1</v>
      </c>
    </row>
    <row r="1675" spans="1:20" x14ac:dyDescent="0.3">
      <c r="A1675" t="s">
        <v>2663</v>
      </c>
      <c r="B1675" s="1">
        <v>41772</v>
      </c>
      <c r="C1675" s="1">
        <v>41778</v>
      </c>
      <c r="D1675" t="s">
        <v>2664</v>
      </c>
      <c r="E1675" t="s">
        <v>51</v>
      </c>
      <c r="F1675" t="s">
        <v>33</v>
      </c>
      <c r="G1675" t="s">
        <v>1019</v>
      </c>
      <c r="H1675">
        <v>19.167999999999999</v>
      </c>
      <c r="I1675">
        <v>4</v>
      </c>
      <c r="J1675">
        <v>6.4691999999999998</v>
      </c>
      <c r="K1675">
        <v>2014</v>
      </c>
      <c r="L1675">
        <v>5</v>
      </c>
      <c r="M1675" t="s">
        <v>47</v>
      </c>
      <c r="N1675">
        <v>13</v>
      </c>
      <c r="O1675">
        <v>6</v>
      </c>
      <c r="P1675">
        <v>33.75</v>
      </c>
      <c r="Q1675">
        <v>4.7919999999999998</v>
      </c>
      <c r="R1675" t="s">
        <v>26</v>
      </c>
      <c r="S1675" t="b">
        <v>0</v>
      </c>
      <c r="T1675" t="b">
        <v>0</v>
      </c>
    </row>
    <row r="1676" spans="1:20" x14ac:dyDescent="0.3">
      <c r="A1676" t="s">
        <v>2667</v>
      </c>
      <c r="B1676" s="1">
        <v>41971</v>
      </c>
      <c r="C1676" s="1">
        <v>41977</v>
      </c>
      <c r="D1676" t="s">
        <v>2668</v>
      </c>
      <c r="E1676" t="s">
        <v>22</v>
      </c>
      <c r="F1676" t="s">
        <v>54</v>
      </c>
      <c r="G1676" t="s">
        <v>2669</v>
      </c>
      <c r="H1676">
        <v>57.567999999999998</v>
      </c>
      <c r="I1676">
        <v>4</v>
      </c>
      <c r="J1676">
        <v>5.7568000000000001</v>
      </c>
      <c r="K1676">
        <v>2014</v>
      </c>
      <c r="L1676">
        <v>11</v>
      </c>
      <c r="M1676" t="s">
        <v>70</v>
      </c>
      <c r="N1676">
        <v>28</v>
      </c>
      <c r="O1676">
        <v>6</v>
      </c>
      <c r="P1676">
        <v>10</v>
      </c>
      <c r="Q1676">
        <v>14.391999999999999</v>
      </c>
      <c r="R1676" t="s">
        <v>26</v>
      </c>
      <c r="S1676" t="b">
        <v>0</v>
      </c>
      <c r="T1676" t="b">
        <v>0</v>
      </c>
    </row>
    <row r="1677" spans="1:20" x14ac:dyDescent="0.3">
      <c r="A1677" t="s">
        <v>2670</v>
      </c>
      <c r="B1677" s="1">
        <v>40995</v>
      </c>
      <c r="C1677" s="1">
        <v>41002</v>
      </c>
      <c r="D1677" t="s">
        <v>2089</v>
      </c>
      <c r="E1677" t="s">
        <v>39</v>
      </c>
      <c r="F1677" t="s">
        <v>45</v>
      </c>
      <c r="G1677" t="s">
        <v>2671</v>
      </c>
      <c r="H1677">
        <v>83.7</v>
      </c>
      <c r="I1677">
        <v>5</v>
      </c>
      <c r="J1677">
        <v>3.3479999999999999</v>
      </c>
      <c r="K1677">
        <v>2012</v>
      </c>
      <c r="L1677">
        <v>3</v>
      </c>
      <c r="M1677" t="s">
        <v>135</v>
      </c>
      <c r="N1677">
        <v>27</v>
      </c>
      <c r="O1677">
        <v>7</v>
      </c>
      <c r="P1677">
        <v>4</v>
      </c>
      <c r="Q1677">
        <v>16.739999999999998</v>
      </c>
      <c r="R1677" t="s">
        <v>26</v>
      </c>
      <c r="S1677" t="b">
        <v>0</v>
      </c>
      <c r="T1677" t="b">
        <v>0</v>
      </c>
    </row>
    <row r="1678" spans="1:20" x14ac:dyDescent="0.3">
      <c r="A1678" t="s">
        <v>2672</v>
      </c>
      <c r="B1678" s="1">
        <v>41230</v>
      </c>
      <c r="C1678" s="1">
        <v>41234</v>
      </c>
      <c r="D1678" t="s">
        <v>2673</v>
      </c>
      <c r="E1678" t="s">
        <v>194</v>
      </c>
      <c r="F1678" t="s">
        <v>54</v>
      </c>
      <c r="G1678" t="s">
        <v>2674</v>
      </c>
      <c r="H1678">
        <v>415.96800000000002</v>
      </c>
      <c r="I1678">
        <v>4</v>
      </c>
      <c r="J1678">
        <v>51.996000000000002</v>
      </c>
      <c r="K1678">
        <v>2012</v>
      </c>
      <c r="L1678">
        <v>11</v>
      </c>
      <c r="M1678" t="s">
        <v>70</v>
      </c>
      <c r="N1678">
        <v>17</v>
      </c>
      <c r="O1678">
        <v>4</v>
      </c>
      <c r="P1678">
        <v>12.5</v>
      </c>
      <c r="Q1678">
        <v>103.992</v>
      </c>
      <c r="R1678" t="s">
        <v>26</v>
      </c>
      <c r="S1678" t="b">
        <v>0</v>
      </c>
      <c r="T1678" t="b">
        <v>1</v>
      </c>
    </row>
    <row r="1679" spans="1:20" x14ac:dyDescent="0.3">
      <c r="A1679" t="s">
        <v>2672</v>
      </c>
      <c r="B1679" s="1">
        <v>41230</v>
      </c>
      <c r="C1679" s="1">
        <v>41234</v>
      </c>
      <c r="D1679" t="s">
        <v>2673</v>
      </c>
      <c r="E1679" t="s">
        <v>194</v>
      </c>
      <c r="F1679" t="s">
        <v>45</v>
      </c>
      <c r="G1679" t="s">
        <v>2675</v>
      </c>
      <c r="H1679">
        <v>304.89999999999998</v>
      </c>
      <c r="I1679">
        <v>5</v>
      </c>
      <c r="J1679">
        <v>6.0979999999999999</v>
      </c>
      <c r="K1679">
        <v>2012</v>
      </c>
      <c r="L1679">
        <v>11</v>
      </c>
      <c r="M1679" t="s">
        <v>70</v>
      </c>
      <c r="N1679">
        <v>17</v>
      </c>
      <c r="O1679">
        <v>4</v>
      </c>
      <c r="P1679">
        <v>2</v>
      </c>
      <c r="Q1679">
        <v>60.98</v>
      </c>
      <c r="R1679" t="s">
        <v>26</v>
      </c>
      <c r="S1679" t="b">
        <v>0</v>
      </c>
      <c r="T1679" t="b">
        <v>1</v>
      </c>
    </row>
    <row r="1680" spans="1:20" x14ac:dyDescent="0.3">
      <c r="A1680" t="s">
        <v>2672</v>
      </c>
      <c r="B1680" s="1">
        <v>41230</v>
      </c>
      <c r="C1680" s="1">
        <v>41234</v>
      </c>
      <c r="D1680" t="s">
        <v>2673</v>
      </c>
      <c r="E1680" t="s">
        <v>194</v>
      </c>
      <c r="F1680" t="s">
        <v>29</v>
      </c>
      <c r="G1680" t="s">
        <v>2676</v>
      </c>
      <c r="H1680">
        <v>80.959999999999994</v>
      </c>
      <c r="I1680">
        <v>4</v>
      </c>
      <c r="J1680">
        <v>29.145600000000002</v>
      </c>
      <c r="K1680">
        <v>2012</v>
      </c>
      <c r="L1680">
        <v>11</v>
      </c>
      <c r="M1680" t="s">
        <v>70</v>
      </c>
      <c r="N1680">
        <v>17</v>
      </c>
      <c r="O1680">
        <v>4</v>
      </c>
      <c r="P1680">
        <v>36</v>
      </c>
      <c r="Q1680">
        <v>20.239999999999998</v>
      </c>
      <c r="R1680" t="s">
        <v>26</v>
      </c>
      <c r="S1680" t="b">
        <v>0</v>
      </c>
      <c r="T1680" t="b">
        <v>0</v>
      </c>
    </row>
    <row r="1681" spans="1:20" x14ac:dyDescent="0.3">
      <c r="A1681" t="s">
        <v>2672</v>
      </c>
      <c r="B1681" s="1">
        <v>41230</v>
      </c>
      <c r="C1681" s="1">
        <v>41234</v>
      </c>
      <c r="D1681" t="s">
        <v>2673</v>
      </c>
      <c r="E1681" t="s">
        <v>194</v>
      </c>
      <c r="F1681" t="s">
        <v>72</v>
      </c>
      <c r="G1681" t="s">
        <v>2677</v>
      </c>
      <c r="H1681">
        <v>32.4</v>
      </c>
      <c r="I1681">
        <v>5</v>
      </c>
      <c r="J1681">
        <v>15.552</v>
      </c>
      <c r="K1681">
        <v>2012</v>
      </c>
      <c r="L1681">
        <v>11</v>
      </c>
      <c r="M1681" t="s">
        <v>70</v>
      </c>
      <c r="N1681">
        <v>17</v>
      </c>
      <c r="O1681">
        <v>4</v>
      </c>
      <c r="P1681">
        <v>48</v>
      </c>
      <c r="Q1681">
        <v>6.48</v>
      </c>
      <c r="R1681" t="s">
        <v>26</v>
      </c>
      <c r="S1681" t="b">
        <v>0</v>
      </c>
      <c r="T1681" t="b">
        <v>0</v>
      </c>
    </row>
    <row r="1682" spans="1:20" x14ac:dyDescent="0.3">
      <c r="A1682" t="s">
        <v>2672</v>
      </c>
      <c r="B1682" s="1">
        <v>41230</v>
      </c>
      <c r="C1682" s="1">
        <v>41234</v>
      </c>
      <c r="D1682" t="s">
        <v>2673</v>
      </c>
      <c r="E1682" t="s">
        <v>194</v>
      </c>
      <c r="F1682" t="s">
        <v>110</v>
      </c>
      <c r="G1682" t="s">
        <v>2678</v>
      </c>
      <c r="H1682">
        <v>225.56800000000001</v>
      </c>
      <c r="I1682">
        <v>2</v>
      </c>
      <c r="J1682">
        <v>2.8195999999999999</v>
      </c>
      <c r="K1682">
        <v>2012</v>
      </c>
      <c r="L1682">
        <v>11</v>
      </c>
      <c r="M1682" t="s">
        <v>70</v>
      </c>
      <c r="N1682">
        <v>17</v>
      </c>
      <c r="O1682">
        <v>4</v>
      </c>
      <c r="P1682">
        <v>1.25</v>
      </c>
      <c r="Q1682">
        <v>112.78400000000001</v>
      </c>
      <c r="R1682" t="s">
        <v>26</v>
      </c>
      <c r="S1682" t="b">
        <v>0</v>
      </c>
      <c r="T1682" t="b">
        <v>1</v>
      </c>
    </row>
    <row r="1683" spans="1:20" x14ac:dyDescent="0.3">
      <c r="A1683" t="s">
        <v>2672</v>
      </c>
      <c r="B1683" s="1">
        <v>41230</v>
      </c>
      <c r="C1683" s="1">
        <v>41234</v>
      </c>
      <c r="D1683" t="s">
        <v>2673</v>
      </c>
      <c r="E1683" t="s">
        <v>194</v>
      </c>
      <c r="F1683" t="s">
        <v>29</v>
      </c>
      <c r="G1683" t="s">
        <v>1889</v>
      </c>
      <c r="H1683">
        <v>36.6</v>
      </c>
      <c r="I1683">
        <v>3</v>
      </c>
      <c r="J1683">
        <v>15.372</v>
      </c>
      <c r="K1683">
        <v>2012</v>
      </c>
      <c r="L1683">
        <v>11</v>
      </c>
      <c r="M1683" t="s">
        <v>70</v>
      </c>
      <c r="N1683">
        <v>17</v>
      </c>
      <c r="O1683">
        <v>4</v>
      </c>
      <c r="P1683">
        <v>42</v>
      </c>
      <c r="Q1683">
        <v>12.2</v>
      </c>
      <c r="R1683" t="s">
        <v>26</v>
      </c>
      <c r="S1683" t="b">
        <v>0</v>
      </c>
      <c r="T1683" t="b">
        <v>0</v>
      </c>
    </row>
    <row r="1684" spans="1:20" x14ac:dyDescent="0.3">
      <c r="A1684" t="s">
        <v>2679</v>
      </c>
      <c r="B1684" s="1">
        <v>41886</v>
      </c>
      <c r="C1684" s="1">
        <v>41890</v>
      </c>
      <c r="D1684" t="s">
        <v>2680</v>
      </c>
      <c r="E1684" t="s">
        <v>301</v>
      </c>
      <c r="F1684" t="s">
        <v>317</v>
      </c>
      <c r="G1684" t="s">
        <v>2681</v>
      </c>
      <c r="H1684">
        <v>239.666</v>
      </c>
      <c r="I1684">
        <v>2</v>
      </c>
      <c r="J1684">
        <v>14.098000000000001</v>
      </c>
      <c r="K1684">
        <v>2014</v>
      </c>
      <c r="L1684">
        <v>9</v>
      </c>
      <c r="M1684" t="s">
        <v>87</v>
      </c>
      <c r="N1684">
        <v>4</v>
      </c>
      <c r="O1684">
        <v>4</v>
      </c>
      <c r="P1684">
        <v>5.88</v>
      </c>
      <c r="Q1684">
        <v>119.833</v>
      </c>
      <c r="R1684" t="s">
        <v>26</v>
      </c>
      <c r="S1684" t="b">
        <v>0</v>
      </c>
      <c r="T1684" t="b">
        <v>1</v>
      </c>
    </row>
    <row r="1685" spans="1:20" x14ac:dyDescent="0.3">
      <c r="A1685" t="s">
        <v>2682</v>
      </c>
      <c r="B1685" s="1">
        <v>41536</v>
      </c>
      <c r="C1685" s="1">
        <v>41540</v>
      </c>
      <c r="D1685" t="s">
        <v>869</v>
      </c>
      <c r="E1685" t="s">
        <v>194</v>
      </c>
      <c r="F1685" t="s">
        <v>72</v>
      </c>
      <c r="G1685" t="s">
        <v>2683</v>
      </c>
      <c r="H1685">
        <v>368.91</v>
      </c>
      <c r="I1685">
        <v>9</v>
      </c>
      <c r="J1685">
        <v>180.76589999999999</v>
      </c>
      <c r="K1685">
        <v>2013</v>
      </c>
      <c r="L1685">
        <v>9</v>
      </c>
      <c r="M1685" t="s">
        <v>87</v>
      </c>
      <c r="N1685">
        <v>19</v>
      </c>
      <c r="O1685">
        <v>4</v>
      </c>
      <c r="P1685">
        <v>49</v>
      </c>
      <c r="Q1685">
        <v>40.99</v>
      </c>
      <c r="R1685" t="s">
        <v>26</v>
      </c>
      <c r="S1685" t="b">
        <v>0</v>
      </c>
      <c r="T1685" t="b">
        <v>1</v>
      </c>
    </row>
    <row r="1686" spans="1:20" x14ac:dyDescent="0.3">
      <c r="A1686" t="s">
        <v>2684</v>
      </c>
      <c r="B1686" s="1">
        <v>41347</v>
      </c>
      <c r="C1686" s="1">
        <v>41349</v>
      </c>
      <c r="D1686" t="s">
        <v>2294</v>
      </c>
      <c r="E1686" t="s">
        <v>51</v>
      </c>
      <c r="F1686" t="s">
        <v>29</v>
      </c>
      <c r="G1686" t="s">
        <v>2685</v>
      </c>
      <c r="H1686">
        <v>28.28</v>
      </c>
      <c r="I1686">
        <v>2</v>
      </c>
      <c r="J1686">
        <v>7.3528000000000002</v>
      </c>
      <c r="K1686">
        <v>2013</v>
      </c>
      <c r="L1686">
        <v>3</v>
      </c>
      <c r="M1686" t="s">
        <v>135</v>
      </c>
      <c r="N1686">
        <v>14</v>
      </c>
      <c r="O1686">
        <v>2</v>
      </c>
      <c r="P1686">
        <v>26</v>
      </c>
      <c r="Q1686">
        <v>14.14</v>
      </c>
      <c r="R1686" t="s">
        <v>26</v>
      </c>
      <c r="S1686" t="b">
        <v>0</v>
      </c>
      <c r="T1686" t="b">
        <v>0</v>
      </c>
    </row>
    <row r="1687" spans="1:20" x14ac:dyDescent="0.3">
      <c r="A1687" t="s">
        <v>2686</v>
      </c>
      <c r="B1687" s="1">
        <v>40832</v>
      </c>
      <c r="C1687" s="1">
        <v>40833</v>
      </c>
      <c r="D1687" t="s">
        <v>2687</v>
      </c>
      <c r="E1687" t="s">
        <v>51</v>
      </c>
      <c r="F1687" t="s">
        <v>33</v>
      </c>
      <c r="G1687" t="s">
        <v>2688</v>
      </c>
      <c r="H1687">
        <v>14.352</v>
      </c>
      <c r="I1687">
        <v>3</v>
      </c>
      <c r="J1687">
        <v>5.0232000000000001</v>
      </c>
      <c r="K1687">
        <v>2011</v>
      </c>
      <c r="L1687">
        <v>10</v>
      </c>
      <c r="M1687" t="s">
        <v>82</v>
      </c>
      <c r="N1687">
        <v>16</v>
      </c>
      <c r="O1687">
        <v>1</v>
      </c>
      <c r="P1687">
        <v>35</v>
      </c>
      <c r="Q1687">
        <v>4.7839999999999998</v>
      </c>
      <c r="R1687" t="s">
        <v>26</v>
      </c>
      <c r="S1687" t="b">
        <v>0</v>
      </c>
      <c r="T1687" t="b">
        <v>0</v>
      </c>
    </row>
    <row r="1688" spans="1:20" x14ac:dyDescent="0.3">
      <c r="A1688" t="s">
        <v>2686</v>
      </c>
      <c r="B1688" s="1">
        <v>40832</v>
      </c>
      <c r="C1688" s="1">
        <v>40833</v>
      </c>
      <c r="D1688" t="s">
        <v>2687</v>
      </c>
      <c r="E1688" t="s">
        <v>51</v>
      </c>
      <c r="F1688" t="s">
        <v>61</v>
      </c>
      <c r="G1688" t="s">
        <v>476</v>
      </c>
      <c r="H1688">
        <v>179.97</v>
      </c>
      <c r="I1688">
        <v>3</v>
      </c>
      <c r="J1688">
        <v>86.385599999999997</v>
      </c>
      <c r="K1688">
        <v>2011</v>
      </c>
      <c r="L1688">
        <v>10</v>
      </c>
      <c r="M1688" t="s">
        <v>82</v>
      </c>
      <c r="N1688">
        <v>16</v>
      </c>
      <c r="O1688">
        <v>1</v>
      </c>
      <c r="P1688">
        <v>48</v>
      </c>
      <c r="Q1688">
        <v>59.99</v>
      </c>
      <c r="R1688" t="s">
        <v>26</v>
      </c>
      <c r="S1688" t="b">
        <v>0</v>
      </c>
      <c r="T1688" t="b">
        <v>0</v>
      </c>
    </row>
    <row r="1689" spans="1:20" x14ac:dyDescent="0.3">
      <c r="A1689" t="s">
        <v>2689</v>
      </c>
      <c r="B1689" s="1">
        <v>41892</v>
      </c>
      <c r="C1689" s="1">
        <v>41897</v>
      </c>
      <c r="D1689" t="s">
        <v>2690</v>
      </c>
      <c r="E1689" t="s">
        <v>22</v>
      </c>
      <c r="F1689" t="s">
        <v>45</v>
      </c>
      <c r="G1689" t="s">
        <v>1296</v>
      </c>
      <c r="H1689">
        <v>99.87</v>
      </c>
      <c r="I1689">
        <v>3</v>
      </c>
      <c r="J1689">
        <v>23.968800000000002</v>
      </c>
      <c r="K1689">
        <v>2014</v>
      </c>
      <c r="L1689">
        <v>9</v>
      </c>
      <c r="M1689" t="s">
        <v>87</v>
      </c>
      <c r="N1689">
        <v>10</v>
      </c>
      <c r="O1689">
        <v>5</v>
      </c>
      <c r="P1689">
        <v>24</v>
      </c>
      <c r="Q1689">
        <v>33.29</v>
      </c>
      <c r="R1689" t="s">
        <v>26</v>
      </c>
      <c r="S1689" t="b">
        <v>0</v>
      </c>
      <c r="T1689" t="b">
        <v>0</v>
      </c>
    </row>
    <row r="1690" spans="1:20" x14ac:dyDescent="0.3">
      <c r="A1690" t="s">
        <v>2691</v>
      </c>
      <c r="B1690" s="1">
        <v>40848</v>
      </c>
      <c r="C1690" s="1">
        <v>40855</v>
      </c>
      <c r="D1690" t="s">
        <v>1953</v>
      </c>
      <c r="E1690" t="s">
        <v>22</v>
      </c>
      <c r="F1690" t="s">
        <v>23</v>
      </c>
      <c r="G1690" t="s">
        <v>2630</v>
      </c>
      <c r="H1690">
        <v>44.4</v>
      </c>
      <c r="I1690">
        <v>3</v>
      </c>
      <c r="J1690">
        <v>22.2</v>
      </c>
      <c r="K1690">
        <v>2011</v>
      </c>
      <c r="L1690">
        <v>11</v>
      </c>
      <c r="M1690" t="s">
        <v>70</v>
      </c>
      <c r="N1690">
        <v>1</v>
      </c>
      <c r="O1690">
        <v>7</v>
      </c>
      <c r="P1690">
        <v>50</v>
      </c>
      <c r="Q1690">
        <v>14.8</v>
      </c>
      <c r="R1690" t="s">
        <v>26</v>
      </c>
      <c r="S1690" t="b">
        <v>0</v>
      </c>
      <c r="T1690" t="b">
        <v>0</v>
      </c>
    </row>
    <row r="1691" spans="1:20" x14ac:dyDescent="0.3">
      <c r="A1691" t="s">
        <v>2691</v>
      </c>
      <c r="B1691" s="1">
        <v>40848</v>
      </c>
      <c r="C1691" s="1">
        <v>40855</v>
      </c>
      <c r="D1691" t="s">
        <v>1953</v>
      </c>
      <c r="E1691" t="s">
        <v>22</v>
      </c>
      <c r="F1691" t="s">
        <v>72</v>
      </c>
      <c r="G1691" t="s">
        <v>155</v>
      </c>
      <c r="H1691">
        <v>21.4</v>
      </c>
      <c r="I1691">
        <v>5</v>
      </c>
      <c r="J1691">
        <v>9.6300000000000008</v>
      </c>
      <c r="K1691">
        <v>2011</v>
      </c>
      <c r="L1691">
        <v>11</v>
      </c>
      <c r="M1691" t="s">
        <v>70</v>
      </c>
      <c r="N1691">
        <v>1</v>
      </c>
      <c r="O1691">
        <v>7</v>
      </c>
      <c r="P1691">
        <v>45</v>
      </c>
      <c r="Q1691">
        <v>4.2799999999999994</v>
      </c>
      <c r="R1691" t="s">
        <v>26</v>
      </c>
      <c r="S1691" t="b">
        <v>0</v>
      </c>
      <c r="T1691" t="b">
        <v>0</v>
      </c>
    </row>
    <row r="1692" spans="1:20" x14ac:dyDescent="0.3">
      <c r="A1692" t="s">
        <v>2692</v>
      </c>
      <c r="B1692" s="1">
        <v>41652</v>
      </c>
      <c r="C1692" s="1">
        <v>41656</v>
      </c>
      <c r="D1692" t="s">
        <v>722</v>
      </c>
      <c r="E1692" t="s">
        <v>51</v>
      </c>
      <c r="F1692" t="s">
        <v>128</v>
      </c>
      <c r="G1692" t="s">
        <v>155</v>
      </c>
      <c r="H1692">
        <v>9.7799999999999994</v>
      </c>
      <c r="I1692">
        <v>1</v>
      </c>
      <c r="J1692">
        <v>4.8899999999999997</v>
      </c>
      <c r="K1692">
        <v>2014</v>
      </c>
      <c r="L1692">
        <v>1</v>
      </c>
      <c r="M1692" t="s">
        <v>60</v>
      </c>
      <c r="N1692">
        <v>13</v>
      </c>
      <c r="O1692">
        <v>4</v>
      </c>
      <c r="P1692">
        <v>50</v>
      </c>
      <c r="Q1692">
        <v>9.7799999999999994</v>
      </c>
      <c r="R1692" t="s">
        <v>26</v>
      </c>
      <c r="S1692" t="b">
        <v>0</v>
      </c>
      <c r="T1692" t="b">
        <v>0</v>
      </c>
    </row>
    <row r="1693" spans="1:20" x14ac:dyDescent="0.3">
      <c r="A1693" t="s">
        <v>2693</v>
      </c>
      <c r="B1693" s="1">
        <v>41233</v>
      </c>
      <c r="C1693" s="1">
        <v>41237</v>
      </c>
      <c r="D1693" t="s">
        <v>1230</v>
      </c>
      <c r="E1693" t="s">
        <v>51</v>
      </c>
      <c r="F1693" t="s">
        <v>33</v>
      </c>
      <c r="G1693" t="s">
        <v>2694</v>
      </c>
      <c r="H1693">
        <v>24.192</v>
      </c>
      <c r="I1693">
        <v>9</v>
      </c>
      <c r="J1693">
        <v>7.56</v>
      </c>
      <c r="K1693">
        <v>2012</v>
      </c>
      <c r="L1693">
        <v>11</v>
      </c>
      <c r="M1693" t="s">
        <v>70</v>
      </c>
      <c r="N1693">
        <v>20</v>
      </c>
      <c r="O1693">
        <v>4</v>
      </c>
      <c r="P1693">
        <v>31.25</v>
      </c>
      <c r="Q1693">
        <v>2.6880000000000002</v>
      </c>
      <c r="R1693" t="s">
        <v>26</v>
      </c>
      <c r="S1693" t="b">
        <v>0</v>
      </c>
      <c r="T1693" t="b">
        <v>0</v>
      </c>
    </row>
    <row r="1694" spans="1:20" x14ac:dyDescent="0.3">
      <c r="A1694" t="s">
        <v>2695</v>
      </c>
      <c r="B1694" s="1">
        <v>41950</v>
      </c>
      <c r="C1694" s="1">
        <v>41950</v>
      </c>
      <c r="D1694" t="s">
        <v>165</v>
      </c>
      <c r="E1694" t="s">
        <v>51</v>
      </c>
      <c r="F1694" t="s">
        <v>72</v>
      </c>
      <c r="G1694" t="s">
        <v>283</v>
      </c>
      <c r="H1694">
        <v>59.94</v>
      </c>
      <c r="I1694">
        <v>3</v>
      </c>
      <c r="J1694">
        <v>28.171800000000001</v>
      </c>
      <c r="K1694">
        <v>2014</v>
      </c>
      <c r="L1694">
        <v>11</v>
      </c>
      <c r="M1694" t="s">
        <v>70</v>
      </c>
      <c r="N1694">
        <v>7</v>
      </c>
      <c r="O1694">
        <v>0</v>
      </c>
      <c r="P1694">
        <v>47</v>
      </c>
      <c r="Q1694">
        <v>19.98</v>
      </c>
      <c r="R1694" t="s">
        <v>26</v>
      </c>
      <c r="S1694" t="b">
        <v>0</v>
      </c>
      <c r="T1694" t="b">
        <v>0</v>
      </c>
    </row>
    <row r="1695" spans="1:20" x14ac:dyDescent="0.3">
      <c r="A1695" t="s">
        <v>2695</v>
      </c>
      <c r="B1695" s="1">
        <v>41950</v>
      </c>
      <c r="C1695" s="1">
        <v>41950</v>
      </c>
      <c r="D1695" t="s">
        <v>165</v>
      </c>
      <c r="E1695" t="s">
        <v>51</v>
      </c>
      <c r="F1695" t="s">
        <v>72</v>
      </c>
      <c r="G1695" t="s">
        <v>155</v>
      </c>
      <c r="H1695">
        <v>45.36</v>
      </c>
      <c r="I1695">
        <v>4</v>
      </c>
      <c r="J1695">
        <v>22.226400000000002</v>
      </c>
      <c r="K1695">
        <v>2014</v>
      </c>
      <c r="L1695">
        <v>11</v>
      </c>
      <c r="M1695" t="s">
        <v>70</v>
      </c>
      <c r="N1695">
        <v>7</v>
      </c>
      <c r="O1695">
        <v>0</v>
      </c>
      <c r="P1695">
        <v>49</v>
      </c>
      <c r="Q1695">
        <v>11.34</v>
      </c>
      <c r="R1695" t="s">
        <v>26</v>
      </c>
      <c r="S1695" t="b">
        <v>0</v>
      </c>
      <c r="T1695" t="b">
        <v>0</v>
      </c>
    </row>
    <row r="1696" spans="1:20" x14ac:dyDescent="0.3">
      <c r="A1696" t="s">
        <v>2695</v>
      </c>
      <c r="B1696" s="1">
        <v>41950</v>
      </c>
      <c r="C1696" s="1">
        <v>41950</v>
      </c>
      <c r="D1696" t="s">
        <v>165</v>
      </c>
      <c r="E1696" t="s">
        <v>51</v>
      </c>
      <c r="F1696" t="s">
        <v>72</v>
      </c>
      <c r="G1696" t="s">
        <v>2349</v>
      </c>
      <c r="H1696">
        <v>26.4</v>
      </c>
      <c r="I1696">
        <v>5</v>
      </c>
      <c r="J1696">
        <v>12.672000000000001</v>
      </c>
      <c r="K1696">
        <v>2014</v>
      </c>
      <c r="L1696">
        <v>11</v>
      </c>
      <c r="M1696" t="s">
        <v>70</v>
      </c>
      <c r="N1696">
        <v>7</v>
      </c>
      <c r="O1696">
        <v>0</v>
      </c>
      <c r="P1696">
        <v>48</v>
      </c>
      <c r="Q1696">
        <v>5.2799999999999994</v>
      </c>
      <c r="R1696" t="s">
        <v>26</v>
      </c>
      <c r="S1696" t="b">
        <v>0</v>
      </c>
      <c r="T1696" t="b">
        <v>0</v>
      </c>
    </row>
    <row r="1697" spans="1:20" x14ac:dyDescent="0.3">
      <c r="A1697" t="s">
        <v>2695</v>
      </c>
      <c r="B1697" s="1">
        <v>41950</v>
      </c>
      <c r="C1697" s="1">
        <v>41950</v>
      </c>
      <c r="D1697" t="s">
        <v>165</v>
      </c>
      <c r="E1697" t="s">
        <v>51</v>
      </c>
      <c r="F1697" t="s">
        <v>23</v>
      </c>
      <c r="G1697" t="s">
        <v>2696</v>
      </c>
      <c r="H1697">
        <v>41.4</v>
      </c>
      <c r="I1697">
        <v>4</v>
      </c>
      <c r="J1697">
        <v>19.872</v>
      </c>
      <c r="K1697">
        <v>2014</v>
      </c>
      <c r="L1697">
        <v>11</v>
      </c>
      <c r="M1697" t="s">
        <v>70</v>
      </c>
      <c r="N1697">
        <v>7</v>
      </c>
      <c r="O1697">
        <v>0</v>
      </c>
      <c r="P1697">
        <v>48</v>
      </c>
      <c r="Q1697">
        <v>10.35</v>
      </c>
      <c r="R1697" t="s">
        <v>26</v>
      </c>
      <c r="S1697" t="b">
        <v>0</v>
      </c>
      <c r="T1697" t="b">
        <v>0</v>
      </c>
    </row>
    <row r="1698" spans="1:20" x14ac:dyDescent="0.3">
      <c r="A1698" t="s">
        <v>2695</v>
      </c>
      <c r="B1698" s="1">
        <v>41950</v>
      </c>
      <c r="C1698" s="1">
        <v>41950</v>
      </c>
      <c r="D1698" t="s">
        <v>165</v>
      </c>
      <c r="E1698" t="s">
        <v>51</v>
      </c>
      <c r="F1698" t="s">
        <v>61</v>
      </c>
      <c r="G1698" t="s">
        <v>530</v>
      </c>
      <c r="H1698">
        <v>16.95</v>
      </c>
      <c r="I1698">
        <v>1</v>
      </c>
      <c r="J1698">
        <v>1.0169999999999999</v>
      </c>
      <c r="K1698">
        <v>2014</v>
      </c>
      <c r="L1698">
        <v>11</v>
      </c>
      <c r="M1698" t="s">
        <v>70</v>
      </c>
      <c r="N1698">
        <v>7</v>
      </c>
      <c r="O1698">
        <v>0</v>
      </c>
      <c r="P1698">
        <v>6</v>
      </c>
      <c r="Q1698">
        <v>16.95</v>
      </c>
      <c r="R1698" t="s">
        <v>26</v>
      </c>
      <c r="S1698" t="b">
        <v>0</v>
      </c>
      <c r="T1698" t="b">
        <v>0</v>
      </c>
    </row>
    <row r="1699" spans="1:20" x14ac:dyDescent="0.3">
      <c r="A1699" t="s">
        <v>2697</v>
      </c>
      <c r="B1699" s="1">
        <v>41611</v>
      </c>
      <c r="C1699" s="1">
        <v>41616</v>
      </c>
      <c r="D1699" t="s">
        <v>2690</v>
      </c>
      <c r="E1699" t="s">
        <v>139</v>
      </c>
      <c r="F1699" t="s">
        <v>33</v>
      </c>
      <c r="G1699" t="s">
        <v>2698</v>
      </c>
      <c r="H1699">
        <v>24.704000000000001</v>
      </c>
      <c r="I1699">
        <v>2</v>
      </c>
      <c r="J1699">
        <v>9.2639999999999993</v>
      </c>
      <c r="K1699">
        <v>2013</v>
      </c>
      <c r="L1699">
        <v>12</v>
      </c>
      <c r="M1699" t="s">
        <v>41</v>
      </c>
      <c r="N1699">
        <v>3</v>
      </c>
      <c r="O1699">
        <v>5</v>
      </c>
      <c r="P1699">
        <v>37.5</v>
      </c>
      <c r="Q1699">
        <v>12.352</v>
      </c>
      <c r="R1699" t="s">
        <v>26</v>
      </c>
      <c r="S1699" t="b">
        <v>0</v>
      </c>
      <c r="T1699" t="b">
        <v>0</v>
      </c>
    </row>
    <row r="1700" spans="1:20" x14ac:dyDescent="0.3">
      <c r="A1700" t="s">
        <v>2697</v>
      </c>
      <c r="B1700" s="1">
        <v>41611</v>
      </c>
      <c r="C1700" s="1">
        <v>41616</v>
      </c>
      <c r="D1700" t="s">
        <v>2690</v>
      </c>
      <c r="E1700" t="s">
        <v>139</v>
      </c>
      <c r="F1700" t="s">
        <v>35</v>
      </c>
      <c r="G1700" t="s">
        <v>2699</v>
      </c>
      <c r="H1700">
        <v>59.7</v>
      </c>
      <c r="I1700">
        <v>3</v>
      </c>
      <c r="J1700">
        <v>26.864999999999998</v>
      </c>
      <c r="K1700">
        <v>2013</v>
      </c>
      <c r="L1700">
        <v>12</v>
      </c>
      <c r="M1700" t="s">
        <v>41</v>
      </c>
      <c r="N1700">
        <v>3</v>
      </c>
      <c r="O1700">
        <v>5</v>
      </c>
      <c r="P1700">
        <v>45</v>
      </c>
      <c r="Q1700">
        <v>19.899999999999999</v>
      </c>
      <c r="R1700" t="s">
        <v>26</v>
      </c>
      <c r="S1700" t="b">
        <v>0</v>
      </c>
      <c r="T1700" t="b">
        <v>0</v>
      </c>
    </row>
    <row r="1701" spans="1:20" x14ac:dyDescent="0.3">
      <c r="A1701" t="s">
        <v>2697</v>
      </c>
      <c r="B1701" s="1">
        <v>41611</v>
      </c>
      <c r="C1701" s="1">
        <v>41616</v>
      </c>
      <c r="D1701" t="s">
        <v>2690</v>
      </c>
      <c r="E1701" t="s">
        <v>139</v>
      </c>
      <c r="F1701" t="s">
        <v>29</v>
      </c>
      <c r="G1701" t="s">
        <v>1872</v>
      </c>
      <c r="H1701">
        <v>14.52</v>
      </c>
      <c r="I1701">
        <v>3</v>
      </c>
      <c r="J1701">
        <v>5.6627999999999998</v>
      </c>
      <c r="K1701">
        <v>2013</v>
      </c>
      <c r="L1701">
        <v>12</v>
      </c>
      <c r="M1701" t="s">
        <v>41</v>
      </c>
      <c r="N1701">
        <v>3</v>
      </c>
      <c r="O1701">
        <v>5</v>
      </c>
      <c r="P1701">
        <v>39</v>
      </c>
      <c r="Q1701">
        <v>4.84</v>
      </c>
      <c r="R1701" t="s">
        <v>26</v>
      </c>
      <c r="S1701" t="b">
        <v>0</v>
      </c>
      <c r="T1701" t="b">
        <v>0</v>
      </c>
    </row>
    <row r="1702" spans="1:20" x14ac:dyDescent="0.3">
      <c r="A1702" t="s">
        <v>2697</v>
      </c>
      <c r="B1702" s="1">
        <v>41611</v>
      </c>
      <c r="C1702" s="1">
        <v>41616</v>
      </c>
      <c r="D1702" t="s">
        <v>2690</v>
      </c>
      <c r="E1702" t="s">
        <v>139</v>
      </c>
      <c r="F1702" t="s">
        <v>33</v>
      </c>
      <c r="G1702" t="s">
        <v>1324</v>
      </c>
      <c r="H1702">
        <v>104.184</v>
      </c>
      <c r="I1702">
        <v>3</v>
      </c>
      <c r="J1702">
        <v>33.8598</v>
      </c>
      <c r="K1702">
        <v>2013</v>
      </c>
      <c r="L1702">
        <v>12</v>
      </c>
      <c r="M1702" t="s">
        <v>41</v>
      </c>
      <c r="N1702">
        <v>3</v>
      </c>
      <c r="O1702">
        <v>5</v>
      </c>
      <c r="P1702">
        <v>32.5</v>
      </c>
      <c r="Q1702">
        <v>34.728000000000002</v>
      </c>
      <c r="R1702" t="s">
        <v>26</v>
      </c>
      <c r="S1702" t="b">
        <v>0</v>
      </c>
      <c r="T1702" t="b">
        <v>0</v>
      </c>
    </row>
    <row r="1703" spans="1:20" x14ac:dyDescent="0.3">
      <c r="A1703" t="s">
        <v>2700</v>
      </c>
      <c r="B1703" s="1">
        <v>41626</v>
      </c>
      <c r="C1703" s="1">
        <v>41631</v>
      </c>
      <c r="D1703" t="s">
        <v>2701</v>
      </c>
      <c r="E1703" t="s">
        <v>39</v>
      </c>
      <c r="F1703" t="s">
        <v>45</v>
      </c>
      <c r="G1703" t="s">
        <v>183</v>
      </c>
      <c r="H1703">
        <v>46.53</v>
      </c>
      <c r="I1703">
        <v>3</v>
      </c>
      <c r="J1703">
        <v>13.0284</v>
      </c>
      <c r="K1703">
        <v>2013</v>
      </c>
      <c r="L1703">
        <v>12</v>
      </c>
      <c r="M1703" t="s">
        <v>41</v>
      </c>
      <c r="N1703">
        <v>18</v>
      </c>
      <c r="O1703">
        <v>5</v>
      </c>
      <c r="P1703">
        <v>28</v>
      </c>
      <c r="Q1703">
        <v>15.51</v>
      </c>
      <c r="R1703" t="s">
        <v>26</v>
      </c>
      <c r="S1703" t="b">
        <v>0</v>
      </c>
      <c r="T1703" t="b">
        <v>0</v>
      </c>
    </row>
    <row r="1704" spans="1:20" x14ac:dyDescent="0.3">
      <c r="A1704" t="s">
        <v>2702</v>
      </c>
      <c r="B1704" s="1">
        <v>41460</v>
      </c>
      <c r="C1704" s="1">
        <v>41460</v>
      </c>
      <c r="D1704" t="s">
        <v>437</v>
      </c>
      <c r="E1704" t="s">
        <v>39</v>
      </c>
      <c r="F1704" t="s">
        <v>29</v>
      </c>
      <c r="G1704" t="s">
        <v>2115</v>
      </c>
      <c r="H1704">
        <v>25.4</v>
      </c>
      <c r="I1704">
        <v>5</v>
      </c>
      <c r="J1704">
        <v>8.6359999999999992</v>
      </c>
      <c r="K1704">
        <v>2013</v>
      </c>
      <c r="L1704">
        <v>7</v>
      </c>
      <c r="M1704" t="s">
        <v>66</v>
      </c>
      <c r="N1704">
        <v>5</v>
      </c>
      <c r="O1704">
        <v>0</v>
      </c>
      <c r="P1704">
        <v>34</v>
      </c>
      <c r="Q1704">
        <v>5.08</v>
      </c>
      <c r="R1704" t="s">
        <v>26</v>
      </c>
      <c r="S1704" t="b">
        <v>0</v>
      </c>
      <c r="T1704" t="b">
        <v>0</v>
      </c>
    </row>
    <row r="1705" spans="1:20" x14ac:dyDescent="0.3">
      <c r="A1705" t="s">
        <v>2702</v>
      </c>
      <c r="B1705" s="1">
        <v>41460</v>
      </c>
      <c r="C1705" s="1">
        <v>41460</v>
      </c>
      <c r="D1705" t="s">
        <v>437</v>
      </c>
      <c r="E1705" t="s">
        <v>39</v>
      </c>
      <c r="F1705" t="s">
        <v>54</v>
      </c>
      <c r="G1705" t="s">
        <v>1099</v>
      </c>
      <c r="H1705">
        <v>177.48</v>
      </c>
      <c r="I1705">
        <v>3</v>
      </c>
      <c r="J1705">
        <v>19.9665</v>
      </c>
      <c r="K1705">
        <v>2013</v>
      </c>
      <c r="L1705">
        <v>7</v>
      </c>
      <c r="M1705" t="s">
        <v>66</v>
      </c>
      <c r="N1705">
        <v>5</v>
      </c>
      <c r="O1705">
        <v>0</v>
      </c>
      <c r="P1705">
        <v>11.25</v>
      </c>
      <c r="Q1705">
        <v>59.16</v>
      </c>
      <c r="R1705" t="s">
        <v>26</v>
      </c>
      <c r="S1705" t="b">
        <v>0</v>
      </c>
      <c r="T1705" t="b">
        <v>0</v>
      </c>
    </row>
    <row r="1706" spans="1:20" x14ac:dyDescent="0.3">
      <c r="A1706" t="s">
        <v>2702</v>
      </c>
      <c r="B1706" s="1">
        <v>41460</v>
      </c>
      <c r="C1706" s="1">
        <v>41460</v>
      </c>
      <c r="D1706" t="s">
        <v>437</v>
      </c>
      <c r="E1706" t="s">
        <v>39</v>
      </c>
      <c r="F1706" t="s">
        <v>54</v>
      </c>
      <c r="G1706" t="s">
        <v>2703</v>
      </c>
      <c r="H1706">
        <v>71.975999999999999</v>
      </c>
      <c r="I1706">
        <v>3</v>
      </c>
      <c r="J1706">
        <v>8.9969999999999999</v>
      </c>
      <c r="K1706">
        <v>2013</v>
      </c>
      <c r="L1706">
        <v>7</v>
      </c>
      <c r="M1706" t="s">
        <v>66</v>
      </c>
      <c r="N1706">
        <v>5</v>
      </c>
      <c r="O1706">
        <v>0</v>
      </c>
      <c r="P1706">
        <v>12.5</v>
      </c>
      <c r="Q1706">
        <v>23.992000000000001</v>
      </c>
      <c r="R1706" t="s">
        <v>26</v>
      </c>
      <c r="S1706" t="b">
        <v>0</v>
      </c>
      <c r="T1706" t="b">
        <v>0</v>
      </c>
    </row>
    <row r="1707" spans="1:20" x14ac:dyDescent="0.3">
      <c r="A1707" t="s">
        <v>2704</v>
      </c>
      <c r="B1707" s="1">
        <v>41925</v>
      </c>
      <c r="C1707" s="1">
        <v>41927</v>
      </c>
      <c r="D1707" t="s">
        <v>2705</v>
      </c>
      <c r="E1707" t="s">
        <v>22</v>
      </c>
      <c r="F1707" t="s">
        <v>61</v>
      </c>
      <c r="G1707" t="s">
        <v>1032</v>
      </c>
      <c r="H1707">
        <v>435.84</v>
      </c>
      <c r="I1707">
        <v>12</v>
      </c>
      <c r="J1707">
        <v>130.75200000000001</v>
      </c>
      <c r="K1707">
        <v>2014</v>
      </c>
      <c r="L1707">
        <v>10</v>
      </c>
      <c r="M1707" t="s">
        <v>82</v>
      </c>
      <c r="N1707">
        <v>13</v>
      </c>
      <c r="O1707">
        <v>2</v>
      </c>
      <c r="P1707">
        <v>30</v>
      </c>
      <c r="Q1707">
        <v>36.32</v>
      </c>
      <c r="R1707" t="s">
        <v>26</v>
      </c>
      <c r="S1707" t="b">
        <v>0</v>
      </c>
      <c r="T1707" t="b">
        <v>1</v>
      </c>
    </row>
    <row r="1708" spans="1:20" x14ac:dyDescent="0.3">
      <c r="A1708" t="s">
        <v>2704</v>
      </c>
      <c r="B1708" s="1">
        <v>41925</v>
      </c>
      <c r="C1708" s="1">
        <v>41927</v>
      </c>
      <c r="D1708" t="s">
        <v>2705</v>
      </c>
      <c r="E1708" t="s">
        <v>22</v>
      </c>
      <c r="F1708" t="s">
        <v>31</v>
      </c>
      <c r="G1708" t="s">
        <v>127</v>
      </c>
      <c r="H1708">
        <v>5.88</v>
      </c>
      <c r="I1708">
        <v>2</v>
      </c>
      <c r="J1708">
        <v>1.5875999999999999</v>
      </c>
      <c r="K1708">
        <v>2014</v>
      </c>
      <c r="L1708">
        <v>10</v>
      </c>
      <c r="M1708" t="s">
        <v>82</v>
      </c>
      <c r="N1708">
        <v>13</v>
      </c>
      <c r="O1708">
        <v>2</v>
      </c>
      <c r="P1708">
        <v>27</v>
      </c>
      <c r="Q1708">
        <v>2.94</v>
      </c>
      <c r="R1708" t="s">
        <v>26</v>
      </c>
      <c r="S1708" t="b">
        <v>0</v>
      </c>
      <c r="T1708" t="b">
        <v>0</v>
      </c>
    </row>
    <row r="1709" spans="1:20" x14ac:dyDescent="0.3">
      <c r="A1709" t="s">
        <v>2706</v>
      </c>
      <c r="B1709" s="1">
        <v>41493</v>
      </c>
      <c r="C1709" s="1">
        <v>41500</v>
      </c>
      <c r="D1709" t="s">
        <v>620</v>
      </c>
      <c r="E1709" t="s">
        <v>22</v>
      </c>
      <c r="F1709" t="s">
        <v>54</v>
      </c>
      <c r="G1709" t="s">
        <v>2407</v>
      </c>
      <c r="H1709">
        <v>211.16800000000001</v>
      </c>
      <c r="I1709">
        <v>4</v>
      </c>
      <c r="J1709">
        <v>18.4772</v>
      </c>
      <c r="K1709">
        <v>2013</v>
      </c>
      <c r="L1709">
        <v>8</v>
      </c>
      <c r="M1709" t="s">
        <v>53</v>
      </c>
      <c r="N1709">
        <v>7</v>
      </c>
      <c r="O1709">
        <v>7</v>
      </c>
      <c r="P1709">
        <v>8.75</v>
      </c>
      <c r="Q1709">
        <v>52.792000000000002</v>
      </c>
      <c r="R1709" t="s">
        <v>26</v>
      </c>
      <c r="S1709" t="b">
        <v>0</v>
      </c>
      <c r="T1709" t="b">
        <v>0</v>
      </c>
    </row>
    <row r="1710" spans="1:20" x14ac:dyDescent="0.3">
      <c r="A1710" t="s">
        <v>2707</v>
      </c>
      <c r="B1710" s="1">
        <v>40780</v>
      </c>
      <c r="C1710" s="1">
        <v>40784</v>
      </c>
      <c r="D1710" t="s">
        <v>2708</v>
      </c>
      <c r="E1710" t="s">
        <v>22</v>
      </c>
      <c r="F1710" t="s">
        <v>29</v>
      </c>
      <c r="G1710" t="s">
        <v>2709</v>
      </c>
      <c r="H1710">
        <v>6.28</v>
      </c>
      <c r="I1710">
        <v>1</v>
      </c>
      <c r="J1710">
        <v>2.6375999999999999</v>
      </c>
      <c r="K1710">
        <v>2011</v>
      </c>
      <c r="L1710">
        <v>8</v>
      </c>
      <c r="M1710" t="s">
        <v>53</v>
      </c>
      <c r="N1710">
        <v>25</v>
      </c>
      <c r="O1710">
        <v>4</v>
      </c>
      <c r="P1710">
        <v>42</v>
      </c>
      <c r="Q1710">
        <v>6.28</v>
      </c>
      <c r="R1710" t="s">
        <v>26</v>
      </c>
      <c r="S1710" t="b">
        <v>0</v>
      </c>
      <c r="T1710" t="b">
        <v>0</v>
      </c>
    </row>
    <row r="1711" spans="1:20" x14ac:dyDescent="0.3">
      <c r="A1711" t="s">
        <v>2707</v>
      </c>
      <c r="B1711" s="1">
        <v>40780</v>
      </c>
      <c r="C1711" s="1">
        <v>40784</v>
      </c>
      <c r="D1711" t="s">
        <v>2708</v>
      </c>
      <c r="E1711" t="s">
        <v>22</v>
      </c>
      <c r="F1711" t="s">
        <v>61</v>
      </c>
      <c r="G1711" t="s">
        <v>2710</v>
      </c>
      <c r="H1711">
        <v>95.1</v>
      </c>
      <c r="I1711">
        <v>5</v>
      </c>
      <c r="J1711">
        <v>30.431999999999999</v>
      </c>
      <c r="K1711">
        <v>2011</v>
      </c>
      <c r="L1711">
        <v>8</v>
      </c>
      <c r="M1711" t="s">
        <v>53</v>
      </c>
      <c r="N1711">
        <v>25</v>
      </c>
      <c r="O1711">
        <v>4</v>
      </c>
      <c r="P1711">
        <v>32</v>
      </c>
      <c r="Q1711">
        <v>19.02</v>
      </c>
      <c r="R1711" t="s">
        <v>26</v>
      </c>
      <c r="S1711" t="b">
        <v>0</v>
      </c>
      <c r="T1711" t="b">
        <v>0</v>
      </c>
    </row>
    <row r="1712" spans="1:20" x14ac:dyDescent="0.3">
      <c r="A1712" t="s">
        <v>2707</v>
      </c>
      <c r="B1712" s="1">
        <v>40780</v>
      </c>
      <c r="C1712" s="1">
        <v>40784</v>
      </c>
      <c r="D1712" t="s">
        <v>2708</v>
      </c>
      <c r="E1712" t="s">
        <v>22</v>
      </c>
      <c r="F1712" t="s">
        <v>72</v>
      </c>
      <c r="G1712" t="s">
        <v>2711</v>
      </c>
      <c r="H1712">
        <v>25.92</v>
      </c>
      <c r="I1712">
        <v>4</v>
      </c>
      <c r="J1712">
        <v>12.441599999999999</v>
      </c>
      <c r="K1712">
        <v>2011</v>
      </c>
      <c r="L1712">
        <v>8</v>
      </c>
      <c r="M1712" t="s">
        <v>53</v>
      </c>
      <c r="N1712">
        <v>25</v>
      </c>
      <c r="O1712">
        <v>4</v>
      </c>
      <c r="P1712">
        <v>48</v>
      </c>
      <c r="Q1712">
        <v>6.48</v>
      </c>
      <c r="R1712" t="s">
        <v>26</v>
      </c>
      <c r="S1712" t="b">
        <v>0</v>
      </c>
      <c r="T1712" t="b">
        <v>0</v>
      </c>
    </row>
    <row r="1713" spans="1:20" x14ac:dyDescent="0.3">
      <c r="A1713" t="s">
        <v>2707</v>
      </c>
      <c r="B1713" s="1">
        <v>40780</v>
      </c>
      <c r="C1713" s="1">
        <v>40784</v>
      </c>
      <c r="D1713" t="s">
        <v>2708</v>
      </c>
      <c r="E1713" t="s">
        <v>22</v>
      </c>
      <c r="F1713" t="s">
        <v>45</v>
      </c>
      <c r="G1713" t="s">
        <v>2712</v>
      </c>
      <c r="H1713">
        <v>48.84</v>
      </c>
      <c r="I1713">
        <v>4</v>
      </c>
      <c r="J1713">
        <v>13.1868</v>
      </c>
      <c r="K1713">
        <v>2011</v>
      </c>
      <c r="L1713">
        <v>8</v>
      </c>
      <c r="M1713" t="s">
        <v>53</v>
      </c>
      <c r="N1713">
        <v>25</v>
      </c>
      <c r="O1713">
        <v>4</v>
      </c>
      <c r="P1713">
        <v>27</v>
      </c>
      <c r="Q1713">
        <v>12.21</v>
      </c>
      <c r="R1713" t="s">
        <v>26</v>
      </c>
      <c r="S1713" t="b">
        <v>0</v>
      </c>
      <c r="T1713" t="b">
        <v>0</v>
      </c>
    </row>
    <row r="1714" spans="1:20" x14ac:dyDescent="0.3">
      <c r="A1714" t="s">
        <v>2713</v>
      </c>
      <c r="B1714" s="1">
        <v>41346</v>
      </c>
      <c r="C1714" s="1">
        <v>41349</v>
      </c>
      <c r="D1714" t="s">
        <v>1077</v>
      </c>
      <c r="E1714" t="s">
        <v>51</v>
      </c>
      <c r="F1714" t="s">
        <v>35</v>
      </c>
      <c r="G1714" t="s">
        <v>2714</v>
      </c>
      <c r="H1714">
        <v>154.9</v>
      </c>
      <c r="I1714">
        <v>5</v>
      </c>
      <c r="J1714">
        <v>40.274000000000001</v>
      </c>
      <c r="K1714">
        <v>2013</v>
      </c>
      <c r="L1714">
        <v>3</v>
      </c>
      <c r="M1714" t="s">
        <v>135</v>
      </c>
      <c r="N1714">
        <v>13</v>
      </c>
      <c r="O1714">
        <v>3</v>
      </c>
      <c r="P1714">
        <v>26</v>
      </c>
      <c r="Q1714">
        <v>30.98</v>
      </c>
      <c r="R1714" t="s">
        <v>26</v>
      </c>
      <c r="S1714" t="b">
        <v>0</v>
      </c>
      <c r="T1714" t="b">
        <v>0</v>
      </c>
    </row>
    <row r="1715" spans="1:20" x14ac:dyDescent="0.3">
      <c r="A1715" t="s">
        <v>2713</v>
      </c>
      <c r="B1715" s="1">
        <v>41346</v>
      </c>
      <c r="C1715" s="1">
        <v>41349</v>
      </c>
      <c r="D1715" t="s">
        <v>1077</v>
      </c>
      <c r="E1715" t="s">
        <v>51</v>
      </c>
      <c r="F1715" t="s">
        <v>128</v>
      </c>
      <c r="G1715" t="s">
        <v>2715</v>
      </c>
      <c r="H1715">
        <v>30.56</v>
      </c>
      <c r="I1715">
        <v>4</v>
      </c>
      <c r="J1715">
        <v>14.974399999999999</v>
      </c>
      <c r="K1715">
        <v>2013</v>
      </c>
      <c r="L1715">
        <v>3</v>
      </c>
      <c r="M1715" t="s">
        <v>135</v>
      </c>
      <c r="N1715">
        <v>13</v>
      </c>
      <c r="O1715">
        <v>3</v>
      </c>
      <c r="P1715">
        <v>49</v>
      </c>
      <c r="Q1715">
        <v>7.64</v>
      </c>
      <c r="R1715" t="s">
        <v>26</v>
      </c>
      <c r="S1715" t="b">
        <v>0</v>
      </c>
      <c r="T1715" t="b">
        <v>0</v>
      </c>
    </row>
    <row r="1716" spans="1:20" x14ac:dyDescent="0.3">
      <c r="A1716" t="s">
        <v>2716</v>
      </c>
      <c r="B1716" s="1">
        <v>41680</v>
      </c>
      <c r="C1716" s="1">
        <v>41685</v>
      </c>
      <c r="D1716" t="s">
        <v>946</v>
      </c>
      <c r="E1716" t="s">
        <v>22</v>
      </c>
      <c r="F1716" t="s">
        <v>29</v>
      </c>
      <c r="G1716" t="s">
        <v>2160</v>
      </c>
      <c r="H1716">
        <v>21.12</v>
      </c>
      <c r="I1716">
        <v>4</v>
      </c>
      <c r="J1716">
        <v>6.5472000000000001</v>
      </c>
      <c r="K1716">
        <v>2014</v>
      </c>
      <c r="L1716">
        <v>2</v>
      </c>
      <c r="M1716" t="s">
        <v>303</v>
      </c>
      <c r="N1716">
        <v>10</v>
      </c>
      <c r="O1716">
        <v>5</v>
      </c>
      <c r="P1716">
        <v>31</v>
      </c>
      <c r="Q1716">
        <v>5.28</v>
      </c>
      <c r="R1716" t="s">
        <v>26</v>
      </c>
      <c r="S1716" t="b">
        <v>0</v>
      </c>
      <c r="T1716" t="b">
        <v>0</v>
      </c>
    </row>
    <row r="1717" spans="1:20" x14ac:dyDescent="0.3">
      <c r="A1717" t="s">
        <v>2717</v>
      </c>
      <c r="B1717" s="1">
        <v>40858</v>
      </c>
      <c r="C1717" s="1">
        <v>40860</v>
      </c>
      <c r="D1717" t="s">
        <v>2718</v>
      </c>
      <c r="E1717" t="s">
        <v>22</v>
      </c>
      <c r="F1717" t="s">
        <v>35</v>
      </c>
      <c r="G1717" t="s">
        <v>2455</v>
      </c>
      <c r="H1717">
        <v>7.78</v>
      </c>
      <c r="I1717">
        <v>2</v>
      </c>
      <c r="J1717">
        <v>2.0228000000000002</v>
      </c>
      <c r="K1717">
        <v>2011</v>
      </c>
      <c r="L1717">
        <v>11</v>
      </c>
      <c r="M1717" t="s">
        <v>70</v>
      </c>
      <c r="N1717">
        <v>11</v>
      </c>
      <c r="O1717">
        <v>2</v>
      </c>
      <c r="P1717">
        <v>26</v>
      </c>
      <c r="Q1717">
        <v>3.89</v>
      </c>
      <c r="R1717" t="s">
        <v>26</v>
      </c>
      <c r="S1717" t="b">
        <v>0</v>
      </c>
      <c r="T1717" t="b">
        <v>0</v>
      </c>
    </row>
    <row r="1718" spans="1:20" x14ac:dyDescent="0.3">
      <c r="A1718" t="s">
        <v>2717</v>
      </c>
      <c r="B1718" s="1">
        <v>40858</v>
      </c>
      <c r="C1718" s="1">
        <v>40860</v>
      </c>
      <c r="D1718" t="s">
        <v>2718</v>
      </c>
      <c r="E1718" t="s">
        <v>22</v>
      </c>
      <c r="F1718" t="s">
        <v>72</v>
      </c>
      <c r="G1718" t="s">
        <v>608</v>
      </c>
      <c r="H1718">
        <v>123.92</v>
      </c>
      <c r="I1718">
        <v>4</v>
      </c>
      <c r="J1718">
        <v>55.764000000000003</v>
      </c>
      <c r="K1718">
        <v>2011</v>
      </c>
      <c r="L1718">
        <v>11</v>
      </c>
      <c r="M1718" t="s">
        <v>70</v>
      </c>
      <c r="N1718">
        <v>11</v>
      </c>
      <c r="O1718">
        <v>2</v>
      </c>
      <c r="P1718">
        <v>45</v>
      </c>
      <c r="Q1718">
        <v>30.98</v>
      </c>
      <c r="R1718" t="s">
        <v>26</v>
      </c>
      <c r="S1718" t="b">
        <v>0</v>
      </c>
      <c r="T1718" t="b">
        <v>0</v>
      </c>
    </row>
    <row r="1719" spans="1:20" x14ac:dyDescent="0.3">
      <c r="A1719" t="s">
        <v>2719</v>
      </c>
      <c r="B1719" s="1">
        <v>41872</v>
      </c>
      <c r="C1719" s="1">
        <v>41877</v>
      </c>
      <c r="D1719" t="s">
        <v>2720</v>
      </c>
      <c r="E1719" t="s">
        <v>51</v>
      </c>
      <c r="F1719" t="s">
        <v>122</v>
      </c>
      <c r="G1719" t="s">
        <v>2721</v>
      </c>
      <c r="H1719">
        <v>17.22</v>
      </c>
      <c r="I1719">
        <v>3</v>
      </c>
      <c r="J1719">
        <v>5.1660000000000004</v>
      </c>
      <c r="K1719">
        <v>2014</v>
      </c>
      <c r="L1719">
        <v>8</v>
      </c>
      <c r="M1719" t="s">
        <v>53</v>
      </c>
      <c r="N1719">
        <v>21</v>
      </c>
      <c r="O1719">
        <v>5</v>
      </c>
      <c r="P1719">
        <v>30</v>
      </c>
      <c r="Q1719">
        <v>5.7399999999999993</v>
      </c>
      <c r="R1719" t="s">
        <v>26</v>
      </c>
      <c r="S1719" t="b">
        <v>0</v>
      </c>
      <c r="T1719" t="b">
        <v>0</v>
      </c>
    </row>
    <row r="1720" spans="1:20" x14ac:dyDescent="0.3">
      <c r="A1720" t="s">
        <v>2719</v>
      </c>
      <c r="B1720" s="1">
        <v>41872</v>
      </c>
      <c r="C1720" s="1">
        <v>41877</v>
      </c>
      <c r="D1720" t="s">
        <v>2720</v>
      </c>
      <c r="E1720" t="s">
        <v>51</v>
      </c>
      <c r="F1720" t="s">
        <v>45</v>
      </c>
      <c r="G1720" t="s">
        <v>2722</v>
      </c>
      <c r="H1720">
        <v>226.56</v>
      </c>
      <c r="I1720">
        <v>6</v>
      </c>
      <c r="J1720">
        <v>63.436799999999998</v>
      </c>
      <c r="K1720">
        <v>2014</v>
      </c>
      <c r="L1720">
        <v>8</v>
      </c>
      <c r="M1720" t="s">
        <v>53</v>
      </c>
      <c r="N1720">
        <v>21</v>
      </c>
      <c r="O1720">
        <v>5</v>
      </c>
      <c r="P1720">
        <v>28</v>
      </c>
      <c r="Q1720">
        <v>37.76</v>
      </c>
      <c r="R1720" t="s">
        <v>26</v>
      </c>
      <c r="S1720" t="b">
        <v>0</v>
      </c>
      <c r="T1720" t="b">
        <v>1</v>
      </c>
    </row>
    <row r="1721" spans="1:20" x14ac:dyDescent="0.3">
      <c r="A1721" t="s">
        <v>2719</v>
      </c>
      <c r="B1721" s="1">
        <v>41872</v>
      </c>
      <c r="C1721" s="1">
        <v>41877</v>
      </c>
      <c r="D1721" t="s">
        <v>2720</v>
      </c>
      <c r="E1721" t="s">
        <v>51</v>
      </c>
      <c r="F1721" t="s">
        <v>54</v>
      </c>
      <c r="G1721" t="s">
        <v>2723</v>
      </c>
      <c r="H1721">
        <v>107.88</v>
      </c>
      <c r="I1721">
        <v>3</v>
      </c>
      <c r="J1721">
        <v>10.788</v>
      </c>
      <c r="K1721">
        <v>2014</v>
      </c>
      <c r="L1721">
        <v>8</v>
      </c>
      <c r="M1721" t="s">
        <v>53</v>
      </c>
      <c r="N1721">
        <v>21</v>
      </c>
      <c r="O1721">
        <v>5</v>
      </c>
      <c r="P1721">
        <v>10</v>
      </c>
      <c r="Q1721">
        <v>35.96</v>
      </c>
      <c r="R1721" t="s">
        <v>26</v>
      </c>
      <c r="S1721" t="b">
        <v>0</v>
      </c>
      <c r="T1721" t="b">
        <v>0</v>
      </c>
    </row>
    <row r="1722" spans="1:20" x14ac:dyDescent="0.3">
      <c r="A1722" t="s">
        <v>2724</v>
      </c>
      <c r="B1722" s="1">
        <v>40744</v>
      </c>
      <c r="C1722" s="1">
        <v>40746</v>
      </c>
      <c r="D1722" t="s">
        <v>402</v>
      </c>
      <c r="E1722" t="s">
        <v>194</v>
      </c>
      <c r="F1722" t="s">
        <v>72</v>
      </c>
      <c r="G1722" t="s">
        <v>2725</v>
      </c>
      <c r="H1722">
        <v>104.85</v>
      </c>
      <c r="I1722">
        <v>1</v>
      </c>
      <c r="J1722">
        <v>50.328000000000003</v>
      </c>
      <c r="K1722">
        <v>2011</v>
      </c>
      <c r="L1722">
        <v>7</v>
      </c>
      <c r="M1722" t="s">
        <v>66</v>
      </c>
      <c r="N1722">
        <v>20</v>
      </c>
      <c r="O1722">
        <v>2</v>
      </c>
      <c r="P1722">
        <v>48</v>
      </c>
      <c r="Q1722">
        <v>104.85</v>
      </c>
      <c r="R1722" t="s">
        <v>26</v>
      </c>
      <c r="S1722" t="b">
        <v>0</v>
      </c>
      <c r="T1722" t="b">
        <v>0</v>
      </c>
    </row>
    <row r="1723" spans="1:20" x14ac:dyDescent="0.3">
      <c r="A1723" t="s">
        <v>2724</v>
      </c>
      <c r="B1723" s="1">
        <v>40744</v>
      </c>
      <c r="C1723" s="1">
        <v>40746</v>
      </c>
      <c r="D1723" t="s">
        <v>402</v>
      </c>
      <c r="E1723" t="s">
        <v>194</v>
      </c>
      <c r="F1723" t="s">
        <v>33</v>
      </c>
      <c r="G1723" t="s">
        <v>258</v>
      </c>
      <c r="H1723">
        <v>8.7040000000000006</v>
      </c>
      <c r="I1723">
        <v>2</v>
      </c>
      <c r="J1723">
        <v>3.1551999999999998</v>
      </c>
      <c r="K1723">
        <v>2011</v>
      </c>
      <c r="L1723">
        <v>7</v>
      </c>
      <c r="M1723" t="s">
        <v>66</v>
      </c>
      <c r="N1723">
        <v>20</v>
      </c>
      <c r="O1723">
        <v>2</v>
      </c>
      <c r="P1723">
        <v>36.25</v>
      </c>
      <c r="Q1723">
        <v>4.3520000000000003</v>
      </c>
      <c r="R1723" t="s">
        <v>26</v>
      </c>
      <c r="S1723" t="b">
        <v>0</v>
      </c>
      <c r="T1723" t="b">
        <v>0</v>
      </c>
    </row>
    <row r="1724" spans="1:20" x14ac:dyDescent="0.3">
      <c r="A1724" t="s">
        <v>2724</v>
      </c>
      <c r="B1724" s="1">
        <v>40744</v>
      </c>
      <c r="C1724" s="1">
        <v>40746</v>
      </c>
      <c r="D1724" t="s">
        <v>402</v>
      </c>
      <c r="E1724" t="s">
        <v>194</v>
      </c>
      <c r="F1724" t="s">
        <v>72</v>
      </c>
      <c r="G1724" t="s">
        <v>2726</v>
      </c>
      <c r="H1724">
        <v>19.920000000000002</v>
      </c>
      <c r="I1724">
        <v>4</v>
      </c>
      <c r="J1724">
        <v>9.7607999999999997</v>
      </c>
      <c r="K1724">
        <v>2011</v>
      </c>
      <c r="L1724">
        <v>7</v>
      </c>
      <c r="M1724" t="s">
        <v>66</v>
      </c>
      <c r="N1724">
        <v>20</v>
      </c>
      <c r="O1724">
        <v>2</v>
      </c>
      <c r="P1724">
        <v>49</v>
      </c>
      <c r="Q1724">
        <v>4.9800000000000004</v>
      </c>
      <c r="R1724" t="s">
        <v>26</v>
      </c>
      <c r="S1724" t="b">
        <v>0</v>
      </c>
      <c r="T1724" t="b">
        <v>0</v>
      </c>
    </row>
    <row r="1725" spans="1:20" x14ac:dyDescent="0.3">
      <c r="A1725" t="s">
        <v>2724</v>
      </c>
      <c r="B1725" s="1">
        <v>40744</v>
      </c>
      <c r="C1725" s="1">
        <v>40746</v>
      </c>
      <c r="D1725" t="s">
        <v>402</v>
      </c>
      <c r="E1725" t="s">
        <v>194</v>
      </c>
      <c r="F1725" t="s">
        <v>29</v>
      </c>
      <c r="G1725" t="s">
        <v>2727</v>
      </c>
      <c r="H1725">
        <v>43.02</v>
      </c>
      <c r="I1725">
        <v>3</v>
      </c>
      <c r="J1725">
        <v>15.4872</v>
      </c>
      <c r="K1725">
        <v>2011</v>
      </c>
      <c r="L1725">
        <v>7</v>
      </c>
      <c r="M1725" t="s">
        <v>66</v>
      </c>
      <c r="N1725">
        <v>20</v>
      </c>
      <c r="O1725">
        <v>2</v>
      </c>
      <c r="P1725">
        <v>36</v>
      </c>
      <c r="Q1725">
        <v>14.34</v>
      </c>
      <c r="R1725" t="s">
        <v>26</v>
      </c>
      <c r="S1725" t="b">
        <v>0</v>
      </c>
      <c r="T1725" t="b">
        <v>0</v>
      </c>
    </row>
    <row r="1726" spans="1:20" x14ac:dyDescent="0.3">
      <c r="A1726" t="s">
        <v>2728</v>
      </c>
      <c r="B1726" s="1">
        <v>41898</v>
      </c>
      <c r="C1726" s="1">
        <v>41904</v>
      </c>
      <c r="D1726" t="s">
        <v>504</v>
      </c>
      <c r="E1726" t="s">
        <v>22</v>
      </c>
      <c r="F1726" t="s">
        <v>54</v>
      </c>
      <c r="G1726" t="s">
        <v>2407</v>
      </c>
      <c r="H1726">
        <v>369.54399999999998</v>
      </c>
      <c r="I1726">
        <v>7</v>
      </c>
      <c r="J1726">
        <v>32.335099999999997</v>
      </c>
      <c r="K1726">
        <v>2014</v>
      </c>
      <c r="L1726">
        <v>9</v>
      </c>
      <c r="M1726" t="s">
        <v>87</v>
      </c>
      <c r="N1726">
        <v>16</v>
      </c>
      <c r="O1726">
        <v>6</v>
      </c>
      <c r="P1726">
        <v>8.75</v>
      </c>
      <c r="Q1726">
        <v>52.791999999999987</v>
      </c>
      <c r="R1726" t="s">
        <v>26</v>
      </c>
      <c r="S1726" t="b">
        <v>0</v>
      </c>
      <c r="T1726" t="b">
        <v>1</v>
      </c>
    </row>
    <row r="1727" spans="1:20" x14ac:dyDescent="0.3">
      <c r="A1727" t="s">
        <v>2728</v>
      </c>
      <c r="B1727" s="1">
        <v>41898</v>
      </c>
      <c r="C1727" s="1">
        <v>41904</v>
      </c>
      <c r="D1727" t="s">
        <v>504</v>
      </c>
      <c r="E1727" t="s">
        <v>22</v>
      </c>
      <c r="F1727" t="s">
        <v>110</v>
      </c>
      <c r="G1727" t="s">
        <v>1562</v>
      </c>
      <c r="H1727">
        <v>184.75200000000001</v>
      </c>
      <c r="I1727">
        <v>3</v>
      </c>
      <c r="J1727">
        <v>-20.784600000000001</v>
      </c>
      <c r="K1727">
        <v>2014</v>
      </c>
      <c r="L1727">
        <v>9</v>
      </c>
      <c r="M1727" t="s">
        <v>87</v>
      </c>
      <c r="N1727">
        <v>16</v>
      </c>
      <c r="O1727">
        <v>6</v>
      </c>
      <c r="P1727">
        <v>-11.25</v>
      </c>
      <c r="Q1727">
        <v>61.584000000000003</v>
      </c>
      <c r="R1727" t="s">
        <v>26</v>
      </c>
      <c r="S1727" t="b">
        <v>1</v>
      </c>
      <c r="T1727" t="b">
        <v>0</v>
      </c>
    </row>
    <row r="1728" spans="1:20" x14ac:dyDescent="0.3">
      <c r="A1728" t="s">
        <v>2729</v>
      </c>
      <c r="B1728" s="1">
        <v>40887</v>
      </c>
      <c r="C1728" s="1">
        <v>40891</v>
      </c>
      <c r="D1728" t="s">
        <v>126</v>
      </c>
      <c r="E1728" t="s">
        <v>2730</v>
      </c>
      <c r="F1728" t="s">
        <v>110</v>
      </c>
      <c r="G1728" t="s">
        <v>2678</v>
      </c>
      <c r="H1728">
        <v>338.35199999999998</v>
      </c>
      <c r="I1728">
        <v>3</v>
      </c>
      <c r="J1728">
        <v>4.2294</v>
      </c>
      <c r="K1728">
        <v>2011</v>
      </c>
      <c r="L1728">
        <v>12</v>
      </c>
      <c r="M1728" t="s">
        <v>41</v>
      </c>
      <c r="N1728">
        <v>10</v>
      </c>
      <c r="O1728">
        <v>4</v>
      </c>
      <c r="P1728">
        <v>1.25</v>
      </c>
      <c r="Q1728">
        <v>112.78400000000001</v>
      </c>
      <c r="R1728" t="s">
        <v>26</v>
      </c>
      <c r="S1728" t="b">
        <v>0</v>
      </c>
      <c r="T1728" t="b">
        <v>1</v>
      </c>
    </row>
    <row r="1729" spans="1:20" x14ac:dyDescent="0.3">
      <c r="A1729" t="s">
        <v>2729</v>
      </c>
      <c r="B1729" s="1">
        <v>40887</v>
      </c>
      <c r="C1729" s="1">
        <v>40891</v>
      </c>
      <c r="D1729" t="s">
        <v>126</v>
      </c>
      <c r="E1729" t="s">
        <v>2730</v>
      </c>
      <c r="F1729" t="s">
        <v>72</v>
      </c>
      <c r="G1729" t="s">
        <v>563</v>
      </c>
      <c r="H1729">
        <v>25.92</v>
      </c>
      <c r="I1729">
        <v>4</v>
      </c>
      <c r="J1729">
        <v>12.441599999999999</v>
      </c>
      <c r="K1729">
        <v>2011</v>
      </c>
      <c r="L1729">
        <v>12</v>
      </c>
      <c r="M1729" t="s">
        <v>41</v>
      </c>
      <c r="N1729">
        <v>10</v>
      </c>
      <c r="O1729">
        <v>4</v>
      </c>
      <c r="P1729">
        <v>48</v>
      </c>
      <c r="Q1729">
        <v>6.48</v>
      </c>
      <c r="R1729" t="s">
        <v>26</v>
      </c>
      <c r="S1729" t="b">
        <v>0</v>
      </c>
      <c r="T1729" t="b">
        <v>0</v>
      </c>
    </row>
    <row r="1730" spans="1:20" x14ac:dyDescent="0.3">
      <c r="A1730" t="s">
        <v>2729</v>
      </c>
      <c r="B1730" s="1">
        <v>40887</v>
      </c>
      <c r="C1730" s="1">
        <v>40891</v>
      </c>
      <c r="D1730" t="s">
        <v>126</v>
      </c>
      <c r="E1730" t="s">
        <v>2730</v>
      </c>
      <c r="F1730" t="s">
        <v>72</v>
      </c>
      <c r="G1730" t="s">
        <v>1211</v>
      </c>
      <c r="H1730">
        <v>91.36</v>
      </c>
      <c r="I1730">
        <v>4</v>
      </c>
      <c r="J1730">
        <v>42.025599999999997</v>
      </c>
      <c r="K1730">
        <v>2011</v>
      </c>
      <c r="L1730">
        <v>12</v>
      </c>
      <c r="M1730" t="s">
        <v>41</v>
      </c>
      <c r="N1730">
        <v>10</v>
      </c>
      <c r="O1730">
        <v>4</v>
      </c>
      <c r="P1730">
        <v>46</v>
      </c>
      <c r="Q1730">
        <v>22.84</v>
      </c>
      <c r="R1730" t="s">
        <v>26</v>
      </c>
      <c r="S1730" t="b">
        <v>0</v>
      </c>
      <c r="T1730" t="b">
        <v>0</v>
      </c>
    </row>
    <row r="1731" spans="1:20" x14ac:dyDescent="0.3">
      <c r="A1731" t="s">
        <v>2731</v>
      </c>
      <c r="B1731" s="1">
        <v>40890</v>
      </c>
      <c r="C1731" s="1">
        <v>40894</v>
      </c>
      <c r="D1731" t="s">
        <v>2732</v>
      </c>
      <c r="E1731" t="s">
        <v>105</v>
      </c>
      <c r="F1731" t="s">
        <v>29</v>
      </c>
      <c r="G1731" t="s">
        <v>2733</v>
      </c>
      <c r="H1731">
        <v>87.96</v>
      </c>
      <c r="I1731">
        <v>3</v>
      </c>
      <c r="J1731">
        <v>7.6965000000000003</v>
      </c>
      <c r="K1731">
        <v>2011</v>
      </c>
      <c r="L1731">
        <v>12</v>
      </c>
      <c r="M1731" t="s">
        <v>41</v>
      </c>
      <c r="N1731">
        <v>13</v>
      </c>
      <c r="O1731">
        <v>4</v>
      </c>
      <c r="P1731">
        <v>8.75</v>
      </c>
      <c r="Q1731">
        <v>29.32</v>
      </c>
      <c r="R1731" t="s">
        <v>26</v>
      </c>
      <c r="S1731" t="b">
        <v>0</v>
      </c>
      <c r="T1731" t="b">
        <v>0</v>
      </c>
    </row>
    <row r="1732" spans="1:20" x14ac:dyDescent="0.3">
      <c r="A1732" t="s">
        <v>2731</v>
      </c>
      <c r="B1732" s="1">
        <v>40890</v>
      </c>
      <c r="C1732" s="1">
        <v>40894</v>
      </c>
      <c r="D1732" t="s">
        <v>2732</v>
      </c>
      <c r="E1732" t="s">
        <v>105</v>
      </c>
      <c r="F1732" t="s">
        <v>33</v>
      </c>
      <c r="G1732" t="s">
        <v>757</v>
      </c>
      <c r="H1732">
        <v>5.2140000000000004</v>
      </c>
      <c r="I1732">
        <v>2</v>
      </c>
      <c r="J1732">
        <v>-4.1711999999999998</v>
      </c>
      <c r="K1732">
        <v>2011</v>
      </c>
      <c r="L1732">
        <v>12</v>
      </c>
      <c r="M1732" t="s">
        <v>41</v>
      </c>
      <c r="N1732">
        <v>13</v>
      </c>
      <c r="O1732">
        <v>4</v>
      </c>
      <c r="P1732">
        <v>-80</v>
      </c>
      <c r="Q1732">
        <v>2.6070000000000002</v>
      </c>
      <c r="R1732" t="s">
        <v>26</v>
      </c>
      <c r="S1732" t="b">
        <v>1</v>
      </c>
      <c r="T1732" t="b">
        <v>0</v>
      </c>
    </row>
    <row r="1733" spans="1:20" x14ac:dyDescent="0.3">
      <c r="A1733" t="s">
        <v>2734</v>
      </c>
      <c r="B1733" s="1">
        <v>41890</v>
      </c>
      <c r="C1733" s="1">
        <v>41894</v>
      </c>
      <c r="D1733" t="s">
        <v>2735</v>
      </c>
      <c r="E1733" t="s">
        <v>22</v>
      </c>
      <c r="F1733" t="s">
        <v>29</v>
      </c>
      <c r="G1733" t="s">
        <v>991</v>
      </c>
      <c r="H1733">
        <v>19.760000000000002</v>
      </c>
      <c r="I1733">
        <v>4</v>
      </c>
      <c r="J1733">
        <v>8.2992000000000008</v>
      </c>
      <c r="K1733">
        <v>2014</v>
      </c>
      <c r="L1733">
        <v>9</v>
      </c>
      <c r="M1733" t="s">
        <v>87</v>
      </c>
      <c r="N1733">
        <v>8</v>
      </c>
      <c r="O1733">
        <v>4</v>
      </c>
      <c r="P1733">
        <v>42</v>
      </c>
      <c r="Q1733">
        <v>4.9400000000000004</v>
      </c>
      <c r="R1733" t="s">
        <v>48</v>
      </c>
      <c r="S1733" t="b">
        <v>0</v>
      </c>
      <c r="T1733" t="b">
        <v>0</v>
      </c>
    </row>
    <row r="1734" spans="1:20" x14ac:dyDescent="0.3">
      <c r="A1734" t="s">
        <v>2736</v>
      </c>
      <c r="B1734" s="1">
        <v>41273</v>
      </c>
      <c r="C1734" s="1">
        <v>41277</v>
      </c>
      <c r="D1734" t="s">
        <v>497</v>
      </c>
      <c r="E1734" t="s">
        <v>22</v>
      </c>
      <c r="F1734" t="s">
        <v>72</v>
      </c>
      <c r="G1734" t="s">
        <v>2737</v>
      </c>
      <c r="H1734">
        <v>68.52</v>
      </c>
      <c r="I1734">
        <v>3</v>
      </c>
      <c r="J1734">
        <v>31.519200000000001</v>
      </c>
      <c r="K1734">
        <v>2012</v>
      </c>
      <c r="L1734">
        <v>12</v>
      </c>
      <c r="M1734" t="s">
        <v>41</v>
      </c>
      <c r="N1734">
        <v>30</v>
      </c>
      <c r="O1734">
        <v>4</v>
      </c>
      <c r="P1734">
        <v>46</v>
      </c>
      <c r="Q1734">
        <v>22.84</v>
      </c>
      <c r="R1734" t="s">
        <v>26</v>
      </c>
      <c r="S1734" t="b">
        <v>0</v>
      </c>
      <c r="T1734" t="b">
        <v>0</v>
      </c>
    </row>
    <row r="1735" spans="1:20" x14ac:dyDescent="0.3">
      <c r="A1735" t="s">
        <v>2736</v>
      </c>
      <c r="B1735" s="1">
        <v>41273</v>
      </c>
      <c r="C1735" s="1">
        <v>41277</v>
      </c>
      <c r="D1735" t="s">
        <v>497</v>
      </c>
      <c r="E1735" t="s">
        <v>22</v>
      </c>
      <c r="F1735" t="s">
        <v>45</v>
      </c>
      <c r="G1735" t="s">
        <v>825</v>
      </c>
      <c r="H1735">
        <v>74.94</v>
      </c>
      <c r="I1735">
        <v>3</v>
      </c>
      <c r="J1735">
        <v>14.2386</v>
      </c>
      <c r="K1735">
        <v>2012</v>
      </c>
      <c r="L1735">
        <v>12</v>
      </c>
      <c r="M1735" t="s">
        <v>41</v>
      </c>
      <c r="N1735">
        <v>30</v>
      </c>
      <c r="O1735">
        <v>4</v>
      </c>
      <c r="P1735">
        <v>19</v>
      </c>
      <c r="Q1735">
        <v>24.98</v>
      </c>
      <c r="R1735" t="s">
        <v>26</v>
      </c>
      <c r="S1735" t="b">
        <v>0</v>
      </c>
      <c r="T1735" t="b">
        <v>0</v>
      </c>
    </row>
    <row r="1736" spans="1:20" x14ac:dyDescent="0.3">
      <c r="A1736" t="s">
        <v>2736</v>
      </c>
      <c r="B1736" s="1">
        <v>41273</v>
      </c>
      <c r="C1736" s="1">
        <v>41277</v>
      </c>
      <c r="D1736" t="s">
        <v>497</v>
      </c>
      <c r="E1736" t="s">
        <v>22</v>
      </c>
      <c r="F1736" t="s">
        <v>128</v>
      </c>
      <c r="G1736" t="s">
        <v>2167</v>
      </c>
      <c r="H1736">
        <v>271.44</v>
      </c>
      <c r="I1736">
        <v>3</v>
      </c>
      <c r="J1736">
        <v>122.148</v>
      </c>
      <c r="K1736">
        <v>2012</v>
      </c>
      <c r="L1736">
        <v>12</v>
      </c>
      <c r="M1736" t="s">
        <v>41</v>
      </c>
      <c r="N1736">
        <v>30</v>
      </c>
      <c r="O1736">
        <v>4</v>
      </c>
      <c r="P1736">
        <v>45</v>
      </c>
      <c r="Q1736">
        <v>90.48</v>
      </c>
      <c r="R1736" t="s">
        <v>26</v>
      </c>
      <c r="S1736" t="b">
        <v>0</v>
      </c>
      <c r="T1736" t="b">
        <v>1</v>
      </c>
    </row>
    <row r="1737" spans="1:20" x14ac:dyDescent="0.3">
      <c r="A1737" t="s">
        <v>2736</v>
      </c>
      <c r="B1737" s="1">
        <v>41273</v>
      </c>
      <c r="C1737" s="1">
        <v>41277</v>
      </c>
      <c r="D1737" t="s">
        <v>497</v>
      </c>
      <c r="E1737" t="s">
        <v>22</v>
      </c>
      <c r="F1737" t="s">
        <v>54</v>
      </c>
      <c r="G1737" t="s">
        <v>2738</v>
      </c>
      <c r="H1737">
        <v>287.88</v>
      </c>
      <c r="I1737">
        <v>3</v>
      </c>
      <c r="J1737">
        <v>35.984999999999999</v>
      </c>
      <c r="K1737">
        <v>2012</v>
      </c>
      <c r="L1737">
        <v>12</v>
      </c>
      <c r="M1737" t="s">
        <v>41</v>
      </c>
      <c r="N1737">
        <v>30</v>
      </c>
      <c r="O1737">
        <v>4</v>
      </c>
      <c r="P1737">
        <v>12.5</v>
      </c>
      <c r="Q1737">
        <v>95.96</v>
      </c>
      <c r="R1737" t="s">
        <v>26</v>
      </c>
      <c r="S1737" t="b">
        <v>0</v>
      </c>
      <c r="T1737" t="b">
        <v>1</v>
      </c>
    </row>
    <row r="1738" spans="1:20" x14ac:dyDescent="0.3">
      <c r="A1738" t="s">
        <v>2739</v>
      </c>
      <c r="B1738" s="1">
        <v>41344</v>
      </c>
      <c r="C1738" s="1">
        <v>41345</v>
      </c>
      <c r="D1738" t="s">
        <v>1224</v>
      </c>
      <c r="E1738" t="s">
        <v>22</v>
      </c>
      <c r="F1738" t="s">
        <v>72</v>
      </c>
      <c r="G1738" t="s">
        <v>2740</v>
      </c>
      <c r="H1738">
        <v>14.9</v>
      </c>
      <c r="I1738">
        <v>5</v>
      </c>
      <c r="J1738">
        <v>7.1520000000000001</v>
      </c>
      <c r="K1738">
        <v>2013</v>
      </c>
      <c r="L1738">
        <v>3</v>
      </c>
      <c r="M1738" t="s">
        <v>135</v>
      </c>
      <c r="N1738">
        <v>11</v>
      </c>
      <c r="O1738">
        <v>1</v>
      </c>
      <c r="P1738">
        <v>48</v>
      </c>
      <c r="Q1738">
        <v>2.98</v>
      </c>
      <c r="R1738" t="s">
        <v>26</v>
      </c>
      <c r="S1738" t="b">
        <v>0</v>
      </c>
      <c r="T1738" t="b">
        <v>0</v>
      </c>
    </row>
    <row r="1739" spans="1:20" x14ac:dyDescent="0.3">
      <c r="A1739" t="s">
        <v>2741</v>
      </c>
      <c r="B1739" s="1">
        <v>40639</v>
      </c>
      <c r="C1739" s="1">
        <v>40645</v>
      </c>
      <c r="D1739" t="s">
        <v>1604</v>
      </c>
      <c r="E1739" t="s">
        <v>22</v>
      </c>
      <c r="F1739" t="s">
        <v>29</v>
      </c>
      <c r="G1739" t="s">
        <v>2662</v>
      </c>
      <c r="H1739">
        <v>91.96</v>
      </c>
      <c r="I1739">
        <v>2</v>
      </c>
      <c r="J1739">
        <v>15.6332</v>
      </c>
      <c r="K1739">
        <v>2011</v>
      </c>
      <c r="L1739">
        <v>4</v>
      </c>
      <c r="M1739" t="s">
        <v>236</v>
      </c>
      <c r="N1739">
        <v>6</v>
      </c>
      <c r="O1739">
        <v>6</v>
      </c>
      <c r="P1739">
        <v>17</v>
      </c>
      <c r="Q1739">
        <v>45.98</v>
      </c>
      <c r="R1739" t="s">
        <v>26</v>
      </c>
      <c r="S1739" t="b">
        <v>0</v>
      </c>
      <c r="T1739" t="b">
        <v>0</v>
      </c>
    </row>
    <row r="1740" spans="1:20" x14ac:dyDescent="0.3">
      <c r="A1740" t="s">
        <v>2741</v>
      </c>
      <c r="B1740" s="1">
        <v>40639</v>
      </c>
      <c r="C1740" s="1">
        <v>40645</v>
      </c>
      <c r="D1740" t="s">
        <v>1604</v>
      </c>
      <c r="E1740" t="s">
        <v>22</v>
      </c>
      <c r="F1740" t="s">
        <v>29</v>
      </c>
      <c r="G1740" t="s">
        <v>225</v>
      </c>
      <c r="H1740">
        <v>33.11</v>
      </c>
      <c r="I1740">
        <v>7</v>
      </c>
      <c r="J1740">
        <v>12.9129</v>
      </c>
      <c r="K1740">
        <v>2011</v>
      </c>
      <c r="L1740">
        <v>4</v>
      </c>
      <c r="M1740" t="s">
        <v>236</v>
      </c>
      <c r="N1740">
        <v>6</v>
      </c>
      <c r="O1740">
        <v>6</v>
      </c>
      <c r="P1740">
        <v>39</v>
      </c>
      <c r="Q1740">
        <v>4.7300000000000004</v>
      </c>
      <c r="R1740" t="s">
        <v>26</v>
      </c>
      <c r="S1740" t="b">
        <v>0</v>
      </c>
      <c r="T1740" t="b">
        <v>0</v>
      </c>
    </row>
    <row r="1741" spans="1:20" x14ac:dyDescent="0.3">
      <c r="A1741" t="s">
        <v>2741</v>
      </c>
      <c r="B1741" s="1">
        <v>40639</v>
      </c>
      <c r="C1741" s="1">
        <v>40645</v>
      </c>
      <c r="D1741" t="s">
        <v>1604</v>
      </c>
      <c r="E1741" t="s">
        <v>22</v>
      </c>
      <c r="F1741" t="s">
        <v>72</v>
      </c>
      <c r="G1741" t="s">
        <v>2135</v>
      </c>
      <c r="H1741">
        <v>19.440000000000001</v>
      </c>
      <c r="I1741">
        <v>3</v>
      </c>
      <c r="J1741">
        <v>9.3312000000000008</v>
      </c>
      <c r="K1741">
        <v>2011</v>
      </c>
      <c r="L1741">
        <v>4</v>
      </c>
      <c r="M1741" t="s">
        <v>236</v>
      </c>
      <c r="N1741">
        <v>6</v>
      </c>
      <c r="O1741">
        <v>6</v>
      </c>
      <c r="P1741">
        <v>48</v>
      </c>
      <c r="Q1741">
        <v>6.48</v>
      </c>
      <c r="R1741" t="s">
        <v>26</v>
      </c>
      <c r="S1741" t="b">
        <v>0</v>
      </c>
      <c r="T1741" t="b">
        <v>0</v>
      </c>
    </row>
    <row r="1742" spans="1:20" x14ac:dyDescent="0.3">
      <c r="A1742" t="s">
        <v>2741</v>
      </c>
      <c r="B1742" s="1">
        <v>40639</v>
      </c>
      <c r="C1742" s="1">
        <v>40645</v>
      </c>
      <c r="D1742" t="s">
        <v>1604</v>
      </c>
      <c r="E1742" t="s">
        <v>22</v>
      </c>
      <c r="F1742" t="s">
        <v>72</v>
      </c>
      <c r="G1742" t="s">
        <v>2742</v>
      </c>
      <c r="H1742">
        <v>55.48</v>
      </c>
      <c r="I1742">
        <v>1</v>
      </c>
      <c r="J1742">
        <v>26.630400000000002</v>
      </c>
      <c r="K1742">
        <v>2011</v>
      </c>
      <c r="L1742">
        <v>4</v>
      </c>
      <c r="M1742" t="s">
        <v>236</v>
      </c>
      <c r="N1742">
        <v>6</v>
      </c>
      <c r="O1742">
        <v>6</v>
      </c>
      <c r="P1742">
        <v>48</v>
      </c>
      <c r="Q1742">
        <v>55.48</v>
      </c>
      <c r="R1742" t="s">
        <v>26</v>
      </c>
      <c r="S1742" t="b">
        <v>0</v>
      </c>
      <c r="T1742" t="b">
        <v>0</v>
      </c>
    </row>
    <row r="1743" spans="1:20" x14ac:dyDescent="0.3">
      <c r="A1743" t="s">
        <v>2743</v>
      </c>
      <c r="B1743" s="1">
        <v>41694</v>
      </c>
      <c r="C1743" s="1">
        <v>41701</v>
      </c>
      <c r="D1743" t="s">
        <v>2744</v>
      </c>
      <c r="E1743" t="s">
        <v>39</v>
      </c>
      <c r="F1743" t="s">
        <v>119</v>
      </c>
      <c r="G1743" t="s">
        <v>1627</v>
      </c>
      <c r="H1743">
        <v>8.4</v>
      </c>
      <c r="I1743">
        <v>5</v>
      </c>
      <c r="J1743">
        <v>0.33600000000000002</v>
      </c>
      <c r="K1743">
        <v>2014</v>
      </c>
      <c r="L1743">
        <v>2</v>
      </c>
      <c r="M1743" t="s">
        <v>303</v>
      </c>
      <c r="N1743">
        <v>24</v>
      </c>
      <c r="O1743">
        <v>7</v>
      </c>
      <c r="P1743">
        <v>4</v>
      </c>
      <c r="Q1743">
        <v>1.68</v>
      </c>
      <c r="R1743" t="s">
        <v>26</v>
      </c>
      <c r="S1743" t="b">
        <v>0</v>
      </c>
      <c r="T1743" t="b">
        <v>0</v>
      </c>
    </row>
    <row r="1744" spans="1:20" x14ac:dyDescent="0.3">
      <c r="A1744" t="s">
        <v>2743</v>
      </c>
      <c r="B1744" s="1">
        <v>41694</v>
      </c>
      <c r="C1744" s="1">
        <v>41701</v>
      </c>
      <c r="D1744" t="s">
        <v>2744</v>
      </c>
      <c r="E1744" t="s">
        <v>39</v>
      </c>
      <c r="F1744" t="s">
        <v>54</v>
      </c>
      <c r="G1744" t="s">
        <v>1664</v>
      </c>
      <c r="H1744">
        <v>71.959999999999994</v>
      </c>
      <c r="I1744">
        <v>5</v>
      </c>
      <c r="J1744">
        <v>25.186</v>
      </c>
      <c r="K1744">
        <v>2014</v>
      </c>
      <c r="L1744">
        <v>2</v>
      </c>
      <c r="M1744" t="s">
        <v>303</v>
      </c>
      <c r="N1744">
        <v>24</v>
      </c>
      <c r="O1744">
        <v>7</v>
      </c>
      <c r="P1744">
        <v>35</v>
      </c>
      <c r="Q1744">
        <v>14.391999999999999</v>
      </c>
      <c r="R1744" t="s">
        <v>26</v>
      </c>
      <c r="S1744" t="b">
        <v>0</v>
      </c>
      <c r="T1744" t="b">
        <v>0</v>
      </c>
    </row>
    <row r="1745" spans="1:20" x14ac:dyDescent="0.3">
      <c r="A1745" t="s">
        <v>2745</v>
      </c>
      <c r="B1745" s="1">
        <v>41593</v>
      </c>
      <c r="C1745" s="1">
        <v>41594</v>
      </c>
      <c r="D1745" t="s">
        <v>1789</v>
      </c>
      <c r="E1745" t="s">
        <v>22</v>
      </c>
      <c r="F1745" t="s">
        <v>31</v>
      </c>
      <c r="G1745" t="s">
        <v>2575</v>
      </c>
      <c r="H1745">
        <v>9.84</v>
      </c>
      <c r="I1745">
        <v>3</v>
      </c>
      <c r="J1745">
        <v>2.8536000000000001</v>
      </c>
      <c r="K1745">
        <v>2013</v>
      </c>
      <c r="L1745">
        <v>11</v>
      </c>
      <c r="M1745" t="s">
        <v>70</v>
      </c>
      <c r="N1745">
        <v>15</v>
      </c>
      <c r="O1745">
        <v>1</v>
      </c>
      <c r="P1745">
        <v>29</v>
      </c>
      <c r="Q1745">
        <v>3.28</v>
      </c>
      <c r="R1745" t="s">
        <v>26</v>
      </c>
      <c r="S1745" t="b">
        <v>0</v>
      </c>
      <c r="T1745" t="b">
        <v>0</v>
      </c>
    </row>
    <row r="1746" spans="1:20" x14ac:dyDescent="0.3">
      <c r="A1746" t="s">
        <v>2746</v>
      </c>
      <c r="B1746" s="1">
        <v>41257</v>
      </c>
      <c r="C1746" s="1">
        <v>41261</v>
      </c>
      <c r="D1746" t="s">
        <v>2588</v>
      </c>
      <c r="E1746" t="s">
        <v>22</v>
      </c>
      <c r="F1746" t="s">
        <v>29</v>
      </c>
      <c r="G1746" t="s">
        <v>2747</v>
      </c>
      <c r="H1746">
        <v>15.24</v>
      </c>
      <c r="I1746">
        <v>3</v>
      </c>
      <c r="J1746">
        <v>5.1816000000000004</v>
      </c>
      <c r="K1746">
        <v>2012</v>
      </c>
      <c r="L1746">
        <v>12</v>
      </c>
      <c r="M1746" t="s">
        <v>41</v>
      </c>
      <c r="N1746">
        <v>14</v>
      </c>
      <c r="O1746">
        <v>4</v>
      </c>
      <c r="P1746">
        <v>34</v>
      </c>
      <c r="Q1746">
        <v>5.08</v>
      </c>
      <c r="R1746" t="s">
        <v>26</v>
      </c>
      <c r="S1746" t="b">
        <v>0</v>
      </c>
      <c r="T1746" t="b">
        <v>0</v>
      </c>
    </row>
    <row r="1747" spans="1:20" x14ac:dyDescent="0.3">
      <c r="A1747" t="s">
        <v>2748</v>
      </c>
      <c r="B1747" s="1">
        <v>41907</v>
      </c>
      <c r="C1747" s="1">
        <v>41912</v>
      </c>
      <c r="D1747" t="s">
        <v>230</v>
      </c>
      <c r="E1747" t="s">
        <v>22</v>
      </c>
      <c r="F1747" t="s">
        <v>793</v>
      </c>
      <c r="G1747" t="s">
        <v>2749</v>
      </c>
      <c r="H1747">
        <v>506.28</v>
      </c>
      <c r="I1747">
        <v>3</v>
      </c>
      <c r="J1747">
        <v>177.19800000000001</v>
      </c>
      <c r="K1747">
        <v>2014</v>
      </c>
      <c r="L1747">
        <v>9</v>
      </c>
      <c r="M1747" t="s">
        <v>87</v>
      </c>
      <c r="N1747">
        <v>25</v>
      </c>
      <c r="O1747">
        <v>5</v>
      </c>
      <c r="P1747">
        <v>35</v>
      </c>
      <c r="Q1747">
        <v>168.76</v>
      </c>
      <c r="R1747" t="s">
        <v>26</v>
      </c>
      <c r="S1747" t="b">
        <v>0</v>
      </c>
      <c r="T1747" t="b">
        <v>1</v>
      </c>
    </row>
    <row r="1748" spans="1:20" x14ac:dyDescent="0.3">
      <c r="A1748" t="s">
        <v>2750</v>
      </c>
      <c r="B1748" s="1">
        <v>41309</v>
      </c>
      <c r="C1748" s="1">
        <v>41313</v>
      </c>
      <c r="D1748" t="s">
        <v>211</v>
      </c>
      <c r="E1748" t="s">
        <v>446</v>
      </c>
      <c r="F1748" t="s">
        <v>29</v>
      </c>
      <c r="G1748" t="s">
        <v>2085</v>
      </c>
      <c r="H1748">
        <v>14.368</v>
      </c>
      <c r="I1748">
        <v>2</v>
      </c>
      <c r="J1748">
        <v>3.9512</v>
      </c>
      <c r="K1748">
        <v>2013</v>
      </c>
      <c r="L1748">
        <v>2</v>
      </c>
      <c r="M1748" t="s">
        <v>303</v>
      </c>
      <c r="N1748">
        <v>4</v>
      </c>
      <c r="O1748">
        <v>4</v>
      </c>
      <c r="P1748">
        <v>27.5</v>
      </c>
      <c r="Q1748">
        <v>7.1840000000000002</v>
      </c>
      <c r="R1748" t="s">
        <v>26</v>
      </c>
      <c r="S1748" t="b">
        <v>0</v>
      </c>
      <c r="T1748" t="b">
        <v>0</v>
      </c>
    </row>
    <row r="1749" spans="1:20" x14ac:dyDescent="0.3">
      <c r="A1749" t="s">
        <v>2751</v>
      </c>
      <c r="B1749" s="1">
        <v>41155</v>
      </c>
      <c r="C1749" s="1">
        <v>41160</v>
      </c>
      <c r="D1749" t="s">
        <v>2752</v>
      </c>
      <c r="E1749" t="s">
        <v>257</v>
      </c>
      <c r="F1749" t="s">
        <v>29</v>
      </c>
      <c r="G1749" t="s">
        <v>952</v>
      </c>
      <c r="H1749">
        <v>238.15199999999999</v>
      </c>
      <c r="I1749">
        <v>3</v>
      </c>
      <c r="J1749">
        <v>89.307000000000002</v>
      </c>
      <c r="K1749">
        <v>2012</v>
      </c>
      <c r="L1749">
        <v>9</v>
      </c>
      <c r="M1749" t="s">
        <v>87</v>
      </c>
      <c r="N1749">
        <v>3</v>
      </c>
      <c r="O1749">
        <v>5</v>
      </c>
      <c r="P1749">
        <v>37.5</v>
      </c>
      <c r="Q1749">
        <v>79.384</v>
      </c>
      <c r="R1749" t="s">
        <v>26</v>
      </c>
      <c r="S1749" t="b">
        <v>0</v>
      </c>
      <c r="T1749" t="b">
        <v>1</v>
      </c>
    </row>
    <row r="1750" spans="1:20" x14ac:dyDescent="0.3">
      <c r="A1750" t="s">
        <v>2753</v>
      </c>
      <c r="B1750" s="1">
        <v>41268</v>
      </c>
      <c r="C1750" s="1">
        <v>41273</v>
      </c>
      <c r="D1750" t="s">
        <v>1838</v>
      </c>
      <c r="E1750" t="s">
        <v>194</v>
      </c>
      <c r="F1750" t="s">
        <v>72</v>
      </c>
      <c r="G1750" t="s">
        <v>2754</v>
      </c>
      <c r="H1750">
        <v>12.6</v>
      </c>
      <c r="I1750">
        <v>3</v>
      </c>
      <c r="J1750">
        <v>6.1740000000000004</v>
      </c>
      <c r="K1750">
        <v>2012</v>
      </c>
      <c r="L1750">
        <v>12</v>
      </c>
      <c r="M1750" t="s">
        <v>41</v>
      </c>
      <c r="N1750">
        <v>25</v>
      </c>
      <c r="O1750">
        <v>5</v>
      </c>
      <c r="P1750">
        <v>49</v>
      </c>
      <c r="Q1750">
        <v>4.2</v>
      </c>
      <c r="R1750" t="s">
        <v>26</v>
      </c>
      <c r="S1750" t="b">
        <v>0</v>
      </c>
      <c r="T1750" t="b">
        <v>0</v>
      </c>
    </row>
    <row r="1751" spans="1:20" x14ac:dyDescent="0.3">
      <c r="A1751" t="s">
        <v>2753</v>
      </c>
      <c r="B1751" s="1">
        <v>41268</v>
      </c>
      <c r="C1751" s="1">
        <v>41273</v>
      </c>
      <c r="D1751" t="s">
        <v>1838</v>
      </c>
      <c r="E1751" t="s">
        <v>194</v>
      </c>
      <c r="F1751" t="s">
        <v>72</v>
      </c>
      <c r="G1751" t="s">
        <v>356</v>
      </c>
      <c r="H1751">
        <v>17.940000000000001</v>
      </c>
      <c r="I1751">
        <v>3</v>
      </c>
      <c r="J1751">
        <v>8.0730000000000004</v>
      </c>
      <c r="K1751">
        <v>2012</v>
      </c>
      <c r="L1751">
        <v>12</v>
      </c>
      <c r="M1751" t="s">
        <v>41</v>
      </c>
      <c r="N1751">
        <v>25</v>
      </c>
      <c r="O1751">
        <v>5</v>
      </c>
      <c r="P1751">
        <v>45</v>
      </c>
      <c r="Q1751">
        <v>5.98</v>
      </c>
      <c r="R1751" t="s">
        <v>26</v>
      </c>
      <c r="S1751" t="b">
        <v>0</v>
      </c>
      <c r="T1751" t="b">
        <v>0</v>
      </c>
    </row>
    <row r="1752" spans="1:20" x14ac:dyDescent="0.3">
      <c r="A1752" t="s">
        <v>2755</v>
      </c>
      <c r="B1752" s="1">
        <v>41780</v>
      </c>
      <c r="C1752" s="1">
        <v>41784</v>
      </c>
      <c r="D1752" t="s">
        <v>748</v>
      </c>
      <c r="E1752" t="s">
        <v>1959</v>
      </c>
      <c r="F1752" t="s">
        <v>29</v>
      </c>
      <c r="G1752" t="s">
        <v>2756</v>
      </c>
      <c r="H1752">
        <v>6.98</v>
      </c>
      <c r="I1752">
        <v>1</v>
      </c>
      <c r="J1752">
        <v>3.3504</v>
      </c>
      <c r="K1752">
        <v>2014</v>
      </c>
      <c r="L1752">
        <v>5</v>
      </c>
      <c r="M1752" t="s">
        <v>47</v>
      </c>
      <c r="N1752">
        <v>21</v>
      </c>
      <c r="O1752">
        <v>4</v>
      </c>
      <c r="P1752">
        <v>48</v>
      </c>
      <c r="Q1752">
        <v>6.98</v>
      </c>
      <c r="R1752" t="s">
        <v>26</v>
      </c>
      <c r="S1752" t="b">
        <v>0</v>
      </c>
      <c r="T1752" t="b">
        <v>0</v>
      </c>
    </row>
    <row r="1753" spans="1:20" x14ac:dyDescent="0.3">
      <c r="A1753" t="s">
        <v>2755</v>
      </c>
      <c r="B1753" s="1">
        <v>41780</v>
      </c>
      <c r="C1753" s="1">
        <v>41784</v>
      </c>
      <c r="D1753" t="s">
        <v>748</v>
      </c>
      <c r="E1753" t="s">
        <v>1959</v>
      </c>
      <c r="F1753" t="s">
        <v>793</v>
      </c>
      <c r="G1753" t="s">
        <v>2757</v>
      </c>
      <c r="H1753">
        <v>343.2</v>
      </c>
      <c r="I1753">
        <v>1</v>
      </c>
      <c r="J1753">
        <v>38.61</v>
      </c>
      <c r="K1753">
        <v>2014</v>
      </c>
      <c r="L1753">
        <v>5</v>
      </c>
      <c r="M1753" t="s">
        <v>47</v>
      </c>
      <c r="N1753">
        <v>21</v>
      </c>
      <c r="O1753">
        <v>4</v>
      </c>
      <c r="P1753">
        <v>11.25</v>
      </c>
      <c r="Q1753">
        <v>343.2</v>
      </c>
      <c r="R1753" t="s">
        <v>26</v>
      </c>
      <c r="S1753" t="b">
        <v>0</v>
      </c>
      <c r="T1753" t="b">
        <v>1</v>
      </c>
    </row>
    <row r="1754" spans="1:20" x14ac:dyDescent="0.3">
      <c r="A1754" t="s">
        <v>2758</v>
      </c>
      <c r="B1754" s="1">
        <v>41999</v>
      </c>
      <c r="C1754" s="1">
        <v>42003</v>
      </c>
      <c r="D1754" t="s">
        <v>960</v>
      </c>
      <c r="E1754" t="s">
        <v>22</v>
      </c>
      <c r="F1754" t="s">
        <v>33</v>
      </c>
      <c r="G1754" t="s">
        <v>1241</v>
      </c>
      <c r="H1754">
        <v>153.55199999999999</v>
      </c>
      <c r="I1754">
        <v>3</v>
      </c>
      <c r="J1754">
        <v>51.823799999999999</v>
      </c>
      <c r="K1754">
        <v>2014</v>
      </c>
      <c r="L1754">
        <v>12</v>
      </c>
      <c r="M1754" t="s">
        <v>41</v>
      </c>
      <c r="N1754">
        <v>26</v>
      </c>
      <c r="O1754">
        <v>4</v>
      </c>
      <c r="P1754">
        <v>33.75</v>
      </c>
      <c r="Q1754">
        <v>51.183999999999997</v>
      </c>
      <c r="R1754" t="s">
        <v>26</v>
      </c>
      <c r="S1754" t="b">
        <v>0</v>
      </c>
      <c r="T1754" t="b">
        <v>0</v>
      </c>
    </row>
    <row r="1755" spans="1:20" x14ac:dyDescent="0.3">
      <c r="A1755" t="s">
        <v>2758</v>
      </c>
      <c r="B1755" s="1">
        <v>41999</v>
      </c>
      <c r="C1755" s="1">
        <v>42003</v>
      </c>
      <c r="D1755" t="s">
        <v>960</v>
      </c>
      <c r="E1755" t="s">
        <v>22</v>
      </c>
      <c r="F1755" t="s">
        <v>45</v>
      </c>
      <c r="G1755" t="s">
        <v>2759</v>
      </c>
      <c r="H1755">
        <v>270.62</v>
      </c>
      <c r="I1755">
        <v>2</v>
      </c>
      <c r="J1755">
        <v>2.7061999999999999</v>
      </c>
      <c r="K1755">
        <v>2014</v>
      </c>
      <c r="L1755">
        <v>12</v>
      </c>
      <c r="M1755" t="s">
        <v>41</v>
      </c>
      <c r="N1755">
        <v>26</v>
      </c>
      <c r="O1755">
        <v>4</v>
      </c>
      <c r="P1755">
        <v>1</v>
      </c>
      <c r="Q1755">
        <v>135.31</v>
      </c>
      <c r="R1755" t="s">
        <v>26</v>
      </c>
      <c r="S1755" t="b">
        <v>0</v>
      </c>
      <c r="T1755" t="b">
        <v>1</v>
      </c>
    </row>
    <row r="1756" spans="1:20" x14ac:dyDescent="0.3">
      <c r="A1756" t="s">
        <v>2760</v>
      </c>
      <c r="B1756" s="1">
        <v>41257</v>
      </c>
      <c r="C1756" s="1">
        <v>41261</v>
      </c>
      <c r="D1756" t="s">
        <v>58</v>
      </c>
      <c r="E1756" t="s">
        <v>336</v>
      </c>
      <c r="F1756" t="s">
        <v>29</v>
      </c>
      <c r="G1756" t="s">
        <v>155</v>
      </c>
      <c r="H1756">
        <v>29.22</v>
      </c>
      <c r="I1756">
        <v>3</v>
      </c>
      <c r="J1756">
        <v>12.8568</v>
      </c>
      <c r="K1756">
        <v>2012</v>
      </c>
      <c r="L1756">
        <v>12</v>
      </c>
      <c r="M1756" t="s">
        <v>41</v>
      </c>
      <c r="N1756">
        <v>14</v>
      </c>
      <c r="O1756">
        <v>4</v>
      </c>
      <c r="P1756">
        <v>44</v>
      </c>
      <c r="Q1756">
        <v>9.74</v>
      </c>
      <c r="R1756" t="s">
        <v>26</v>
      </c>
      <c r="S1756" t="b">
        <v>0</v>
      </c>
      <c r="T1756" t="b">
        <v>0</v>
      </c>
    </row>
    <row r="1757" spans="1:20" x14ac:dyDescent="0.3">
      <c r="A1757" t="s">
        <v>2761</v>
      </c>
      <c r="B1757" s="1">
        <v>42002</v>
      </c>
      <c r="C1757" s="1">
        <v>42005</v>
      </c>
      <c r="D1757" t="s">
        <v>557</v>
      </c>
      <c r="E1757" t="s">
        <v>2381</v>
      </c>
      <c r="F1757" t="s">
        <v>33</v>
      </c>
      <c r="G1757" t="s">
        <v>1997</v>
      </c>
      <c r="H1757">
        <v>1.1879999999999999</v>
      </c>
      <c r="I1757">
        <v>2</v>
      </c>
      <c r="J1757">
        <v>-0.99</v>
      </c>
      <c r="K1757">
        <v>2014</v>
      </c>
      <c r="L1757">
        <v>12</v>
      </c>
      <c r="M1757" t="s">
        <v>41</v>
      </c>
      <c r="N1757">
        <v>29</v>
      </c>
      <c r="O1757">
        <v>3</v>
      </c>
      <c r="P1757">
        <v>-83.33</v>
      </c>
      <c r="Q1757">
        <v>0.59399999999999997</v>
      </c>
      <c r="R1757" t="s">
        <v>26</v>
      </c>
      <c r="S1757" t="b">
        <v>1</v>
      </c>
      <c r="T1757" t="b">
        <v>0</v>
      </c>
    </row>
    <row r="1758" spans="1:20" x14ac:dyDescent="0.3">
      <c r="A1758" t="s">
        <v>2762</v>
      </c>
      <c r="B1758" s="1">
        <v>41348</v>
      </c>
      <c r="C1758" s="1">
        <v>41354</v>
      </c>
      <c r="D1758" t="s">
        <v>138</v>
      </c>
      <c r="E1758" t="s">
        <v>2763</v>
      </c>
      <c r="F1758" t="s">
        <v>33</v>
      </c>
      <c r="G1758" t="s">
        <v>478</v>
      </c>
      <c r="H1758">
        <v>41.904000000000003</v>
      </c>
      <c r="I1758">
        <v>6</v>
      </c>
      <c r="J1758">
        <v>14.1426</v>
      </c>
      <c r="K1758">
        <v>2013</v>
      </c>
      <c r="L1758">
        <v>3</v>
      </c>
      <c r="M1758" t="s">
        <v>135</v>
      </c>
      <c r="N1758">
        <v>15</v>
      </c>
      <c r="O1758">
        <v>6</v>
      </c>
      <c r="P1758">
        <v>33.75</v>
      </c>
      <c r="Q1758">
        <v>6.9840000000000009</v>
      </c>
      <c r="R1758" t="s">
        <v>26</v>
      </c>
      <c r="S1758" t="b">
        <v>0</v>
      </c>
      <c r="T1758" t="b">
        <v>0</v>
      </c>
    </row>
    <row r="1759" spans="1:20" x14ac:dyDescent="0.3">
      <c r="A1759" t="s">
        <v>2764</v>
      </c>
      <c r="B1759" s="1">
        <v>41902</v>
      </c>
      <c r="C1759" s="1">
        <v>41908</v>
      </c>
      <c r="D1759" t="s">
        <v>2765</v>
      </c>
      <c r="E1759" t="s">
        <v>1088</v>
      </c>
      <c r="F1759" t="s">
        <v>54</v>
      </c>
      <c r="G1759" t="s">
        <v>1978</v>
      </c>
      <c r="H1759">
        <v>191.976</v>
      </c>
      <c r="I1759">
        <v>3</v>
      </c>
      <c r="J1759">
        <v>19.197600000000001</v>
      </c>
      <c r="K1759">
        <v>2014</v>
      </c>
      <c r="L1759">
        <v>9</v>
      </c>
      <c r="M1759" t="s">
        <v>87</v>
      </c>
      <c r="N1759">
        <v>20</v>
      </c>
      <c r="O1759">
        <v>6</v>
      </c>
      <c r="P1759">
        <v>10</v>
      </c>
      <c r="Q1759">
        <v>63.991999999999997</v>
      </c>
      <c r="R1759" t="s">
        <v>26</v>
      </c>
      <c r="S1759" t="b">
        <v>0</v>
      </c>
      <c r="T1759" t="b">
        <v>0</v>
      </c>
    </row>
    <row r="1760" spans="1:20" x14ac:dyDescent="0.3">
      <c r="A1760" t="s">
        <v>2764</v>
      </c>
      <c r="B1760" s="1">
        <v>41902</v>
      </c>
      <c r="C1760" s="1">
        <v>41908</v>
      </c>
      <c r="D1760" t="s">
        <v>2765</v>
      </c>
      <c r="E1760" t="s">
        <v>1088</v>
      </c>
      <c r="F1760" t="s">
        <v>31</v>
      </c>
      <c r="G1760" t="s">
        <v>2766</v>
      </c>
      <c r="H1760">
        <v>23.832000000000001</v>
      </c>
      <c r="I1760">
        <v>3</v>
      </c>
      <c r="J1760">
        <v>6.5537999999999998</v>
      </c>
      <c r="K1760">
        <v>2014</v>
      </c>
      <c r="L1760">
        <v>9</v>
      </c>
      <c r="M1760" t="s">
        <v>87</v>
      </c>
      <c r="N1760">
        <v>20</v>
      </c>
      <c r="O1760">
        <v>6</v>
      </c>
      <c r="P1760">
        <v>27.5</v>
      </c>
      <c r="Q1760">
        <v>7.944</v>
      </c>
      <c r="R1760" t="s">
        <v>26</v>
      </c>
      <c r="S1760" t="b">
        <v>0</v>
      </c>
      <c r="T1760" t="b">
        <v>0</v>
      </c>
    </row>
    <row r="1761" spans="1:20" x14ac:dyDescent="0.3">
      <c r="A1761" t="s">
        <v>2764</v>
      </c>
      <c r="B1761" s="1">
        <v>41902</v>
      </c>
      <c r="C1761" s="1">
        <v>41908</v>
      </c>
      <c r="D1761" t="s">
        <v>2765</v>
      </c>
      <c r="E1761" t="s">
        <v>1088</v>
      </c>
      <c r="F1761" t="s">
        <v>29</v>
      </c>
      <c r="G1761" t="s">
        <v>338</v>
      </c>
      <c r="H1761">
        <v>409.21600000000001</v>
      </c>
      <c r="I1761">
        <v>8</v>
      </c>
      <c r="J1761">
        <v>61.382399999999997</v>
      </c>
      <c r="K1761">
        <v>2014</v>
      </c>
      <c r="L1761">
        <v>9</v>
      </c>
      <c r="M1761" t="s">
        <v>87</v>
      </c>
      <c r="N1761">
        <v>20</v>
      </c>
      <c r="O1761">
        <v>6</v>
      </c>
      <c r="P1761">
        <v>15</v>
      </c>
      <c r="Q1761">
        <v>51.152000000000001</v>
      </c>
      <c r="R1761" t="s">
        <v>26</v>
      </c>
      <c r="S1761" t="b">
        <v>0</v>
      </c>
      <c r="T1761" t="b">
        <v>1</v>
      </c>
    </row>
    <row r="1762" spans="1:20" x14ac:dyDescent="0.3">
      <c r="A1762" t="s">
        <v>2764</v>
      </c>
      <c r="B1762" s="1">
        <v>41902</v>
      </c>
      <c r="C1762" s="1">
        <v>41908</v>
      </c>
      <c r="D1762" t="s">
        <v>2765</v>
      </c>
      <c r="E1762" t="s">
        <v>1088</v>
      </c>
      <c r="F1762" t="s">
        <v>317</v>
      </c>
      <c r="G1762" t="s">
        <v>2533</v>
      </c>
      <c r="H1762">
        <v>72.587999999999994</v>
      </c>
      <c r="I1762">
        <v>2</v>
      </c>
      <c r="J1762">
        <v>-128.2388</v>
      </c>
      <c r="K1762">
        <v>2014</v>
      </c>
      <c r="L1762">
        <v>9</v>
      </c>
      <c r="M1762" t="s">
        <v>87</v>
      </c>
      <c r="N1762">
        <v>20</v>
      </c>
      <c r="O1762">
        <v>6</v>
      </c>
      <c r="P1762">
        <v>-176.67</v>
      </c>
      <c r="Q1762">
        <v>36.293999999999997</v>
      </c>
      <c r="R1762" t="s">
        <v>26</v>
      </c>
      <c r="S1762" t="b">
        <v>1</v>
      </c>
      <c r="T1762" t="b">
        <v>0</v>
      </c>
    </row>
    <row r="1763" spans="1:20" x14ac:dyDescent="0.3">
      <c r="A1763" t="s">
        <v>2767</v>
      </c>
      <c r="B1763" s="1">
        <v>41794</v>
      </c>
      <c r="C1763" s="1">
        <v>41798</v>
      </c>
      <c r="D1763" t="s">
        <v>2768</v>
      </c>
      <c r="E1763" t="s">
        <v>22</v>
      </c>
      <c r="F1763" t="s">
        <v>61</v>
      </c>
      <c r="G1763" t="s">
        <v>1008</v>
      </c>
      <c r="H1763">
        <v>44.75</v>
      </c>
      <c r="I1763">
        <v>5</v>
      </c>
      <c r="J1763">
        <v>8.5024999999999995</v>
      </c>
      <c r="K1763">
        <v>2014</v>
      </c>
      <c r="L1763">
        <v>6</v>
      </c>
      <c r="M1763" t="s">
        <v>25</v>
      </c>
      <c r="N1763">
        <v>4</v>
      </c>
      <c r="O1763">
        <v>4</v>
      </c>
      <c r="P1763">
        <v>19</v>
      </c>
      <c r="Q1763">
        <v>8.9499999999999993</v>
      </c>
      <c r="R1763" t="s">
        <v>26</v>
      </c>
      <c r="S1763" t="b">
        <v>0</v>
      </c>
      <c r="T1763" t="b">
        <v>0</v>
      </c>
    </row>
    <row r="1764" spans="1:20" x14ac:dyDescent="0.3">
      <c r="A1764" t="s">
        <v>2767</v>
      </c>
      <c r="B1764" s="1">
        <v>41794</v>
      </c>
      <c r="C1764" s="1">
        <v>41798</v>
      </c>
      <c r="D1764" t="s">
        <v>2768</v>
      </c>
      <c r="E1764" t="s">
        <v>22</v>
      </c>
      <c r="F1764" t="s">
        <v>72</v>
      </c>
      <c r="G1764" t="s">
        <v>2769</v>
      </c>
      <c r="H1764">
        <v>11.96</v>
      </c>
      <c r="I1764">
        <v>2</v>
      </c>
      <c r="J1764">
        <v>5.3819999999999997</v>
      </c>
      <c r="K1764">
        <v>2014</v>
      </c>
      <c r="L1764">
        <v>6</v>
      </c>
      <c r="M1764" t="s">
        <v>25</v>
      </c>
      <c r="N1764">
        <v>4</v>
      </c>
      <c r="O1764">
        <v>4</v>
      </c>
      <c r="P1764">
        <v>45</v>
      </c>
      <c r="Q1764">
        <v>5.98</v>
      </c>
      <c r="R1764" t="s">
        <v>26</v>
      </c>
      <c r="S1764" t="b">
        <v>0</v>
      </c>
      <c r="T1764" t="b">
        <v>0</v>
      </c>
    </row>
    <row r="1765" spans="1:20" x14ac:dyDescent="0.3">
      <c r="A1765" t="s">
        <v>2767</v>
      </c>
      <c r="B1765" s="1">
        <v>41794</v>
      </c>
      <c r="C1765" s="1">
        <v>41798</v>
      </c>
      <c r="D1765" t="s">
        <v>2768</v>
      </c>
      <c r="E1765" t="s">
        <v>22</v>
      </c>
      <c r="F1765" t="s">
        <v>33</v>
      </c>
      <c r="G1765" t="s">
        <v>618</v>
      </c>
      <c r="H1765">
        <v>3.9119999999999999</v>
      </c>
      <c r="I1765">
        <v>1</v>
      </c>
      <c r="J1765">
        <v>1.2714000000000001</v>
      </c>
      <c r="K1765">
        <v>2014</v>
      </c>
      <c r="L1765">
        <v>6</v>
      </c>
      <c r="M1765" t="s">
        <v>25</v>
      </c>
      <c r="N1765">
        <v>4</v>
      </c>
      <c r="O1765">
        <v>4</v>
      </c>
      <c r="P1765">
        <v>32.5</v>
      </c>
      <c r="Q1765">
        <v>3.9119999999999999</v>
      </c>
      <c r="R1765" t="s">
        <v>26</v>
      </c>
      <c r="S1765" t="b">
        <v>0</v>
      </c>
      <c r="T1765" t="b">
        <v>0</v>
      </c>
    </row>
    <row r="1766" spans="1:20" x14ac:dyDescent="0.3">
      <c r="A1766" t="s">
        <v>2770</v>
      </c>
      <c r="B1766" s="1">
        <v>40841</v>
      </c>
      <c r="C1766" s="1">
        <v>40844</v>
      </c>
      <c r="D1766" t="s">
        <v>2477</v>
      </c>
      <c r="E1766" t="s">
        <v>51</v>
      </c>
      <c r="F1766" t="s">
        <v>33</v>
      </c>
      <c r="G1766" t="s">
        <v>2698</v>
      </c>
      <c r="H1766">
        <v>49.408000000000001</v>
      </c>
      <c r="I1766">
        <v>4</v>
      </c>
      <c r="J1766">
        <v>18.527999999999999</v>
      </c>
      <c r="K1766">
        <v>2011</v>
      </c>
      <c r="L1766">
        <v>10</v>
      </c>
      <c r="M1766" t="s">
        <v>82</v>
      </c>
      <c r="N1766">
        <v>25</v>
      </c>
      <c r="O1766">
        <v>3</v>
      </c>
      <c r="P1766">
        <v>37.5</v>
      </c>
      <c r="Q1766">
        <v>12.352</v>
      </c>
      <c r="R1766" t="s">
        <v>26</v>
      </c>
      <c r="S1766" t="b">
        <v>0</v>
      </c>
      <c r="T1766" t="b">
        <v>0</v>
      </c>
    </row>
    <row r="1767" spans="1:20" x14ac:dyDescent="0.3">
      <c r="A1767" t="s">
        <v>2771</v>
      </c>
      <c r="B1767" s="1">
        <v>41503</v>
      </c>
      <c r="C1767" s="1">
        <v>41506</v>
      </c>
      <c r="D1767" t="s">
        <v>2772</v>
      </c>
      <c r="E1767" t="s">
        <v>22</v>
      </c>
      <c r="F1767" t="s">
        <v>174</v>
      </c>
      <c r="G1767" t="s">
        <v>2773</v>
      </c>
      <c r="H1767">
        <v>161.28</v>
      </c>
      <c r="I1767">
        <v>2</v>
      </c>
      <c r="J1767">
        <v>12.096</v>
      </c>
      <c r="K1767">
        <v>2013</v>
      </c>
      <c r="L1767">
        <v>8</v>
      </c>
      <c r="M1767" t="s">
        <v>53</v>
      </c>
      <c r="N1767">
        <v>17</v>
      </c>
      <c r="O1767">
        <v>3</v>
      </c>
      <c r="P1767">
        <v>7.5</v>
      </c>
      <c r="Q1767">
        <v>80.64</v>
      </c>
      <c r="R1767" t="s">
        <v>48</v>
      </c>
      <c r="S1767" t="b">
        <v>0</v>
      </c>
      <c r="T1767" t="b">
        <v>0</v>
      </c>
    </row>
    <row r="1768" spans="1:20" x14ac:dyDescent="0.3">
      <c r="A1768" t="s">
        <v>2774</v>
      </c>
      <c r="B1768" s="1">
        <v>41583</v>
      </c>
      <c r="C1768" s="1">
        <v>41583</v>
      </c>
      <c r="D1768" t="s">
        <v>1574</v>
      </c>
      <c r="E1768" t="s">
        <v>2249</v>
      </c>
      <c r="F1768" t="s">
        <v>31</v>
      </c>
      <c r="G1768" t="s">
        <v>885</v>
      </c>
      <c r="H1768">
        <v>192.8</v>
      </c>
      <c r="I1768">
        <v>4</v>
      </c>
      <c r="J1768">
        <v>55.911999999999999</v>
      </c>
      <c r="K1768">
        <v>2013</v>
      </c>
      <c r="L1768">
        <v>11</v>
      </c>
      <c r="M1768" t="s">
        <v>70</v>
      </c>
      <c r="N1768">
        <v>5</v>
      </c>
      <c r="O1768">
        <v>0</v>
      </c>
      <c r="P1768">
        <v>29</v>
      </c>
      <c r="Q1768">
        <v>48.2</v>
      </c>
      <c r="R1768" t="s">
        <v>26</v>
      </c>
      <c r="S1768" t="b">
        <v>0</v>
      </c>
      <c r="T1768" t="b">
        <v>0</v>
      </c>
    </row>
    <row r="1769" spans="1:20" x14ac:dyDescent="0.3">
      <c r="A1769" t="s">
        <v>2775</v>
      </c>
      <c r="B1769" s="1">
        <v>40632</v>
      </c>
      <c r="C1769" s="1">
        <v>40637</v>
      </c>
      <c r="D1769" t="s">
        <v>1522</v>
      </c>
      <c r="E1769" t="s">
        <v>51</v>
      </c>
      <c r="F1769" t="s">
        <v>317</v>
      </c>
      <c r="G1769" t="s">
        <v>1411</v>
      </c>
      <c r="H1769">
        <v>205.666</v>
      </c>
      <c r="I1769">
        <v>2</v>
      </c>
      <c r="J1769">
        <v>-12.098000000000001</v>
      </c>
      <c r="K1769">
        <v>2011</v>
      </c>
      <c r="L1769">
        <v>3</v>
      </c>
      <c r="M1769" t="s">
        <v>135</v>
      </c>
      <c r="N1769">
        <v>30</v>
      </c>
      <c r="O1769">
        <v>5</v>
      </c>
      <c r="P1769">
        <v>-5.88</v>
      </c>
      <c r="Q1769">
        <v>102.833</v>
      </c>
      <c r="R1769" t="s">
        <v>26</v>
      </c>
      <c r="S1769" t="b">
        <v>1</v>
      </c>
      <c r="T1769" t="b">
        <v>0</v>
      </c>
    </row>
    <row r="1770" spans="1:20" x14ac:dyDescent="0.3">
      <c r="A1770" t="s">
        <v>2776</v>
      </c>
      <c r="B1770" s="1">
        <v>41017</v>
      </c>
      <c r="C1770" s="1">
        <v>41019</v>
      </c>
      <c r="D1770" t="s">
        <v>2777</v>
      </c>
      <c r="E1770" t="s">
        <v>2778</v>
      </c>
      <c r="F1770" t="s">
        <v>45</v>
      </c>
      <c r="G1770" t="s">
        <v>1497</v>
      </c>
      <c r="H1770">
        <v>115.44</v>
      </c>
      <c r="I1770">
        <v>3</v>
      </c>
      <c r="J1770">
        <v>30.014399999999998</v>
      </c>
      <c r="K1770">
        <v>2012</v>
      </c>
      <c r="L1770">
        <v>4</v>
      </c>
      <c r="M1770" t="s">
        <v>236</v>
      </c>
      <c r="N1770">
        <v>18</v>
      </c>
      <c r="O1770">
        <v>2</v>
      </c>
      <c r="P1770">
        <v>26</v>
      </c>
      <c r="Q1770">
        <v>38.479999999999997</v>
      </c>
      <c r="R1770" t="s">
        <v>48</v>
      </c>
      <c r="S1770" t="b">
        <v>0</v>
      </c>
      <c r="T1770" t="b">
        <v>0</v>
      </c>
    </row>
    <row r="1771" spans="1:20" x14ac:dyDescent="0.3">
      <c r="A1771" t="s">
        <v>2779</v>
      </c>
      <c r="B1771" s="1">
        <v>40899</v>
      </c>
      <c r="C1771" s="1">
        <v>40903</v>
      </c>
      <c r="D1771" t="s">
        <v>2780</v>
      </c>
      <c r="E1771" t="s">
        <v>139</v>
      </c>
      <c r="F1771" t="s">
        <v>31</v>
      </c>
      <c r="G1771" t="s">
        <v>396</v>
      </c>
      <c r="H1771">
        <v>11.76</v>
      </c>
      <c r="I1771">
        <v>4</v>
      </c>
      <c r="J1771">
        <v>3.1751999999999998</v>
      </c>
      <c r="K1771">
        <v>2011</v>
      </c>
      <c r="L1771">
        <v>12</v>
      </c>
      <c r="M1771" t="s">
        <v>41</v>
      </c>
      <c r="N1771">
        <v>22</v>
      </c>
      <c r="O1771">
        <v>4</v>
      </c>
      <c r="P1771">
        <v>27</v>
      </c>
      <c r="Q1771">
        <v>2.94</v>
      </c>
      <c r="R1771" t="s">
        <v>26</v>
      </c>
      <c r="S1771" t="b">
        <v>0</v>
      </c>
      <c r="T1771" t="b">
        <v>0</v>
      </c>
    </row>
    <row r="1772" spans="1:20" x14ac:dyDescent="0.3">
      <c r="A1772" t="s">
        <v>2781</v>
      </c>
      <c r="B1772" s="1">
        <v>41965</v>
      </c>
      <c r="C1772" s="1">
        <v>41969</v>
      </c>
      <c r="D1772" t="s">
        <v>2612</v>
      </c>
      <c r="E1772" t="s">
        <v>51</v>
      </c>
      <c r="F1772" t="s">
        <v>31</v>
      </c>
      <c r="G1772" t="s">
        <v>396</v>
      </c>
      <c r="H1772">
        <v>11.76</v>
      </c>
      <c r="I1772">
        <v>4</v>
      </c>
      <c r="J1772">
        <v>3.1751999999999998</v>
      </c>
      <c r="K1772">
        <v>2014</v>
      </c>
      <c r="L1772">
        <v>11</v>
      </c>
      <c r="M1772" t="s">
        <v>70</v>
      </c>
      <c r="N1772">
        <v>22</v>
      </c>
      <c r="O1772">
        <v>4</v>
      </c>
      <c r="P1772">
        <v>27</v>
      </c>
      <c r="Q1772">
        <v>2.94</v>
      </c>
      <c r="R1772" t="s">
        <v>26</v>
      </c>
      <c r="S1772" t="b">
        <v>0</v>
      </c>
      <c r="T1772" t="b">
        <v>0</v>
      </c>
    </row>
    <row r="1773" spans="1:20" x14ac:dyDescent="0.3">
      <c r="A1773" t="s">
        <v>2781</v>
      </c>
      <c r="B1773" s="1">
        <v>41965</v>
      </c>
      <c r="C1773" s="1">
        <v>41969</v>
      </c>
      <c r="D1773" t="s">
        <v>2612</v>
      </c>
      <c r="E1773" t="s">
        <v>51</v>
      </c>
      <c r="F1773" t="s">
        <v>33</v>
      </c>
      <c r="G1773" t="s">
        <v>1510</v>
      </c>
      <c r="H1773">
        <v>40.735999999999997</v>
      </c>
      <c r="I1773">
        <v>2</v>
      </c>
      <c r="J1773">
        <v>14.7668</v>
      </c>
      <c r="K1773">
        <v>2014</v>
      </c>
      <c r="L1773">
        <v>11</v>
      </c>
      <c r="M1773" t="s">
        <v>70</v>
      </c>
      <c r="N1773">
        <v>22</v>
      </c>
      <c r="O1773">
        <v>4</v>
      </c>
      <c r="P1773">
        <v>36.25</v>
      </c>
      <c r="Q1773">
        <v>20.367999999999999</v>
      </c>
      <c r="R1773" t="s">
        <v>26</v>
      </c>
      <c r="S1773" t="b">
        <v>0</v>
      </c>
      <c r="T1773" t="b">
        <v>0</v>
      </c>
    </row>
    <row r="1774" spans="1:20" x14ac:dyDescent="0.3">
      <c r="A1774" t="s">
        <v>2782</v>
      </c>
      <c r="B1774" s="1">
        <v>41453</v>
      </c>
      <c r="C1774" s="1">
        <v>41455</v>
      </c>
      <c r="D1774" t="s">
        <v>2783</v>
      </c>
      <c r="E1774" t="s">
        <v>51</v>
      </c>
      <c r="F1774" t="s">
        <v>54</v>
      </c>
      <c r="G1774" t="s">
        <v>1938</v>
      </c>
      <c r="H1774">
        <v>201.584</v>
      </c>
      <c r="I1774">
        <v>2</v>
      </c>
      <c r="J1774">
        <v>12.599</v>
      </c>
      <c r="K1774">
        <v>2013</v>
      </c>
      <c r="L1774">
        <v>6</v>
      </c>
      <c r="M1774" t="s">
        <v>25</v>
      </c>
      <c r="N1774">
        <v>28</v>
      </c>
      <c r="O1774">
        <v>2</v>
      </c>
      <c r="P1774">
        <v>6.25</v>
      </c>
      <c r="Q1774">
        <v>100.792</v>
      </c>
      <c r="R1774" t="s">
        <v>26</v>
      </c>
      <c r="S1774" t="b">
        <v>0</v>
      </c>
      <c r="T1774" t="b">
        <v>0</v>
      </c>
    </row>
    <row r="1775" spans="1:20" x14ac:dyDescent="0.3">
      <c r="A1775" t="s">
        <v>2784</v>
      </c>
      <c r="B1775" s="1">
        <v>42002</v>
      </c>
      <c r="C1775" s="1">
        <v>42005</v>
      </c>
      <c r="D1775" t="s">
        <v>2785</v>
      </c>
      <c r="E1775" t="s">
        <v>231</v>
      </c>
      <c r="F1775" t="s">
        <v>110</v>
      </c>
      <c r="G1775" t="s">
        <v>2410</v>
      </c>
      <c r="H1775">
        <v>340.70400000000001</v>
      </c>
      <c r="I1775">
        <v>6</v>
      </c>
      <c r="J1775">
        <v>-34.070399999999999</v>
      </c>
      <c r="K1775">
        <v>2014</v>
      </c>
      <c r="L1775">
        <v>12</v>
      </c>
      <c r="M1775" t="s">
        <v>41</v>
      </c>
      <c r="N1775">
        <v>29</v>
      </c>
      <c r="O1775">
        <v>3</v>
      </c>
      <c r="P1775">
        <v>-10</v>
      </c>
      <c r="Q1775">
        <v>56.783999999999999</v>
      </c>
      <c r="R1775" t="s">
        <v>26</v>
      </c>
      <c r="S1775" t="b">
        <v>1</v>
      </c>
      <c r="T1775" t="b">
        <v>1</v>
      </c>
    </row>
    <row r="1776" spans="1:20" x14ac:dyDescent="0.3">
      <c r="A1776" t="s">
        <v>2786</v>
      </c>
      <c r="B1776" s="1">
        <v>41824</v>
      </c>
      <c r="C1776" s="1">
        <v>41829</v>
      </c>
      <c r="D1776" t="s">
        <v>1730</v>
      </c>
      <c r="E1776" t="s">
        <v>22</v>
      </c>
      <c r="F1776" t="s">
        <v>45</v>
      </c>
      <c r="G1776" t="s">
        <v>2787</v>
      </c>
      <c r="H1776">
        <v>87.92</v>
      </c>
      <c r="I1776">
        <v>4</v>
      </c>
      <c r="J1776">
        <v>0.87919999999999998</v>
      </c>
      <c r="K1776">
        <v>2014</v>
      </c>
      <c r="L1776">
        <v>7</v>
      </c>
      <c r="M1776" t="s">
        <v>66</v>
      </c>
      <c r="N1776">
        <v>4</v>
      </c>
      <c r="O1776">
        <v>5</v>
      </c>
      <c r="P1776">
        <v>1</v>
      </c>
      <c r="Q1776">
        <v>21.98</v>
      </c>
      <c r="R1776" t="s">
        <v>26</v>
      </c>
      <c r="S1776" t="b">
        <v>0</v>
      </c>
      <c r="T1776" t="b">
        <v>0</v>
      </c>
    </row>
    <row r="1777" spans="1:20" x14ac:dyDescent="0.3">
      <c r="A1777" t="s">
        <v>2788</v>
      </c>
      <c r="B1777" s="1">
        <v>41171</v>
      </c>
      <c r="C1777" s="1">
        <v>41174</v>
      </c>
      <c r="D1777" t="s">
        <v>821</v>
      </c>
      <c r="E1777" t="s">
        <v>22</v>
      </c>
      <c r="F1777" t="s">
        <v>72</v>
      </c>
      <c r="G1777" t="s">
        <v>389</v>
      </c>
      <c r="H1777">
        <v>22.96</v>
      </c>
      <c r="I1777">
        <v>2</v>
      </c>
      <c r="J1777">
        <v>11.250400000000001</v>
      </c>
      <c r="K1777">
        <v>2012</v>
      </c>
      <c r="L1777">
        <v>9</v>
      </c>
      <c r="M1777" t="s">
        <v>87</v>
      </c>
      <c r="N1777">
        <v>19</v>
      </c>
      <c r="O1777">
        <v>3</v>
      </c>
      <c r="P1777">
        <v>49</v>
      </c>
      <c r="Q1777">
        <v>11.48</v>
      </c>
      <c r="R1777" t="s">
        <v>26</v>
      </c>
      <c r="S1777" t="b">
        <v>0</v>
      </c>
      <c r="T1777" t="b">
        <v>0</v>
      </c>
    </row>
    <row r="1778" spans="1:20" x14ac:dyDescent="0.3">
      <c r="A1778" t="s">
        <v>2789</v>
      </c>
      <c r="B1778" s="1">
        <v>41620</v>
      </c>
      <c r="C1778" s="1">
        <v>41622</v>
      </c>
      <c r="D1778" t="s">
        <v>907</v>
      </c>
      <c r="E1778" t="s">
        <v>92</v>
      </c>
      <c r="F1778" t="s">
        <v>110</v>
      </c>
      <c r="G1778" t="s">
        <v>1204</v>
      </c>
      <c r="H1778">
        <v>403.92</v>
      </c>
      <c r="I1778">
        <v>5</v>
      </c>
      <c r="J1778">
        <v>25.245000000000001</v>
      </c>
      <c r="K1778">
        <v>2013</v>
      </c>
      <c r="L1778">
        <v>12</v>
      </c>
      <c r="M1778" t="s">
        <v>41</v>
      </c>
      <c r="N1778">
        <v>12</v>
      </c>
      <c r="O1778">
        <v>2</v>
      </c>
      <c r="P1778">
        <v>6.25</v>
      </c>
      <c r="Q1778">
        <v>80.784000000000006</v>
      </c>
      <c r="R1778" t="s">
        <v>26</v>
      </c>
      <c r="S1778" t="b">
        <v>0</v>
      </c>
      <c r="T1778" t="b">
        <v>1</v>
      </c>
    </row>
    <row r="1779" spans="1:20" x14ac:dyDescent="0.3">
      <c r="A1779" t="s">
        <v>2790</v>
      </c>
      <c r="B1779" s="1">
        <v>41987</v>
      </c>
      <c r="C1779" s="1">
        <v>41987</v>
      </c>
      <c r="D1779" t="s">
        <v>2791</v>
      </c>
      <c r="E1779" t="s">
        <v>39</v>
      </c>
      <c r="F1779" t="s">
        <v>45</v>
      </c>
      <c r="G1779" t="s">
        <v>369</v>
      </c>
      <c r="H1779">
        <v>31.44</v>
      </c>
      <c r="I1779">
        <v>3</v>
      </c>
      <c r="J1779">
        <v>8.4887999999999995</v>
      </c>
      <c r="K1779">
        <v>2014</v>
      </c>
      <c r="L1779">
        <v>12</v>
      </c>
      <c r="M1779" t="s">
        <v>41</v>
      </c>
      <c r="N1779">
        <v>14</v>
      </c>
      <c r="O1779">
        <v>0</v>
      </c>
      <c r="P1779">
        <v>27</v>
      </c>
      <c r="Q1779">
        <v>10.48</v>
      </c>
      <c r="R1779" t="s">
        <v>26</v>
      </c>
      <c r="S1779" t="b">
        <v>0</v>
      </c>
      <c r="T1779" t="b">
        <v>0</v>
      </c>
    </row>
    <row r="1780" spans="1:20" x14ac:dyDescent="0.3">
      <c r="A1780" t="s">
        <v>2792</v>
      </c>
      <c r="B1780" s="1">
        <v>41870</v>
      </c>
      <c r="C1780" s="1">
        <v>41877</v>
      </c>
      <c r="D1780" t="s">
        <v>2793</v>
      </c>
      <c r="E1780" t="s">
        <v>39</v>
      </c>
      <c r="F1780" t="s">
        <v>29</v>
      </c>
      <c r="G1780" t="s">
        <v>1472</v>
      </c>
      <c r="H1780">
        <v>65.94</v>
      </c>
      <c r="I1780">
        <v>3</v>
      </c>
      <c r="J1780">
        <v>22.419599999999999</v>
      </c>
      <c r="K1780">
        <v>2014</v>
      </c>
      <c r="L1780">
        <v>8</v>
      </c>
      <c r="M1780" t="s">
        <v>53</v>
      </c>
      <c r="N1780">
        <v>19</v>
      </c>
      <c r="O1780">
        <v>7</v>
      </c>
      <c r="P1780">
        <v>34</v>
      </c>
      <c r="Q1780">
        <v>21.98</v>
      </c>
      <c r="R1780" t="s">
        <v>26</v>
      </c>
      <c r="S1780" t="b">
        <v>0</v>
      </c>
      <c r="T1780" t="b">
        <v>0</v>
      </c>
    </row>
    <row r="1781" spans="1:20" x14ac:dyDescent="0.3">
      <c r="A1781" t="s">
        <v>2794</v>
      </c>
      <c r="B1781" s="1">
        <v>41956</v>
      </c>
      <c r="C1781" s="1">
        <v>41960</v>
      </c>
      <c r="D1781" t="s">
        <v>848</v>
      </c>
      <c r="E1781" t="s">
        <v>2795</v>
      </c>
      <c r="F1781" t="s">
        <v>119</v>
      </c>
      <c r="G1781" t="s">
        <v>155</v>
      </c>
      <c r="H1781">
        <v>18.239999999999998</v>
      </c>
      <c r="I1781">
        <v>3</v>
      </c>
      <c r="J1781">
        <v>9.1199999999999992</v>
      </c>
      <c r="K1781">
        <v>2014</v>
      </c>
      <c r="L1781">
        <v>11</v>
      </c>
      <c r="M1781" t="s">
        <v>70</v>
      </c>
      <c r="N1781">
        <v>13</v>
      </c>
      <c r="O1781">
        <v>4</v>
      </c>
      <c r="P1781">
        <v>50</v>
      </c>
      <c r="Q1781">
        <v>6.0799999999999992</v>
      </c>
      <c r="R1781" t="s">
        <v>26</v>
      </c>
      <c r="S1781" t="b">
        <v>0</v>
      </c>
      <c r="T1781" t="b">
        <v>0</v>
      </c>
    </row>
    <row r="1782" spans="1:20" x14ac:dyDescent="0.3">
      <c r="A1782" t="s">
        <v>2794</v>
      </c>
      <c r="B1782" s="1">
        <v>41956</v>
      </c>
      <c r="C1782" s="1">
        <v>41960</v>
      </c>
      <c r="D1782" t="s">
        <v>848</v>
      </c>
      <c r="E1782" t="s">
        <v>2795</v>
      </c>
      <c r="F1782" t="s">
        <v>35</v>
      </c>
      <c r="G1782" t="s">
        <v>418</v>
      </c>
      <c r="H1782">
        <v>76.12</v>
      </c>
      <c r="I1782">
        <v>2</v>
      </c>
      <c r="J1782">
        <v>22.0748</v>
      </c>
      <c r="K1782">
        <v>2014</v>
      </c>
      <c r="L1782">
        <v>11</v>
      </c>
      <c r="M1782" t="s">
        <v>70</v>
      </c>
      <c r="N1782">
        <v>13</v>
      </c>
      <c r="O1782">
        <v>4</v>
      </c>
      <c r="P1782">
        <v>29</v>
      </c>
      <c r="Q1782">
        <v>38.06</v>
      </c>
      <c r="R1782" t="s">
        <v>26</v>
      </c>
      <c r="S1782" t="b">
        <v>0</v>
      </c>
      <c r="T1782" t="b">
        <v>0</v>
      </c>
    </row>
    <row r="1783" spans="1:20" x14ac:dyDescent="0.3">
      <c r="A1783" t="s">
        <v>2796</v>
      </c>
      <c r="B1783" s="1">
        <v>40827</v>
      </c>
      <c r="C1783" s="1">
        <v>40831</v>
      </c>
      <c r="D1783" t="s">
        <v>1238</v>
      </c>
      <c r="E1783" t="s">
        <v>1520</v>
      </c>
      <c r="F1783" t="s">
        <v>128</v>
      </c>
      <c r="G1783" t="s">
        <v>728</v>
      </c>
      <c r="H1783">
        <v>7.64</v>
      </c>
      <c r="I1783">
        <v>1</v>
      </c>
      <c r="J1783">
        <v>3.7435999999999998</v>
      </c>
      <c r="K1783">
        <v>2011</v>
      </c>
      <c r="L1783">
        <v>10</v>
      </c>
      <c r="M1783" t="s">
        <v>82</v>
      </c>
      <c r="N1783">
        <v>11</v>
      </c>
      <c r="O1783">
        <v>4</v>
      </c>
      <c r="P1783">
        <v>49</v>
      </c>
      <c r="Q1783">
        <v>7.64</v>
      </c>
      <c r="R1783" t="s">
        <v>26</v>
      </c>
      <c r="S1783" t="b">
        <v>0</v>
      </c>
      <c r="T1783" t="b">
        <v>0</v>
      </c>
    </row>
    <row r="1784" spans="1:20" x14ac:dyDescent="0.3">
      <c r="A1784" t="s">
        <v>2797</v>
      </c>
      <c r="B1784" s="1">
        <v>41897</v>
      </c>
      <c r="C1784" s="1">
        <v>41901</v>
      </c>
      <c r="D1784" t="s">
        <v>2594</v>
      </c>
      <c r="E1784" t="s">
        <v>22</v>
      </c>
      <c r="F1784" t="s">
        <v>23</v>
      </c>
      <c r="G1784" t="s">
        <v>2798</v>
      </c>
      <c r="H1784">
        <v>56.7</v>
      </c>
      <c r="I1784">
        <v>9</v>
      </c>
      <c r="J1784">
        <v>26.082000000000001</v>
      </c>
      <c r="K1784">
        <v>2014</v>
      </c>
      <c r="L1784">
        <v>9</v>
      </c>
      <c r="M1784" t="s">
        <v>87</v>
      </c>
      <c r="N1784">
        <v>15</v>
      </c>
      <c r="O1784">
        <v>4</v>
      </c>
      <c r="P1784">
        <v>46</v>
      </c>
      <c r="Q1784">
        <v>6.3000000000000007</v>
      </c>
      <c r="R1784" t="s">
        <v>26</v>
      </c>
      <c r="S1784" t="b">
        <v>0</v>
      </c>
      <c r="T1784" t="b">
        <v>0</v>
      </c>
    </row>
    <row r="1785" spans="1:20" x14ac:dyDescent="0.3">
      <c r="A1785" t="s">
        <v>2799</v>
      </c>
      <c r="B1785" s="1">
        <v>41187</v>
      </c>
      <c r="C1785" s="1">
        <v>41191</v>
      </c>
      <c r="D1785" t="s">
        <v>382</v>
      </c>
      <c r="E1785" t="s">
        <v>92</v>
      </c>
      <c r="F1785" t="s">
        <v>317</v>
      </c>
      <c r="G1785" t="s">
        <v>2800</v>
      </c>
      <c r="H1785">
        <v>66.293999999999997</v>
      </c>
      <c r="I1785">
        <v>1</v>
      </c>
      <c r="J1785">
        <v>-103.86060000000001</v>
      </c>
      <c r="K1785">
        <v>2012</v>
      </c>
      <c r="L1785">
        <v>10</v>
      </c>
      <c r="M1785" t="s">
        <v>82</v>
      </c>
      <c r="N1785">
        <v>5</v>
      </c>
      <c r="O1785">
        <v>4</v>
      </c>
      <c r="P1785">
        <v>-156.66999999999999</v>
      </c>
      <c r="Q1785">
        <v>66.293999999999997</v>
      </c>
      <c r="R1785" t="s">
        <v>26</v>
      </c>
      <c r="S1785" t="b">
        <v>1</v>
      </c>
      <c r="T1785" t="b">
        <v>0</v>
      </c>
    </row>
    <row r="1786" spans="1:20" x14ac:dyDescent="0.3">
      <c r="A1786" t="s">
        <v>2799</v>
      </c>
      <c r="B1786" s="1">
        <v>41187</v>
      </c>
      <c r="C1786" s="1">
        <v>41191</v>
      </c>
      <c r="D1786" t="s">
        <v>382</v>
      </c>
      <c r="E1786" t="s">
        <v>92</v>
      </c>
      <c r="F1786" t="s">
        <v>110</v>
      </c>
      <c r="G1786" t="s">
        <v>2801</v>
      </c>
      <c r="H1786">
        <v>291.16800000000001</v>
      </c>
      <c r="I1786">
        <v>4</v>
      </c>
      <c r="J1786">
        <v>-14.558400000000001</v>
      </c>
      <c r="K1786">
        <v>2012</v>
      </c>
      <c r="L1786">
        <v>10</v>
      </c>
      <c r="M1786" t="s">
        <v>82</v>
      </c>
      <c r="N1786">
        <v>5</v>
      </c>
      <c r="O1786">
        <v>4</v>
      </c>
      <c r="P1786">
        <v>-5</v>
      </c>
      <c r="Q1786">
        <v>72.792000000000002</v>
      </c>
      <c r="R1786" t="s">
        <v>26</v>
      </c>
      <c r="S1786" t="b">
        <v>1</v>
      </c>
      <c r="T1786" t="b">
        <v>1</v>
      </c>
    </row>
    <row r="1787" spans="1:20" x14ac:dyDescent="0.3">
      <c r="A1787" t="s">
        <v>2802</v>
      </c>
      <c r="B1787" s="1">
        <v>41894</v>
      </c>
      <c r="C1787" s="1">
        <v>41894</v>
      </c>
      <c r="D1787" t="s">
        <v>2803</v>
      </c>
      <c r="E1787" t="s">
        <v>39</v>
      </c>
      <c r="F1787" t="s">
        <v>110</v>
      </c>
      <c r="G1787" t="s">
        <v>2804</v>
      </c>
      <c r="H1787">
        <v>177.56800000000001</v>
      </c>
      <c r="I1787">
        <v>2</v>
      </c>
      <c r="J1787">
        <v>8.8783999999999992</v>
      </c>
      <c r="K1787">
        <v>2014</v>
      </c>
      <c r="L1787">
        <v>9</v>
      </c>
      <c r="M1787" t="s">
        <v>87</v>
      </c>
      <c r="N1787">
        <v>12</v>
      </c>
      <c r="O1787">
        <v>0</v>
      </c>
      <c r="P1787">
        <v>5</v>
      </c>
      <c r="Q1787">
        <v>88.784000000000006</v>
      </c>
      <c r="R1787" t="s">
        <v>26</v>
      </c>
      <c r="S1787" t="b">
        <v>0</v>
      </c>
      <c r="T1787" t="b">
        <v>0</v>
      </c>
    </row>
    <row r="1788" spans="1:20" x14ac:dyDescent="0.3">
      <c r="A1788" t="s">
        <v>2802</v>
      </c>
      <c r="B1788" s="1">
        <v>41894</v>
      </c>
      <c r="C1788" s="1">
        <v>41894</v>
      </c>
      <c r="D1788" t="s">
        <v>2803</v>
      </c>
      <c r="E1788" t="s">
        <v>39</v>
      </c>
      <c r="F1788" t="s">
        <v>72</v>
      </c>
      <c r="G1788" t="s">
        <v>414</v>
      </c>
      <c r="H1788">
        <v>19.440000000000001</v>
      </c>
      <c r="I1788">
        <v>3</v>
      </c>
      <c r="J1788">
        <v>9.3312000000000008</v>
      </c>
      <c r="K1788">
        <v>2014</v>
      </c>
      <c r="L1788">
        <v>9</v>
      </c>
      <c r="M1788" t="s">
        <v>87</v>
      </c>
      <c r="N1788">
        <v>12</v>
      </c>
      <c r="O1788">
        <v>0</v>
      </c>
      <c r="P1788">
        <v>48</v>
      </c>
      <c r="Q1788">
        <v>6.48</v>
      </c>
      <c r="R1788" t="s">
        <v>26</v>
      </c>
      <c r="S1788" t="b">
        <v>0</v>
      </c>
      <c r="T1788" t="b">
        <v>0</v>
      </c>
    </row>
    <row r="1789" spans="1:20" x14ac:dyDescent="0.3">
      <c r="A1789" t="s">
        <v>2802</v>
      </c>
      <c r="B1789" s="1">
        <v>41894</v>
      </c>
      <c r="C1789" s="1">
        <v>41894</v>
      </c>
      <c r="D1789" t="s">
        <v>2803</v>
      </c>
      <c r="E1789" t="s">
        <v>39</v>
      </c>
      <c r="F1789" t="s">
        <v>72</v>
      </c>
      <c r="G1789" t="s">
        <v>415</v>
      </c>
      <c r="H1789">
        <v>71.28</v>
      </c>
      <c r="I1789">
        <v>11</v>
      </c>
      <c r="J1789">
        <v>34.214399999999998</v>
      </c>
      <c r="K1789">
        <v>2014</v>
      </c>
      <c r="L1789">
        <v>9</v>
      </c>
      <c r="M1789" t="s">
        <v>87</v>
      </c>
      <c r="N1789">
        <v>12</v>
      </c>
      <c r="O1789">
        <v>0</v>
      </c>
      <c r="P1789">
        <v>48</v>
      </c>
      <c r="Q1789">
        <v>6.48</v>
      </c>
      <c r="R1789" t="s">
        <v>26</v>
      </c>
      <c r="S1789" t="b">
        <v>0</v>
      </c>
      <c r="T1789" t="b">
        <v>0</v>
      </c>
    </row>
    <row r="1790" spans="1:20" x14ac:dyDescent="0.3">
      <c r="A1790" t="s">
        <v>2802</v>
      </c>
      <c r="B1790" s="1">
        <v>41894</v>
      </c>
      <c r="C1790" s="1">
        <v>41894</v>
      </c>
      <c r="D1790" t="s">
        <v>2803</v>
      </c>
      <c r="E1790" t="s">
        <v>39</v>
      </c>
      <c r="F1790" t="s">
        <v>54</v>
      </c>
      <c r="G1790" t="s">
        <v>2805</v>
      </c>
      <c r="H1790">
        <v>79.959999999999994</v>
      </c>
      <c r="I1790">
        <v>5</v>
      </c>
      <c r="J1790">
        <v>-17.991</v>
      </c>
      <c r="K1790">
        <v>2014</v>
      </c>
      <c r="L1790">
        <v>9</v>
      </c>
      <c r="M1790" t="s">
        <v>87</v>
      </c>
      <c r="N1790">
        <v>12</v>
      </c>
      <c r="O1790">
        <v>0</v>
      </c>
      <c r="P1790">
        <v>-22.5</v>
      </c>
      <c r="Q1790">
        <v>15.992000000000001</v>
      </c>
      <c r="R1790" t="s">
        <v>26</v>
      </c>
      <c r="S1790" t="b">
        <v>1</v>
      </c>
      <c r="T1790" t="b">
        <v>0</v>
      </c>
    </row>
    <row r="1791" spans="1:20" x14ac:dyDescent="0.3">
      <c r="A1791" t="s">
        <v>2806</v>
      </c>
      <c r="B1791" s="1">
        <v>41255</v>
      </c>
      <c r="C1791" s="1">
        <v>41259</v>
      </c>
      <c r="D1791" t="s">
        <v>2202</v>
      </c>
      <c r="E1791" t="s">
        <v>139</v>
      </c>
      <c r="F1791" t="s">
        <v>29</v>
      </c>
      <c r="G1791" t="s">
        <v>2807</v>
      </c>
      <c r="H1791">
        <v>166.5</v>
      </c>
      <c r="I1791">
        <v>3</v>
      </c>
      <c r="J1791">
        <v>21.645</v>
      </c>
      <c r="K1791">
        <v>2012</v>
      </c>
      <c r="L1791">
        <v>12</v>
      </c>
      <c r="M1791" t="s">
        <v>41</v>
      </c>
      <c r="N1791">
        <v>12</v>
      </c>
      <c r="O1791">
        <v>4</v>
      </c>
      <c r="P1791">
        <v>13</v>
      </c>
      <c r="Q1791">
        <v>55.5</v>
      </c>
      <c r="R1791" t="s">
        <v>26</v>
      </c>
      <c r="S1791" t="b">
        <v>0</v>
      </c>
      <c r="T1791" t="b">
        <v>0</v>
      </c>
    </row>
    <row r="1792" spans="1:20" x14ac:dyDescent="0.3">
      <c r="A1792" t="s">
        <v>2806</v>
      </c>
      <c r="B1792" s="1">
        <v>41255</v>
      </c>
      <c r="C1792" s="1">
        <v>41259</v>
      </c>
      <c r="D1792" t="s">
        <v>2202</v>
      </c>
      <c r="E1792" t="s">
        <v>139</v>
      </c>
      <c r="F1792" t="s">
        <v>45</v>
      </c>
      <c r="G1792" t="s">
        <v>2808</v>
      </c>
      <c r="H1792">
        <v>360.38</v>
      </c>
      <c r="I1792">
        <v>2</v>
      </c>
      <c r="J1792">
        <v>93.698800000000006</v>
      </c>
      <c r="K1792">
        <v>2012</v>
      </c>
      <c r="L1792">
        <v>12</v>
      </c>
      <c r="M1792" t="s">
        <v>41</v>
      </c>
      <c r="N1792">
        <v>12</v>
      </c>
      <c r="O1792">
        <v>4</v>
      </c>
      <c r="P1792">
        <v>26</v>
      </c>
      <c r="Q1792">
        <v>180.19</v>
      </c>
      <c r="R1792" t="s">
        <v>26</v>
      </c>
      <c r="S1792" t="b">
        <v>0</v>
      </c>
      <c r="T1792" t="b">
        <v>1</v>
      </c>
    </row>
    <row r="1793" spans="1:20" x14ac:dyDescent="0.3">
      <c r="A1793" t="s">
        <v>2809</v>
      </c>
      <c r="B1793" s="1">
        <v>41577</v>
      </c>
      <c r="C1793" s="1">
        <v>41580</v>
      </c>
      <c r="D1793" t="s">
        <v>190</v>
      </c>
      <c r="E1793" t="s">
        <v>22</v>
      </c>
      <c r="F1793" t="s">
        <v>33</v>
      </c>
      <c r="G1793" t="s">
        <v>2810</v>
      </c>
      <c r="H1793">
        <v>11.744</v>
      </c>
      <c r="I1793">
        <v>1</v>
      </c>
      <c r="J1793">
        <v>3.8168000000000002</v>
      </c>
      <c r="K1793">
        <v>2013</v>
      </c>
      <c r="L1793">
        <v>10</v>
      </c>
      <c r="M1793" t="s">
        <v>82</v>
      </c>
      <c r="N1793">
        <v>30</v>
      </c>
      <c r="O1793">
        <v>3</v>
      </c>
      <c r="P1793">
        <v>32.5</v>
      </c>
      <c r="Q1793">
        <v>11.744</v>
      </c>
      <c r="R1793" t="s">
        <v>26</v>
      </c>
      <c r="S1793" t="b">
        <v>0</v>
      </c>
      <c r="T1793" t="b">
        <v>0</v>
      </c>
    </row>
    <row r="1794" spans="1:20" x14ac:dyDescent="0.3">
      <c r="A1794" t="s">
        <v>2811</v>
      </c>
      <c r="B1794" s="1">
        <v>41603</v>
      </c>
      <c r="C1794" s="1">
        <v>41607</v>
      </c>
      <c r="D1794" t="s">
        <v>2812</v>
      </c>
      <c r="E1794" t="s">
        <v>912</v>
      </c>
      <c r="F1794" t="s">
        <v>122</v>
      </c>
      <c r="G1794" t="s">
        <v>1856</v>
      </c>
      <c r="H1794">
        <v>25.35</v>
      </c>
      <c r="I1794">
        <v>3</v>
      </c>
      <c r="J1794">
        <v>7.6050000000000004</v>
      </c>
      <c r="K1794">
        <v>2013</v>
      </c>
      <c r="L1794">
        <v>11</v>
      </c>
      <c r="M1794" t="s">
        <v>70</v>
      </c>
      <c r="N1794">
        <v>25</v>
      </c>
      <c r="O1794">
        <v>4</v>
      </c>
      <c r="P1794">
        <v>30</v>
      </c>
      <c r="Q1794">
        <v>8.4500000000000011</v>
      </c>
      <c r="R1794" t="s">
        <v>26</v>
      </c>
      <c r="S1794" t="b">
        <v>0</v>
      </c>
      <c r="T1794" t="b">
        <v>0</v>
      </c>
    </row>
    <row r="1795" spans="1:20" x14ac:dyDescent="0.3">
      <c r="A1795" t="s">
        <v>2813</v>
      </c>
      <c r="B1795" s="1">
        <v>41233</v>
      </c>
      <c r="C1795" s="1">
        <v>41238</v>
      </c>
      <c r="D1795" t="s">
        <v>1662</v>
      </c>
      <c r="E1795" t="s">
        <v>39</v>
      </c>
      <c r="F1795" t="s">
        <v>31</v>
      </c>
      <c r="G1795" t="s">
        <v>1064</v>
      </c>
      <c r="H1795">
        <v>119.04</v>
      </c>
      <c r="I1795">
        <v>6</v>
      </c>
      <c r="J1795">
        <v>30.950399999999998</v>
      </c>
      <c r="K1795">
        <v>2012</v>
      </c>
      <c r="L1795">
        <v>11</v>
      </c>
      <c r="M1795" t="s">
        <v>70</v>
      </c>
      <c r="N1795">
        <v>20</v>
      </c>
      <c r="O1795">
        <v>5</v>
      </c>
      <c r="P1795">
        <v>26</v>
      </c>
      <c r="Q1795">
        <v>19.84</v>
      </c>
      <c r="R1795" t="s">
        <v>26</v>
      </c>
      <c r="S1795" t="b">
        <v>0</v>
      </c>
      <c r="T1795" t="b">
        <v>0</v>
      </c>
    </row>
    <row r="1796" spans="1:20" x14ac:dyDescent="0.3">
      <c r="A1796" t="s">
        <v>2813</v>
      </c>
      <c r="B1796" s="1">
        <v>41233</v>
      </c>
      <c r="C1796" s="1">
        <v>41238</v>
      </c>
      <c r="D1796" t="s">
        <v>1662</v>
      </c>
      <c r="E1796" t="s">
        <v>39</v>
      </c>
      <c r="F1796" t="s">
        <v>29</v>
      </c>
      <c r="G1796" t="s">
        <v>1943</v>
      </c>
      <c r="H1796">
        <v>22.14</v>
      </c>
      <c r="I1796">
        <v>3</v>
      </c>
      <c r="J1796">
        <v>6.4206000000000003</v>
      </c>
      <c r="K1796">
        <v>2012</v>
      </c>
      <c r="L1796">
        <v>11</v>
      </c>
      <c r="M1796" t="s">
        <v>70</v>
      </c>
      <c r="N1796">
        <v>20</v>
      </c>
      <c r="O1796">
        <v>5</v>
      </c>
      <c r="P1796">
        <v>29</v>
      </c>
      <c r="Q1796">
        <v>7.38</v>
      </c>
      <c r="R1796" t="s">
        <v>26</v>
      </c>
      <c r="S1796" t="b">
        <v>0</v>
      </c>
      <c r="T1796" t="b">
        <v>0</v>
      </c>
    </row>
    <row r="1797" spans="1:20" x14ac:dyDescent="0.3">
      <c r="A1797" t="s">
        <v>2813</v>
      </c>
      <c r="B1797" s="1">
        <v>41233</v>
      </c>
      <c r="C1797" s="1">
        <v>41238</v>
      </c>
      <c r="D1797" t="s">
        <v>1662</v>
      </c>
      <c r="E1797" t="s">
        <v>39</v>
      </c>
      <c r="F1797" t="s">
        <v>61</v>
      </c>
      <c r="G1797" t="s">
        <v>2814</v>
      </c>
      <c r="H1797">
        <v>13.98</v>
      </c>
      <c r="I1797">
        <v>2</v>
      </c>
      <c r="J1797">
        <v>6.0114000000000001</v>
      </c>
      <c r="K1797">
        <v>2012</v>
      </c>
      <c r="L1797">
        <v>11</v>
      </c>
      <c r="M1797" t="s">
        <v>70</v>
      </c>
      <c r="N1797">
        <v>20</v>
      </c>
      <c r="O1797">
        <v>5</v>
      </c>
      <c r="P1797">
        <v>43</v>
      </c>
      <c r="Q1797">
        <v>6.99</v>
      </c>
      <c r="R1797" t="s">
        <v>26</v>
      </c>
      <c r="S1797" t="b">
        <v>0</v>
      </c>
      <c r="T1797" t="b">
        <v>0</v>
      </c>
    </row>
    <row r="1798" spans="1:20" x14ac:dyDescent="0.3">
      <c r="A1798" t="s">
        <v>2815</v>
      </c>
      <c r="B1798" s="1">
        <v>41041</v>
      </c>
      <c r="C1798" s="1">
        <v>41047</v>
      </c>
      <c r="D1798" t="s">
        <v>2816</v>
      </c>
      <c r="E1798" t="s">
        <v>39</v>
      </c>
      <c r="F1798" t="s">
        <v>33</v>
      </c>
      <c r="G1798" t="s">
        <v>829</v>
      </c>
      <c r="H1798">
        <v>14.592000000000001</v>
      </c>
      <c r="I1798">
        <v>3</v>
      </c>
      <c r="J1798">
        <v>4.9248000000000003</v>
      </c>
      <c r="K1798">
        <v>2012</v>
      </c>
      <c r="L1798">
        <v>5</v>
      </c>
      <c r="M1798" t="s">
        <v>47</v>
      </c>
      <c r="N1798">
        <v>12</v>
      </c>
      <c r="O1798">
        <v>6</v>
      </c>
      <c r="P1798">
        <v>33.75</v>
      </c>
      <c r="Q1798">
        <v>4.8639999999999999</v>
      </c>
      <c r="R1798" t="s">
        <v>26</v>
      </c>
      <c r="S1798" t="b">
        <v>0</v>
      </c>
      <c r="T1798" t="b">
        <v>0</v>
      </c>
    </row>
    <row r="1799" spans="1:20" x14ac:dyDescent="0.3">
      <c r="A1799" t="s">
        <v>2817</v>
      </c>
      <c r="B1799" s="1">
        <v>41976</v>
      </c>
      <c r="C1799" s="1">
        <v>41980</v>
      </c>
      <c r="D1799" t="s">
        <v>2818</v>
      </c>
      <c r="E1799" t="s">
        <v>663</v>
      </c>
      <c r="F1799" t="s">
        <v>54</v>
      </c>
      <c r="G1799" t="s">
        <v>2819</v>
      </c>
      <c r="H1799">
        <v>39.991999999999997</v>
      </c>
      <c r="I1799">
        <v>1</v>
      </c>
      <c r="J1799">
        <v>-7.9984000000000002</v>
      </c>
      <c r="K1799">
        <v>2014</v>
      </c>
      <c r="L1799">
        <v>12</v>
      </c>
      <c r="M1799" t="s">
        <v>41</v>
      </c>
      <c r="N1799">
        <v>3</v>
      </c>
      <c r="O1799">
        <v>4</v>
      </c>
      <c r="P1799">
        <v>-20</v>
      </c>
      <c r="Q1799">
        <v>39.991999999999997</v>
      </c>
      <c r="R1799" t="s">
        <v>26</v>
      </c>
      <c r="S1799" t="b">
        <v>1</v>
      </c>
      <c r="T1799" t="b">
        <v>0</v>
      </c>
    </row>
    <row r="1800" spans="1:20" x14ac:dyDescent="0.3">
      <c r="A1800" t="s">
        <v>2817</v>
      </c>
      <c r="B1800" s="1">
        <v>41976</v>
      </c>
      <c r="C1800" s="1">
        <v>41980</v>
      </c>
      <c r="D1800" t="s">
        <v>2818</v>
      </c>
      <c r="E1800" t="s">
        <v>663</v>
      </c>
      <c r="F1800" t="s">
        <v>31</v>
      </c>
      <c r="G1800" t="s">
        <v>2820</v>
      </c>
      <c r="H1800">
        <v>179.9</v>
      </c>
      <c r="I1800">
        <v>5</v>
      </c>
      <c r="J1800">
        <v>44.975000000000001</v>
      </c>
      <c r="K1800">
        <v>2014</v>
      </c>
      <c r="L1800">
        <v>12</v>
      </c>
      <c r="M1800" t="s">
        <v>41</v>
      </c>
      <c r="N1800">
        <v>3</v>
      </c>
      <c r="O1800">
        <v>4</v>
      </c>
      <c r="P1800">
        <v>25</v>
      </c>
      <c r="Q1800">
        <v>35.979999999999997</v>
      </c>
      <c r="R1800" t="s">
        <v>26</v>
      </c>
      <c r="S1800" t="b">
        <v>0</v>
      </c>
      <c r="T1800" t="b">
        <v>0</v>
      </c>
    </row>
    <row r="1801" spans="1:20" x14ac:dyDescent="0.3">
      <c r="A1801" t="s">
        <v>2821</v>
      </c>
      <c r="B1801" s="1">
        <v>41473</v>
      </c>
      <c r="C1801" s="1">
        <v>41478</v>
      </c>
      <c r="D1801" t="s">
        <v>1345</v>
      </c>
      <c r="E1801" t="s">
        <v>39</v>
      </c>
      <c r="F1801" t="s">
        <v>29</v>
      </c>
      <c r="G1801" t="s">
        <v>2822</v>
      </c>
      <c r="H1801">
        <v>12.42</v>
      </c>
      <c r="I1801">
        <v>3</v>
      </c>
      <c r="J1801">
        <v>4.4711999999999996</v>
      </c>
      <c r="K1801">
        <v>2013</v>
      </c>
      <c r="L1801">
        <v>7</v>
      </c>
      <c r="M1801" t="s">
        <v>66</v>
      </c>
      <c r="N1801">
        <v>18</v>
      </c>
      <c r="O1801">
        <v>5</v>
      </c>
      <c r="P1801">
        <v>36</v>
      </c>
      <c r="Q1801">
        <v>4.1399999999999997</v>
      </c>
      <c r="R1801" t="s">
        <v>26</v>
      </c>
      <c r="S1801" t="b">
        <v>0</v>
      </c>
      <c r="T1801" t="b">
        <v>0</v>
      </c>
    </row>
    <row r="1802" spans="1:20" x14ac:dyDescent="0.3">
      <c r="A1802" t="s">
        <v>2821</v>
      </c>
      <c r="B1802" s="1">
        <v>41473</v>
      </c>
      <c r="C1802" s="1">
        <v>41478</v>
      </c>
      <c r="D1802" t="s">
        <v>1345</v>
      </c>
      <c r="E1802" t="s">
        <v>39</v>
      </c>
      <c r="F1802" t="s">
        <v>61</v>
      </c>
      <c r="G1802" t="s">
        <v>2823</v>
      </c>
      <c r="H1802">
        <v>428.4</v>
      </c>
      <c r="I1802">
        <v>3</v>
      </c>
      <c r="J1802">
        <v>89.963999999999999</v>
      </c>
      <c r="K1802">
        <v>2013</v>
      </c>
      <c r="L1802">
        <v>7</v>
      </c>
      <c r="M1802" t="s">
        <v>66</v>
      </c>
      <c r="N1802">
        <v>18</v>
      </c>
      <c r="O1802">
        <v>5</v>
      </c>
      <c r="P1802">
        <v>21</v>
      </c>
      <c r="Q1802">
        <v>142.80000000000001</v>
      </c>
      <c r="R1802" t="s">
        <v>26</v>
      </c>
      <c r="S1802" t="b">
        <v>0</v>
      </c>
      <c r="T1802" t="b">
        <v>1</v>
      </c>
    </row>
    <row r="1803" spans="1:20" x14ac:dyDescent="0.3">
      <c r="A1803" t="s">
        <v>2821</v>
      </c>
      <c r="B1803" s="1">
        <v>41473</v>
      </c>
      <c r="C1803" s="1">
        <v>41478</v>
      </c>
      <c r="D1803" t="s">
        <v>1345</v>
      </c>
      <c r="E1803" t="s">
        <v>39</v>
      </c>
      <c r="F1803" t="s">
        <v>29</v>
      </c>
      <c r="G1803" t="s">
        <v>1905</v>
      </c>
      <c r="H1803">
        <v>24.75</v>
      </c>
      <c r="I1803">
        <v>5</v>
      </c>
      <c r="J1803">
        <v>10.89</v>
      </c>
      <c r="K1803">
        <v>2013</v>
      </c>
      <c r="L1803">
        <v>7</v>
      </c>
      <c r="M1803" t="s">
        <v>66</v>
      </c>
      <c r="N1803">
        <v>18</v>
      </c>
      <c r="O1803">
        <v>5</v>
      </c>
      <c r="P1803">
        <v>44</v>
      </c>
      <c r="Q1803">
        <v>4.95</v>
      </c>
      <c r="R1803" t="s">
        <v>26</v>
      </c>
      <c r="S1803" t="b">
        <v>0</v>
      </c>
      <c r="T1803" t="b">
        <v>0</v>
      </c>
    </row>
    <row r="1804" spans="1:20" x14ac:dyDescent="0.3">
      <c r="A1804" t="s">
        <v>2821</v>
      </c>
      <c r="B1804" s="1">
        <v>41473</v>
      </c>
      <c r="C1804" s="1">
        <v>41478</v>
      </c>
      <c r="D1804" t="s">
        <v>1345</v>
      </c>
      <c r="E1804" t="s">
        <v>39</v>
      </c>
      <c r="F1804" t="s">
        <v>23</v>
      </c>
      <c r="G1804" t="s">
        <v>2824</v>
      </c>
      <c r="H1804">
        <v>87.71</v>
      </c>
      <c r="I1804">
        <v>7</v>
      </c>
      <c r="J1804">
        <v>41.223700000000001</v>
      </c>
      <c r="K1804">
        <v>2013</v>
      </c>
      <c r="L1804">
        <v>7</v>
      </c>
      <c r="M1804" t="s">
        <v>66</v>
      </c>
      <c r="N1804">
        <v>18</v>
      </c>
      <c r="O1804">
        <v>5</v>
      </c>
      <c r="P1804">
        <v>47</v>
      </c>
      <c r="Q1804">
        <v>12.53</v>
      </c>
      <c r="R1804" t="s">
        <v>26</v>
      </c>
      <c r="S1804" t="b">
        <v>0</v>
      </c>
      <c r="T1804" t="b">
        <v>0</v>
      </c>
    </row>
    <row r="1805" spans="1:20" x14ac:dyDescent="0.3">
      <c r="A1805" t="s">
        <v>2821</v>
      </c>
      <c r="B1805" s="1">
        <v>41473</v>
      </c>
      <c r="C1805" s="1">
        <v>41478</v>
      </c>
      <c r="D1805" t="s">
        <v>1345</v>
      </c>
      <c r="E1805" t="s">
        <v>39</v>
      </c>
      <c r="F1805" t="s">
        <v>45</v>
      </c>
      <c r="G1805" t="s">
        <v>984</v>
      </c>
      <c r="H1805">
        <v>69.52</v>
      </c>
      <c r="I1805">
        <v>2</v>
      </c>
      <c r="J1805">
        <v>17.38</v>
      </c>
      <c r="K1805">
        <v>2013</v>
      </c>
      <c r="L1805">
        <v>7</v>
      </c>
      <c r="M1805" t="s">
        <v>66</v>
      </c>
      <c r="N1805">
        <v>18</v>
      </c>
      <c r="O1805">
        <v>5</v>
      </c>
      <c r="P1805">
        <v>25</v>
      </c>
      <c r="Q1805">
        <v>34.76</v>
      </c>
      <c r="R1805" t="s">
        <v>26</v>
      </c>
      <c r="S1805" t="b">
        <v>0</v>
      </c>
      <c r="T1805" t="b">
        <v>0</v>
      </c>
    </row>
    <row r="1806" spans="1:20" x14ac:dyDescent="0.3">
      <c r="A1806" t="s">
        <v>2821</v>
      </c>
      <c r="B1806" s="1">
        <v>41473</v>
      </c>
      <c r="C1806" s="1">
        <v>41478</v>
      </c>
      <c r="D1806" t="s">
        <v>1345</v>
      </c>
      <c r="E1806" t="s">
        <v>39</v>
      </c>
      <c r="F1806" t="s">
        <v>54</v>
      </c>
      <c r="G1806" t="s">
        <v>2825</v>
      </c>
      <c r="H1806">
        <v>20.783999999999999</v>
      </c>
      <c r="I1806">
        <v>2</v>
      </c>
      <c r="J1806">
        <v>-4.6764000000000001</v>
      </c>
      <c r="K1806">
        <v>2013</v>
      </c>
      <c r="L1806">
        <v>7</v>
      </c>
      <c r="M1806" t="s">
        <v>66</v>
      </c>
      <c r="N1806">
        <v>18</v>
      </c>
      <c r="O1806">
        <v>5</v>
      </c>
      <c r="P1806">
        <v>-22.5</v>
      </c>
      <c r="Q1806">
        <v>10.391999999999999</v>
      </c>
      <c r="R1806" t="s">
        <v>26</v>
      </c>
      <c r="S1806" t="b">
        <v>1</v>
      </c>
      <c r="T1806" t="b">
        <v>0</v>
      </c>
    </row>
    <row r="1807" spans="1:20" x14ac:dyDescent="0.3">
      <c r="A1807" t="s">
        <v>2821</v>
      </c>
      <c r="B1807" s="1">
        <v>41473</v>
      </c>
      <c r="C1807" s="1">
        <v>41478</v>
      </c>
      <c r="D1807" t="s">
        <v>1345</v>
      </c>
      <c r="E1807" t="s">
        <v>39</v>
      </c>
      <c r="F1807" t="s">
        <v>33</v>
      </c>
      <c r="G1807" t="s">
        <v>805</v>
      </c>
      <c r="H1807">
        <v>12.816000000000001</v>
      </c>
      <c r="I1807">
        <v>3</v>
      </c>
      <c r="J1807">
        <v>4.1651999999999996</v>
      </c>
      <c r="K1807">
        <v>2013</v>
      </c>
      <c r="L1807">
        <v>7</v>
      </c>
      <c r="M1807" t="s">
        <v>66</v>
      </c>
      <c r="N1807">
        <v>18</v>
      </c>
      <c r="O1807">
        <v>5</v>
      </c>
      <c r="P1807">
        <v>32.5</v>
      </c>
      <c r="Q1807">
        <v>4.2720000000000002</v>
      </c>
      <c r="R1807" t="s">
        <v>26</v>
      </c>
      <c r="S1807" t="b">
        <v>0</v>
      </c>
      <c r="T1807" t="b">
        <v>0</v>
      </c>
    </row>
    <row r="1808" spans="1:20" x14ac:dyDescent="0.3">
      <c r="A1808" t="s">
        <v>2826</v>
      </c>
      <c r="B1808" s="1">
        <v>41542</v>
      </c>
      <c r="C1808" s="1">
        <v>41546</v>
      </c>
      <c r="D1808" t="s">
        <v>2294</v>
      </c>
      <c r="E1808" t="s">
        <v>22</v>
      </c>
      <c r="F1808" t="s">
        <v>128</v>
      </c>
      <c r="G1808" t="s">
        <v>2250</v>
      </c>
      <c r="H1808">
        <v>304.89999999999998</v>
      </c>
      <c r="I1808">
        <v>5</v>
      </c>
      <c r="J1808">
        <v>143.303</v>
      </c>
      <c r="K1808">
        <v>2013</v>
      </c>
      <c r="L1808">
        <v>9</v>
      </c>
      <c r="M1808" t="s">
        <v>87</v>
      </c>
      <c r="N1808">
        <v>25</v>
      </c>
      <c r="O1808">
        <v>4</v>
      </c>
      <c r="P1808">
        <v>47</v>
      </c>
      <c r="Q1808">
        <v>60.98</v>
      </c>
      <c r="R1808" t="s">
        <v>26</v>
      </c>
      <c r="S1808" t="b">
        <v>0</v>
      </c>
      <c r="T1808" t="b">
        <v>1</v>
      </c>
    </row>
    <row r="1809" spans="1:20" x14ac:dyDescent="0.3">
      <c r="A1809" t="s">
        <v>2827</v>
      </c>
      <c r="B1809" s="1">
        <v>40732</v>
      </c>
      <c r="C1809" s="1">
        <v>40736</v>
      </c>
      <c r="D1809" t="s">
        <v>1156</v>
      </c>
      <c r="E1809" t="s">
        <v>51</v>
      </c>
      <c r="F1809" t="s">
        <v>174</v>
      </c>
      <c r="G1809" t="s">
        <v>2828</v>
      </c>
      <c r="H1809">
        <v>502.488</v>
      </c>
      <c r="I1809">
        <v>3</v>
      </c>
      <c r="J1809">
        <v>-87.935400000000001</v>
      </c>
      <c r="K1809">
        <v>2011</v>
      </c>
      <c r="L1809">
        <v>7</v>
      </c>
      <c r="M1809" t="s">
        <v>66</v>
      </c>
      <c r="N1809">
        <v>8</v>
      </c>
      <c r="O1809">
        <v>4</v>
      </c>
      <c r="P1809">
        <v>-17.5</v>
      </c>
      <c r="Q1809">
        <v>167.49600000000001</v>
      </c>
      <c r="R1809" t="s">
        <v>26</v>
      </c>
      <c r="S1809" t="b">
        <v>1</v>
      </c>
      <c r="T1809" t="b">
        <v>1</v>
      </c>
    </row>
    <row r="1810" spans="1:20" x14ac:dyDescent="0.3">
      <c r="A1810" t="s">
        <v>2827</v>
      </c>
      <c r="B1810" s="1">
        <v>40732</v>
      </c>
      <c r="C1810" s="1">
        <v>40736</v>
      </c>
      <c r="D1810" t="s">
        <v>1156</v>
      </c>
      <c r="E1810" t="s">
        <v>51</v>
      </c>
      <c r="F1810" t="s">
        <v>33</v>
      </c>
      <c r="G1810" t="s">
        <v>642</v>
      </c>
      <c r="H1810">
        <v>196.70400000000001</v>
      </c>
      <c r="I1810">
        <v>6</v>
      </c>
      <c r="J1810">
        <v>68.846400000000003</v>
      </c>
      <c r="K1810">
        <v>2011</v>
      </c>
      <c r="L1810">
        <v>7</v>
      </c>
      <c r="M1810" t="s">
        <v>66</v>
      </c>
      <c r="N1810">
        <v>8</v>
      </c>
      <c r="O1810">
        <v>4</v>
      </c>
      <c r="P1810">
        <v>35</v>
      </c>
      <c r="Q1810">
        <v>32.783999999999999</v>
      </c>
      <c r="R1810" t="s">
        <v>26</v>
      </c>
      <c r="S1810" t="b">
        <v>0</v>
      </c>
      <c r="T1810" t="b">
        <v>0</v>
      </c>
    </row>
    <row r="1811" spans="1:20" x14ac:dyDescent="0.3">
      <c r="A1811" t="s">
        <v>2829</v>
      </c>
      <c r="B1811" s="1">
        <v>40981</v>
      </c>
      <c r="C1811" s="1">
        <v>40986</v>
      </c>
      <c r="D1811" t="s">
        <v>2052</v>
      </c>
      <c r="E1811" t="s">
        <v>2652</v>
      </c>
      <c r="F1811" t="s">
        <v>29</v>
      </c>
      <c r="G1811" t="s">
        <v>420</v>
      </c>
      <c r="H1811">
        <v>327.76</v>
      </c>
      <c r="I1811">
        <v>8</v>
      </c>
      <c r="J1811">
        <v>91.772800000000004</v>
      </c>
      <c r="K1811">
        <v>2012</v>
      </c>
      <c r="L1811">
        <v>3</v>
      </c>
      <c r="M1811" t="s">
        <v>135</v>
      </c>
      <c r="N1811">
        <v>13</v>
      </c>
      <c r="O1811">
        <v>5</v>
      </c>
      <c r="P1811">
        <v>28</v>
      </c>
      <c r="Q1811">
        <v>40.97</v>
      </c>
      <c r="R1811" t="s">
        <v>26</v>
      </c>
      <c r="S1811" t="b">
        <v>0</v>
      </c>
      <c r="T1811" t="b">
        <v>1</v>
      </c>
    </row>
    <row r="1812" spans="1:20" x14ac:dyDescent="0.3">
      <c r="A1812" t="s">
        <v>2830</v>
      </c>
      <c r="B1812" s="1">
        <v>41021</v>
      </c>
      <c r="C1812" s="1">
        <v>41025</v>
      </c>
      <c r="D1812" t="s">
        <v>2831</v>
      </c>
      <c r="E1812" t="s">
        <v>22</v>
      </c>
      <c r="F1812" t="s">
        <v>54</v>
      </c>
      <c r="G1812" t="s">
        <v>587</v>
      </c>
      <c r="H1812">
        <v>88.775999999999996</v>
      </c>
      <c r="I1812">
        <v>3</v>
      </c>
      <c r="J1812">
        <v>7.7679</v>
      </c>
      <c r="K1812">
        <v>2012</v>
      </c>
      <c r="L1812">
        <v>4</v>
      </c>
      <c r="M1812" t="s">
        <v>236</v>
      </c>
      <c r="N1812">
        <v>22</v>
      </c>
      <c r="O1812">
        <v>4</v>
      </c>
      <c r="P1812">
        <v>8.75</v>
      </c>
      <c r="Q1812">
        <v>29.591999999999999</v>
      </c>
      <c r="R1812" t="s">
        <v>26</v>
      </c>
      <c r="S1812" t="b">
        <v>0</v>
      </c>
      <c r="T1812" t="b">
        <v>0</v>
      </c>
    </row>
    <row r="1813" spans="1:20" x14ac:dyDescent="0.3">
      <c r="A1813" t="s">
        <v>2830</v>
      </c>
      <c r="B1813" s="1">
        <v>41021</v>
      </c>
      <c r="C1813" s="1">
        <v>41025</v>
      </c>
      <c r="D1813" t="s">
        <v>2831</v>
      </c>
      <c r="E1813" t="s">
        <v>22</v>
      </c>
      <c r="F1813" t="s">
        <v>31</v>
      </c>
      <c r="G1813" t="s">
        <v>2832</v>
      </c>
      <c r="H1813">
        <v>64.14</v>
      </c>
      <c r="I1813">
        <v>3</v>
      </c>
      <c r="J1813">
        <v>16.676400000000001</v>
      </c>
      <c r="K1813">
        <v>2012</v>
      </c>
      <c r="L1813">
        <v>4</v>
      </c>
      <c r="M1813" t="s">
        <v>236</v>
      </c>
      <c r="N1813">
        <v>22</v>
      </c>
      <c r="O1813">
        <v>4</v>
      </c>
      <c r="P1813">
        <v>26</v>
      </c>
      <c r="Q1813">
        <v>21.38</v>
      </c>
      <c r="R1813" t="s">
        <v>26</v>
      </c>
      <c r="S1813" t="b">
        <v>0</v>
      </c>
      <c r="T1813" t="b">
        <v>0</v>
      </c>
    </row>
    <row r="1814" spans="1:20" x14ac:dyDescent="0.3">
      <c r="A1814" t="s">
        <v>2833</v>
      </c>
      <c r="B1814" s="1">
        <v>40837</v>
      </c>
      <c r="C1814" s="1">
        <v>40842</v>
      </c>
      <c r="D1814" t="s">
        <v>2834</v>
      </c>
      <c r="E1814" t="s">
        <v>194</v>
      </c>
      <c r="F1814" t="s">
        <v>33</v>
      </c>
      <c r="G1814" t="s">
        <v>2835</v>
      </c>
      <c r="H1814">
        <v>36.36</v>
      </c>
      <c r="I1814">
        <v>3</v>
      </c>
      <c r="J1814">
        <v>12.2715</v>
      </c>
      <c r="K1814">
        <v>2011</v>
      </c>
      <c r="L1814">
        <v>10</v>
      </c>
      <c r="M1814" t="s">
        <v>82</v>
      </c>
      <c r="N1814">
        <v>21</v>
      </c>
      <c r="O1814">
        <v>5</v>
      </c>
      <c r="P1814">
        <v>33.75</v>
      </c>
      <c r="Q1814">
        <v>12.12</v>
      </c>
      <c r="R1814" t="s">
        <v>26</v>
      </c>
      <c r="S1814" t="b">
        <v>0</v>
      </c>
      <c r="T1814" t="b">
        <v>0</v>
      </c>
    </row>
    <row r="1815" spans="1:20" x14ac:dyDescent="0.3">
      <c r="A1815" t="s">
        <v>2836</v>
      </c>
      <c r="B1815" s="1">
        <v>41974</v>
      </c>
      <c r="C1815" s="1">
        <v>41977</v>
      </c>
      <c r="D1815" t="s">
        <v>1289</v>
      </c>
      <c r="E1815" t="s">
        <v>51</v>
      </c>
      <c r="F1815" t="s">
        <v>29</v>
      </c>
      <c r="G1815" t="s">
        <v>2837</v>
      </c>
      <c r="H1815">
        <v>25.83</v>
      </c>
      <c r="I1815">
        <v>3</v>
      </c>
      <c r="J1815">
        <v>9.5571000000000002</v>
      </c>
      <c r="K1815">
        <v>2014</v>
      </c>
      <c r="L1815">
        <v>12</v>
      </c>
      <c r="M1815" t="s">
        <v>41</v>
      </c>
      <c r="N1815">
        <v>1</v>
      </c>
      <c r="O1815">
        <v>3</v>
      </c>
      <c r="P1815">
        <v>37</v>
      </c>
      <c r="Q1815">
        <v>8.61</v>
      </c>
      <c r="R1815" t="s">
        <v>26</v>
      </c>
      <c r="S1815" t="b">
        <v>0</v>
      </c>
      <c r="T1815" t="b">
        <v>0</v>
      </c>
    </row>
    <row r="1816" spans="1:20" x14ac:dyDescent="0.3">
      <c r="A1816" t="s">
        <v>2838</v>
      </c>
      <c r="B1816" s="1">
        <v>41583</v>
      </c>
      <c r="C1816" s="1">
        <v>41585</v>
      </c>
      <c r="D1816" t="s">
        <v>2007</v>
      </c>
      <c r="E1816" t="s">
        <v>2839</v>
      </c>
      <c r="F1816" t="s">
        <v>122</v>
      </c>
      <c r="G1816" t="s">
        <v>1902</v>
      </c>
      <c r="H1816">
        <v>17.584</v>
      </c>
      <c r="I1816">
        <v>7</v>
      </c>
      <c r="J1816">
        <v>-4.1761999999999997</v>
      </c>
      <c r="K1816">
        <v>2013</v>
      </c>
      <c r="L1816">
        <v>11</v>
      </c>
      <c r="M1816" t="s">
        <v>70</v>
      </c>
      <c r="N1816">
        <v>5</v>
      </c>
      <c r="O1816">
        <v>2</v>
      </c>
      <c r="P1816">
        <v>-23.75</v>
      </c>
      <c r="Q1816">
        <v>2.512</v>
      </c>
      <c r="R1816" t="s">
        <v>26</v>
      </c>
      <c r="S1816" t="b">
        <v>1</v>
      </c>
      <c r="T1816" t="b">
        <v>0</v>
      </c>
    </row>
    <row r="1817" spans="1:20" x14ac:dyDescent="0.3">
      <c r="A1817" t="s">
        <v>2838</v>
      </c>
      <c r="B1817" s="1">
        <v>41583</v>
      </c>
      <c r="C1817" s="1">
        <v>41585</v>
      </c>
      <c r="D1817" t="s">
        <v>2007</v>
      </c>
      <c r="E1817" t="s">
        <v>2839</v>
      </c>
      <c r="F1817" t="s">
        <v>110</v>
      </c>
      <c r="G1817" t="s">
        <v>2840</v>
      </c>
      <c r="H1817">
        <v>104.78400000000001</v>
      </c>
      <c r="I1817">
        <v>1</v>
      </c>
      <c r="J1817">
        <v>-14.4078</v>
      </c>
      <c r="K1817">
        <v>2013</v>
      </c>
      <c r="L1817">
        <v>11</v>
      </c>
      <c r="M1817" t="s">
        <v>70</v>
      </c>
      <c r="N1817">
        <v>5</v>
      </c>
      <c r="O1817">
        <v>2</v>
      </c>
      <c r="P1817">
        <v>-13.75</v>
      </c>
      <c r="Q1817">
        <v>104.78400000000001</v>
      </c>
      <c r="R1817" t="s">
        <v>26</v>
      </c>
      <c r="S1817" t="b">
        <v>1</v>
      </c>
      <c r="T1817" t="b">
        <v>0</v>
      </c>
    </row>
    <row r="1818" spans="1:20" x14ac:dyDescent="0.3">
      <c r="A1818" t="s">
        <v>2838</v>
      </c>
      <c r="B1818" s="1">
        <v>41583</v>
      </c>
      <c r="C1818" s="1">
        <v>41585</v>
      </c>
      <c r="D1818" t="s">
        <v>2007</v>
      </c>
      <c r="E1818" t="s">
        <v>2839</v>
      </c>
      <c r="F1818" t="s">
        <v>72</v>
      </c>
      <c r="G1818" t="s">
        <v>2841</v>
      </c>
      <c r="H1818">
        <v>47.951999999999998</v>
      </c>
      <c r="I1818">
        <v>3</v>
      </c>
      <c r="J1818">
        <v>16.783200000000001</v>
      </c>
      <c r="K1818">
        <v>2013</v>
      </c>
      <c r="L1818">
        <v>11</v>
      </c>
      <c r="M1818" t="s">
        <v>70</v>
      </c>
      <c r="N1818">
        <v>5</v>
      </c>
      <c r="O1818">
        <v>2</v>
      </c>
      <c r="P1818">
        <v>35</v>
      </c>
      <c r="Q1818">
        <v>15.984</v>
      </c>
      <c r="R1818" t="s">
        <v>26</v>
      </c>
      <c r="S1818" t="b">
        <v>0</v>
      </c>
      <c r="T1818" t="b">
        <v>0</v>
      </c>
    </row>
    <row r="1819" spans="1:20" x14ac:dyDescent="0.3">
      <c r="A1819" t="s">
        <v>2838</v>
      </c>
      <c r="B1819" s="1">
        <v>41583</v>
      </c>
      <c r="C1819" s="1">
        <v>41585</v>
      </c>
      <c r="D1819" t="s">
        <v>2007</v>
      </c>
      <c r="E1819" t="s">
        <v>2839</v>
      </c>
      <c r="F1819" t="s">
        <v>72</v>
      </c>
      <c r="G1819" t="s">
        <v>988</v>
      </c>
      <c r="H1819">
        <v>15.176</v>
      </c>
      <c r="I1819">
        <v>1</v>
      </c>
      <c r="J1819">
        <v>5.3116000000000003</v>
      </c>
      <c r="K1819">
        <v>2013</v>
      </c>
      <c r="L1819">
        <v>11</v>
      </c>
      <c r="M1819" t="s">
        <v>70</v>
      </c>
      <c r="N1819">
        <v>5</v>
      </c>
      <c r="O1819">
        <v>2</v>
      </c>
      <c r="P1819">
        <v>35</v>
      </c>
      <c r="Q1819">
        <v>15.176</v>
      </c>
      <c r="R1819" t="s">
        <v>26</v>
      </c>
      <c r="S1819" t="b">
        <v>0</v>
      </c>
      <c r="T1819" t="b">
        <v>0</v>
      </c>
    </row>
    <row r="1820" spans="1:20" x14ac:dyDescent="0.3">
      <c r="A1820" t="s">
        <v>2842</v>
      </c>
      <c r="B1820" s="1">
        <v>40797</v>
      </c>
      <c r="C1820" s="1">
        <v>40802</v>
      </c>
      <c r="D1820" t="s">
        <v>2843</v>
      </c>
      <c r="E1820" t="s">
        <v>2844</v>
      </c>
      <c r="F1820" t="s">
        <v>29</v>
      </c>
      <c r="G1820" t="s">
        <v>101</v>
      </c>
      <c r="H1820">
        <v>127.95</v>
      </c>
      <c r="I1820">
        <v>3</v>
      </c>
      <c r="J1820">
        <v>21.7515</v>
      </c>
      <c r="K1820">
        <v>2011</v>
      </c>
      <c r="L1820">
        <v>9</v>
      </c>
      <c r="M1820" t="s">
        <v>87</v>
      </c>
      <c r="N1820">
        <v>11</v>
      </c>
      <c r="O1820">
        <v>5</v>
      </c>
      <c r="P1820">
        <v>17</v>
      </c>
      <c r="Q1820">
        <v>42.65</v>
      </c>
      <c r="R1820" t="s">
        <v>48</v>
      </c>
      <c r="S1820" t="b">
        <v>0</v>
      </c>
      <c r="T1820" t="b">
        <v>0</v>
      </c>
    </row>
    <row r="1821" spans="1:20" x14ac:dyDescent="0.3">
      <c r="A1821" t="s">
        <v>2845</v>
      </c>
      <c r="B1821" s="1">
        <v>41969</v>
      </c>
      <c r="C1821" s="1">
        <v>41973</v>
      </c>
      <c r="D1821" t="s">
        <v>918</v>
      </c>
      <c r="E1821" t="s">
        <v>904</v>
      </c>
      <c r="F1821" t="s">
        <v>54</v>
      </c>
      <c r="G1821" t="s">
        <v>2048</v>
      </c>
      <c r="H1821">
        <v>39.96</v>
      </c>
      <c r="I1821">
        <v>5</v>
      </c>
      <c r="J1821">
        <v>3.4965000000000002</v>
      </c>
      <c r="K1821">
        <v>2014</v>
      </c>
      <c r="L1821">
        <v>11</v>
      </c>
      <c r="M1821" t="s">
        <v>70</v>
      </c>
      <c r="N1821">
        <v>26</v>
      </c>
      <c r="O1821">
        <v>4</v>
      </c>
      <c r="P1821">
        <v>8.75</v>
      </c>
      <c r="Q1821">
        <v>7.992</v>
      </c>
      <c r="R1821" t="s">
        <v>26</v>
      </c>
      <c r="S1821" t="b">
        <v>0</v>
      </c>
      <c r="T1821" t="b">
        <v>0</v>
      </c>
    </row>
    <row r="1822" spans="1:20" x14ac:dyDescent="0.3">
      <c r="A1822" t="s">
        <v>2845</v>
      </c>
      <c r="B1822" s="1">
        <v>41969</v>
      </c>
      <c r="C1822" s="1">
        <v>41973</v>
      </c>
      <c r="D1822" t="s">
        <v>918</v>
      </c>
      <c r="E1822" t="s">
        <v>904</v>
      </c>
      <c r="F1822" t="s">
        <v>72</v>
      </c>
      <c r="G1822" t="s">
        <v>943</v>
      </c>
      <c r="H1822">
        <v>34.08</v>
      </c>
      <c r="I1822">
        <v>6</v>
      </c>
      <c r="J1822">
        <v>15.336</v>
      </c>
      <c r="K1822">
        <v>2014</v>
      </c>
      <c r="L1822">
        <v>11</v>
      </c>
      <c r="M1822" t="s">
        <v>70</v>
      </c>
      <c r="N1822">
        <v>26</v>
      </c>
      <c r="O1822">
        <v>4</v>
      </c>
      <c r="P1822">
        <v>45</v>
      </c>
      <c r="Q1822">
        <v>5.68</v>
      </c>
      <c r="R1822" t="s">
        <v>26</v>
      </c>
      <c r="S1822" t="b">
        <v>0</v>
      </c>
      <c r="T1822" t="b">
        <v>0</v>
      </c>
    </row>
    <row r="1823" spans="1:20" x14ac:dyDescent="0.3">
      <c r="A1823" t="s">
        <v>2846</v>
      </c>
      <c r="B1823" s="1">
        <v>41211</v>
      </c>
      <c r="C1823" s="1">
        <v>41215</v>
      </c>
      <c r="D1823" t="s">
        <v>2847</v>
      </c>
      <c r="E1823" t="s">
        <v>51</v>
      </c>
      <c r="F1823" t="s">
        <v>72</v>
      </c>
      <c r="G1823" t="s">
        <v>764</v>
      </c>
      <c r="H1823">
        <v>33.4</v>
      </c>
      <c r="I1823">
        <v>5</v>
      </c>
      <c r="J1823">
        <v>16.032</v>
      </c>
      <c r="K1823">
        <v>2012</v>
      </c>
      <c r="L1823">
        <v>10</v>
      </c>
      <c r="M1823" t="s">
        <v>82</v>
      </c>
      <c r="N1823">
        <v>29</v>
      </c>
      <c r="O1823">
        <v>4</v>
      </c>
      <c r="P1823">
        <v>48</v>
      </c>
      <c r="Q1823">
        <v>6.68</v>
      </c>
      <c r="R1823" t="s">
        <v>26</v>
      </c>
      <c r="S1823" t="b">
        <v>0</v>
      </c>
      <c r="T1823" t="b">
        <v>0</v>
      </c>
    </row>
    <row r="1824" spans="1:20" x14ac:dyDescent="0.3">
      <c r="A1824" t="s">
        <v>2846</v>
      </c>
      <c r="B1824" s="1">
        <v>41211</v>
      </c>
      <c r="C1824" s="1">
        <v>41215</v>
      </c>
      <c r="D1824" t="s">
        <v>2847</v>
      </c>
      <c r="E1824" t="s">
        <v>51</v>
      </c>
      <c r="F1824" t="s">
        <v>128</v>
      </c>
      <c r="G1824" t="s">
        <v>2420</v>
      </c>
      <c r="H1824">
        <v>210.84</v>
      </c>
      <c r="I1824">
        <v>4</v>
      </c>
      <c r="J1824">
        <v>103.3116</v>
      </c>
      <c r="K1824">
        <v>2012</v>
      </c>
      <c r="L1824">
        <v>10</v>
      </c>
      <c r="M1824" t="s">
        <v>82</v>
      </c>
      <c r="N1824">
        <v>29</v>
      </c>
      <c r="O1824">
        <v>4</v>
      </c>
      <c r="P1824">
        <v>49</v>
      </c>
      <c r="Q1824">
        <v>52.71</v>
      </c>
      <c r="R1824" t="s">
        <v>26</v>
      </c>
      <c r="S1824" t="b">
        <v>0</v>
      </c>
      <c r="T1824" t="b">
        <v>0</v>
      </c>
    </row>
    <row r="1825" spans="1:20" x14ac:dyDescent="0.3">
      <c r="A1825" t="s">
        <v>2848</v>
      </c>
      <c r="B1825" s="1">
        <v>41517</v>
      </c>
      <c r="C1825" s="1">
        <v>41524</v>
      </c>
      <c r="D1825" t="s">
        <v>2024</v>
      </c>
      <c r="E1825" t="s">
        <v>22</v>
      </c>
      <c r="F1825" t="s">
        <v>29</v>
      </c>
      <c r="G1825" t="s">
        <v>1980</v>
      </c>
      <c r="H1825">
        <v>47.04</v>
      </c>
      <c r="I1825">
        <v>4</v>
      </c>
      <c r="J1825">
        <v>15.993600000000001</v>
      </c>
      <c r="K1825">
        <v>2013</v>
      </c>
      <c r="L1825">
        <v>8</v>
      </c>
      <c r="M1825" t="s">
        <v>53</v>
      </c>
      <c r="N1825">
        <v>31</v>
      </c>
      <c r="O1825">
        <v>7</v>
      </c>
      <c r="P1825">
        <v>34</v>
      </c>
      <c r="Q1825">
        <v>11.76</v>
      </c>
      <c r="R1825" t="s">
        <v>26</v>
      </c>
      <c r="S1825" t="b">
        <v>0</v>
      </c>
      <c r="T1825" t="b">
        <v>0</v>
      </c>
    </row>
    <row r="1826" spans="1:20" x14ac:dyDescent="0.3">
      <c r="A1826" t="s">
        <v>2848</v>
      </c>
      <c r="B1826" s="1">
        <v>41517</v>
      </c>
      <c r="C1826" s="1">
        <v>41524</v>
      </c>
      <c r="D1826" t="s">
        <v>2024</v>
      </c>
      <c r="E1826" t="s">
        <v>22</v>
      </c>
      <c r="F1826" t="s">
        <v>54</v>
      </c>
      <c r="G1826" t="s">
        <v>2849</v>
      </c>
      <c r="H1826">
        <v>339.96</v>
      </c>
      <c r="I1826">
        <v>5</v>
      </c>
      <c r="J1826">
        <v>42.494999999999997</v>
      </c>
      <c r="K1826">
        <v>2013</v>
      </c>
      <c r="L1826">
        <v>8</v>
      </c>
      <c r="M1826" t="s">
        <v>53</v>
      </c>
      <c r="N1826">
        <v>31</v>
      </c>
      <c r="O1826">
        <v>7</v>
      </c>
      <c r="P1826">
        <v>12.5</v>
      </c>
      <c r="Q1826">
        <v>67.99199999999999</v>
      </c>
      <c r="R1826" t="s">
        <v>26</v>
      </c>
      <c r="S1826" t="b">
        <v>0</v>
      </c>
      <c r="T1826" t="b">
        <v>1</v>
      </c>
    </row>
    <row r="1827" spans="1:20" x14ac:dyDescent="0.3">
      <c r="A1827" t="s">
        <v>2850</v>
      </c>
      <c r="B1827" s="1">
        <v>41030</v>
      </c>
      <c r="C1827" s="1">
        <v>41035</v>
      </c>
      <c r="D1827" t="s">
        <v>2851</v>
      </c>
      <c r="E1827" t="s">
        <v>51</v>
      </c>
      <c r="F1827" t="s">
        <v>33</v>
      </c>
      <c r="G1827" t="s">
        <v>2852</v>
      </c>
      <c r="H1827">
        <v>12.176</v>
      </c>
      <c r="I1827">
        <v>1</v>
      </c>
      <c r="J1827">
        <v>4.4138000000000002</v>
      </c>
      <c r="K1827">
        <v>2012</v>
      </c>
      <c r="L1827">
        <v>5</v>
      </c>
      <c r="M1827" t="s">
        <v>47</v>
      </c>
      <c r="N1827">
        <v>1</v>
      </c>
      <c r="O1827">
        <v>5</v>
      </c>
      <c r="P1827">
        <v>36.25</v>
      </c>
      <c r="Q1827">
        <v>12.176</v>
      </c>
      <c r="R1827" t="s">
        <v>26</v>
      </c>
      <c r="S1827" t="b">
        <v>0</v>
      </c>
      <c r="T1827" t="b">
        <v>0</v>
      </c>
    </row>
    <row r="1828" spans="1:20" x14ac:dyDescent="0.3">
      <c r="A1828" t="s">
        <v>2850</v>
      </c>
      <c r="B1828" s="1">
        <v>41030</v>
      </c>
      <c r="C1828" s="1">
        <v>41035</v>
      </c>
      <c r="D1828" t="s">
        <v>2851</v>
      </c>
      <c r="E1828" t="s">
        <v>51</v>
      </c>
      <c r="F1828" t="s">
        <v>45</v>
      </c>
      <c r="G1828" t="s">
        <v>1435</v>
      </c>
      <c r="H1828">
        <v>37.32</v>
      </c>
      <c r="I1828">
        <v>3</v>
      </c>
      <c r="J1828">
        <v>10.4496</v>
      </c>
      <c r="K1828">
        <v>2012</v>
      </c>
      <c r="L1828">
        <v>5</v>
      </c>
      <c r="M1828" t="s">
        <v>47</v>
      </c>
      <c r="N1828">
        <v>1</v>
      </c>
      <c r="O1828">
        <v>5</v>
      </c>
      <c r="P1828">
        <v>28</v>
      </c>
      <c r="Q1828">
        <v>12.44</v>
      </c>
      <c r="R1828" t="s">
        <v>26</v>
      </c>
      <c r="S1828" t="b">
        <v>0</v>
      </c>
      <c r="T1828" t="b">
        <v>0</v>
      </c>
    </row>
    <row r="1829" spans="1:20" x14ac:dyDescent="0.3">
      <c r="A1829" t="s">
        <v>2850</v>
      </c>
      <c r="B1829" s="1">
        <v>41030</v>
      </c>
      <c r="C1829" s="1">
        <v>41035</v>
      </c>
      <c r="D1829" t="s">
        <v>2851</v>
      </c>
      <c r="E1829" t="s">
        <v>51</v>
      </c>
      <c r="F1829" t="s">
        <v>122</v>
      </c>
      <c r="G1829" t="s">
        <v>2853</v>
      </c>
      <c r="H1829">
        <v>35.06</v>
      </c>
      <c r="I1829">
        <v>2</v>
      </c>
      <c r="J1829">
        <v>10.518000000000001</v>
      </c>
      <c r="K1829">
        <v>2012</v>
      </c>
      <c r="L1829">
        <v>5</v>
      </c>
      <c r="M1829" t="s">
        <v>47</v>
      </c>
      <c r="N1829">
        <v>1</v>
      </c>
      <c r="O1829">
        <v>5</v>
      </c>
      <c r="P1829">
        <v>30</v>
      </c>
      <c r="Q1829">
        <v>17.53</v>
      </c>
      <c r="R1829" t="s">
        <v>26</v>
      </c>
      <c r="S1829" t="b">
        <v>0</v>
      </c>
      <c r="T1829" t="b">
        <v>0</v>
      </c>
    </row>
    <row r="1830" spans="1:20" x14ac:dyDescent="0.3">
      <c r="A1830" t="s">
        <v>2854</v>
      </c>
      <c r="B1830" s="1">
        <v>41663</v>
      </c>
      <c r="C1830" s="1">
        <v>41668</v>
      </c>
      <c r="D1830" t="s">
        <v>2066</v>
      </c>
      <c r="E1830" t="s">
        <v>39</v>
      </c>
      <c r="F1830" t="s">
        <v>33</v>
      </c>
      <c r="G1830" t="s">
        <v>2855</v>
      </c>
      <c r="H1830">
        <v>19.68</v>
      </c>
      <c r="I1830">
        <v>5</v>
      </c>
      <c r="J1830">
        <v>6.8879999999999999</v>
      </c>
      <c r="K1830">
        <v>2014</v>
      </c>
      <c r="L1830">
        <v>1</v>
      </c>
      <c r="M1830" t="s">
        <v>60</v>
      </c>
      <c r="N1830">
        <v>24</v>
      </c>
      <c r="O1830">
        <v>5</v>
      </c>
      <c r="P1830">
        <v>35</v>
      </c>
      <c r="Q1830">
        <v>3.9359999999999999</v>
      </c>
      <c r="R1830" t="s">
        <v>26</v>
      </c>
      <c r="S1830" t="b">
        <v>0</v>
      </c>
      <c r="T1830" t="b">
        <v>0</v>
      </c>
    </row>
    <row r="1831" spans="1:20" x14ac:dyDescent="0.3">
      <c r="A1831" t="s">
        <v>2854</v>
      </c>
      <c r="B1831" s="1">
        <v>41663</v>
      </c>
      <c r="C1831" s="1">
        <v>41668</v>
      </c>
      <c r="D1831" t="s">
        <v>2066</v>
      </c>
      <c r="E1831" t="s">
        <v>39</v>
      </c>
      <c r="F1831" t="s">
        <v>72</v>
      </c>
      <c r="G1831" t="s">
        <v>2856</v>
      </c>
      <c r="H1831">
        <v>25.92</v>
      </c>
      <c r="I1831">
        <v>4</v>
      </c>
      <c r="J1831">
        <v>12.441599999999999</v>
      </c>
      <c r="K1831">
        <v>2014</v>
      </c>
      <c r="L1831">
        <v>1</v>
      </c>
      <c r="M1831" t="s">
        <v>60</v>
      </c>
      <c r="N1831">
        <v>24</v>
      </c>
      <c r="O1831">
        <v>5</v>
      </c>
      <c r="P1831">
        <v>48</v>
      </c>
      <c r="Q1831">
        <v>6.48</v>
      </c>
      <c r="R1831" t="s">
        <v>26</v>
      </c>
      <c r="S1831" t="b">
        <v>0</v>
      </c>
      <c r="T1831" t="b">
        <v>0</v>
      </c>
    </row>
    <row r="1832" spans="1:20" x14ac:dyDescent="0.3">
      <c r="A1832" t="s">
        <v>2854</v>
      </c>
      <c r="B1832" s="1">
        <v>41663</v>
      </c>
      <c r="C1832" s="1">
        <v>41668</v>
      </c>
      <c r="D1832" t="s">
        <v>2066</v>
      </c>
      <c r="E1832" t="s">
        <v>39</v>
      </c>
      <c r="F1832" t="s">
        <v>72</v>
      </c>
      <c r="G1832" t="s">
        <v>859</v>
      </c>
      <c r="H1832">
        <v>6.48</v>
      </c>
      <c r="I1832">
        <v>1</v>
      </c>
      <c r="J1832">
        <v>3.1103999999999998</v>
      </c>
      <c r="K1832">
        <v>2014</v>
      </c>
      <c r="L1832">
        <v>1</v>
      </c>
      <c r="M1832" t="s">
        <v>60</v>
      </c>
      <c r="N1832">
        <v>24</v>
      </c>
      <c r="O1832">
        <v>5</v>
      </c>
      <c r="P1832">
        <v>48</v>
      </c>
      <c r="Q1832">
        <v>6.48</v>
      </c>
      <c r="R1832" t="s">
        <v>26</v>
      </c>
      <c r="S1832" t="b">
        <v>0</v>
      </c>
      <c r="T1832" t="b">
        <v>0</v>
      </c>
    </row>
    <row r="1833" spans="1:20" x14ac:dyDescent="0.3">
      <c r="A1833" t="s">
        <v>2854</v>
      </c>
      <c r="B1833" s="1">
        <v>41663</v>
      </c>
      <c r="C1833" s="1">
        <v>41668</v>
      </c>
      <c r="D1833" t="s">
        <v>2066</v>
      </c>
      <c r="E1833" t="s">
        <v>39</v>
      </c>
      <c r="F1833" t="s">
        <v>54</v>
      </c>
      <c r="G1833" t="s">
        <v>2669</v>
      </c>
      <c r="H1833">
        <v>86.352000000000004</v>
      </c>
      <c r="I1833">
        <v>6</v>
      </c>
      <c r="J1833">
        <v>8.6351999999999993</v>
      </c>
      <c r="K1833">
        <v>2014</v>
      </c>
      <c r="L1833">
        <v>1</v>
      </c>
      <c r="M1833" t="s">
        <v>60</v>
      </c>
      <c r="N1833">
        <v>24</v>
      </c>
      <c r="O1833">
        <v>5</v>
      </c>
      <c r="P1833">
        <v>10</v>
      </c>
      <c r="Q1833">
        <v>14.391999999999999</v>
      </c>
      <c r="R1833" t="s">
        <v>26</v>
      </c>
      <c r="S1833" t="b">
        <v>0</v>
      </c>
      <c r="T1833" t="b">
        <v>0</v>
      </c>
    </row>
    <row r="1834" spans="1:20" x14ac:dyDescent="0.3">
      <c r="A1834" t="s">
        <v>2857</v>
      </c>
      <c r="B1834" s="1">
        <v>41253</v>
      </c>
      <c r="C1834" s="1">
        <v>41258</v>
      </c>
      <c r="D1834" t="s">
        <v>2858</v>
      </c>
      <c r="E1834" t="s">
        <v>22</v>
      </c>
      <c r="F1834" t="s">
        <v>31</v>
      </c>
      <c r="G1834" t="s">
        <v>2017</v>
      </c>
      <c r="H1834">
        <v>56.3</v>
      </c>
      <c r="I1834">
        <v>2</v>
      </c>
      <c r="J1834">
        <v>15.763999999999999</v>
      </c>
      <c r="K1834">
        <v>2012</v>
      </c>
      <c r="L1834">
        <v>12</v>
      </c>
      <c r="M1834" t="s">
        <v>41</v>
      </c>
      <c r="N1834">
        <v>10</v>
      </c>
      <c r="O1834">
        <v>5</v>
      </c>
      <c r="P1834">
        <v>28</v>
      </c>
      <c r="Q1834">
        <v>28.15</v>
      </c>
      <c r="R1834" t="s">
        <v>26</v>
      </c>
      <c r="S1834" t="b">
        <v>0</v>
      </c>
      <c r="T1834" t="b">
        <v>0</v>
      </c>
    </row>
    <row r="1835" spans="1:20" x14ac:dyDescent="0.3">
      <c r="A1835" t="s">
        <v>2859</v>
      </c>
      <c r="B1835" s="1">
        <v>40872</v>
      </c>
      <c r="C1835" s="1">
        <v>40877</v>
      </c>
      <c r="D1835" t="s">
        <v>1482</v>
      </c>
      <c r="E1835" t="s">
        <v>1088</v>
      </c>
      <c r="F1835" t="s">
        <v>31</v>
      </c>
      <c r="G1835" t="s">
        <v>1894</v>
      </c>
      <c r="H1835">
        <v>51.015999999999998</v>
      </c>
      <c r="I1835">
        <v>7</v>
      </c>
      <c r="J1835">
        <v>8.2901000000000007</v>
      </c>
      <c r="K1835">
        <v>2011</v>
      </c>
      <c r="L1835">
        <v>11</v>
      </c>
      <c r="M1835" t="s">
        <v>70</v>
      </c>
      <c r="N1835">
        <v>25</v>
      </c>
      <c r="O1835">
        <v>5</v>
      </c>
      <c r="P1835">
        <v>16.25</v>
      </c>
      <c r="Q1835">
        <v>7.2879999999999994</v>
      </c>
      <c r="R1835" t="s">
        <v>26</v>
      </c>
      <c r="S1835" t="b">
        <v>0</v>
      </c>
      <c r="T1835" t="b">
        <v>0</v>
      </c>
    </row>
    <row r="1836" spans="1:20" x14ac:dyDescent="0.3">
      <c r="A1836" t="s">
        <v>2860</v>
      </c>
      <c r="B1836" s="1">
        <v>41965</v>
      </c>
      <c r="C1836" s="1">
        <v>41969</v>
      </c>
      <c r="D1836" t="s">
        <v>2555</v>
      </c>
      <c r="E1836" t="s">
        <v>2861</v>
      </c>
      <c r="F1836" t="s">
        <v>33</v>
      </c>
      <c r="G1836" t="s">
        <v>344</v>
      </c>
      <c r="H1836">
        <v>150.80000000000001</v>
      </c>
      <c r="I1836">
        <v>5</v>
      </c>
      <c r="J1836">
        <v>56.55</v>
      </c>
      <c r="K1836">
        <v>2014</v>
      </c>
      <c r="L1836">
        <v>11</v>
      </c>
      <c r="M1836" t="s">
        <v>70</v>
      </c>
      <c r="N1836">
        <v>22</v>
      </c>
      <c r="O1836">
        <v>4</v>
      </c>
      <c r="P1836">
        <v>37.5</v>
      </c>
      <c r="Q1836">
        <v>30.16</v>
      </c>
      <c r="R1836" t="s">
        <v>26</v>
      </c>
      <c r="S1836" t="b">
        <v>0</v>
      </c>
      <c r="T1836" t="b">
        <v>0</v>
      </c>
    </row>
    <row r="1837" spans="1:20" x14ac:dyDescent="0.3">
      <c r="A1837" t="s">
        <v>2860</v>
      </c>
      <c r="B1837" s="1">
        <v>41965</v>
      </c>
      <c r="C1837" s="1">
        <v>41969</v>
      </c>
      <c r="D1837" t="s">
        <v>2555</v>
      </c>
      <c r="E1837" t="s">
        <v>2861</v>
      </c>
      <c r="F1837" t="s">
        <v>72</v>
      </c>
      <c r="G1837" t="s">
        <v>2862</v>
      </c>
      <c r="H1837">
        <v>51.84</v>
      </c>
      <c r="I1837">
        <v>8</v>
      </c>
      <c r="J1837">
        <v>24.883199999999999</v>
      </c>
      <c r="K1837">
        <v>2014</v>
      </c>
      <c r="L1837">
        <v>11</v>
      </c>
      <c r="M1837" t="s">
        <v>70</v>
      </c>
      <c r="N1837">
        <v>22</v>
      </c>
      <c r="O1837">
        <v>4</v>
      </c>
      <c r="P1837">
        <v>48</v>
      </c>
      <c r="Q1837">
        <v>6.48</v>
      </c>
      <c r="R1837" t="s">
        <v>26</v>
      </c>
      <c r="S1837" t="b">
        <v>0</v>
      </c>
      <c r="T1837" t="b">
        <v>0</v>
      </c>
    </row>
    <row r="1838" spans="1:20" x14ac:dyDescent="0.3">
      <c r="A1838" t="s">
        <v>2863</v>
      </c>
      <c r="B1838" s="1">
        <v>41779</v>
      </c>
      <c r="C1838" s="1">
        <v>41784</v>
      </c>
      <c r="D1838" t="s">
        <v>1044</v>
      </c>
      <c r="E1838" t="s">
        <v>139</v>
      </c>
      <c r="F1838" t="s">
        <v>33</v>
      </c>
      <c r="G1838" t="s">
        <v>1119</v>
      </c>
      <c r="H1838">
        <v>133.12</v>
      </c>
      <c r="I1838">
        <v>5</v>
      </c>
      <c r="J1838">
        <v>49.92</v>
      </c>
      <c r="K1838">
        <v>2014</v>
      </c>
      <c r="L1838">
        <v>5</v>
      </c>
      <c r="M1838" t="s">
        <v>47</v>
      </c>
      <c r="N1838">
        <v>20</v>
      </c>
      <c r="O1838">
        <v>5</v>
      </c>
      <c r="P1838">
        <v>37.5</v>
      </c>
      <c r="Q1838">
        <v>26.623999999999999</v>
      </c>
      <c r="R1838" t="s">
        <v>26</v>
      </c>
      <c r="S1838" t="b">
        <v>0</v>
      </c>
      <c r="T1838" t="b">
        <v>0</v>
      </c>
    </row>
    <row r="1839" spans="1:20" x14ac:dyDescent="0.3">
      <c r="A1839" t="s">
        <v>2864</v>
      </c>
      <c r="B1839" s="1">
        <v>41624</v>
      </c>
      <c r="C1839" s="1">
        <v>41631</v>
      </c>
      <c r="D1839" t="s">
        <v>1067</v>
      </c>
      <c r="E1839" t="s">
        <v>22</v>
      </c>
      <c r="F1839" t="s">
        <v>29</v>
      </c>
      <c r="G1839" t="s">
        <v>1943</v>
      </c>
      <c r="H1839">
        <v>14.76</v>
      </c>
      <c r="I1839">
        <v>2</v>
      </c>
      <c r="J1839">
        <v>4.2804000000000002</v>
      </c>
      <c r="K1839">
        <v>2013</v>
      </c>
      <c r="L1839">
        <v>12</v>
      </c>
      <c r="M1839" t="s">
        <v>41</v>
      </c>
      <c r="N1839">
        <v>16</v>
      </c>
      <c r="O1839">
        <v>7</v>
      </c>
      <c r="P1839">
        <v>29</v>
      </c>
      <c r="Q1839">
        <v>7.38</v>
      </c>
      <c r="R1839" t="s">
        <v>26</v>
      </c>
      <c r="S1839" t="b">
        <v>0</v>
      </c>
      <c r="T1839" t="b">
        <v>0</v>
      </c>
    </row>
    <row r="1840" spans="1:20" x14ac:dyDescent="0.3">
      <c r="A1840" t="s">
        <v>2865</v>
      </c>
      <c r="B1840" s="1">
        <v>40641</v>
      </c>
      <c r="C1840" s="1">
        <v>40646</v>
      </c>
      <c r="D1840" t="s">
        <v>877</v>
      </c>
      <c r="E1840" t="s">
        <v>2400</v>
      </c>
      <c r="F1840" t="s">
        <v>119</v>
      </c>
      <c r="G1840" t="s">
        <v>2866</v>
      </c>
      <c r="H1840">
        <v>49.792000000000002</v>
      </c>
      <c r="I1840">
        <v>8</v>
      </c>
      <c r="J1840">
        <v>-11.8256</v>
      </c>
      <c r="K1840">
        <v>2011</v>
      </c>
      <c r="L1840">
        <v>4</v>
      </c>
      <c r="M1840" t="s">
        <v>236</v>
      </c>
      <c r="N1840">
        <v>8</v>
      </c>
      <c r="O1840">
        <v>5</v>
      </c>
      <c r="P1840">
        <v>-23.75</v>
      </c>
      <c r="Q1840">
        <v>6.2240000000000002</v>
      </c>
      <c r="R1840" t="s">
        <v>26</v>
      </c>
      <c r="S1840" t="b">
        <v>1</v>
      </c>
      <c r="T1840" t="b">
        <v>0</v>
      </c>
    </row>
    <row r="1841" spans="1:20" x14ac:dyDescent="0.3">
      <c r="A1841" t="s">
        <v>2867</v>
      </c>
      <c r="B1841" s="1">
        <v>41883</v>
      </c>
      <c r="C1841" s="1">
        <v>41885</v>
      </c>
      <c r="D1841" t="s">
        <v>2868</v>
      </c>
      <c r="E1841" t="s">
        <v>1068</v>
      </c>
      <c r="F1841" t="s">
        <v>45</v>
      </c>
      <c r="G1841" t="s">
        <v>83</v>
      </c>
      <c r="H1841">
        <v>149.72999999999999</v>
      </c>
      <c r="I1841">
        <v>7</v>
      </c>
      <c r="J1841">
        <v>43.421700000000001</v>
      </c>
      <c r="K1841">
        <v>2014</v>
      </c>
      <c r="L1841">
        <v>9</v>
      </c>
      <c r="M1841" t="s">
        <v>87</v>
      </c>
      <c r="N1841">
        <v>1</v>
      </c>
      <c r="O1841">
        <v>2</v>
      </c>
      <c r="P1841">
        <v>29</v>
      </c>
      <c r="Q1841">
        <v>21.39</v>
      </c>
      <c r="R1841" t="s">
        <v>26</v>
      </c>
      <c r="S1841" t="b">
        <v>0</v>
      </c>
      <c r="T1841" t="b">
        <v>0</v>
      </c>
    </row>
    <row r="1842" spans="1:20" x14ac:dyDescent="0.3">
      <c r="A1842" t="s">
        <v>2869</v>
      </c>
      <c r="B1842" s="1">
        <v>41873</v>
      </c>
      <c r="C1842" s="1">
        <v>41873</v>
      </c>
      <c r="D1842" t="s">
        <v>686</v>
      </c>
      <c r="E1842" t="s">
        <v>2400</v>
      </c>
      <c r="F1842" t="s">
        <v>72</v>
      </c>
      <c r="G1842" t="s">
        <v>2870</v>
      </c>
      <c r="H1842">
        <v>83.88</v>
      </c>
      <c r="I1842">
        <v>1</v>
      </c>
      <c r="J1842">
        <v>29.358000000000001</v>
      </c>
      <c r="K1842">
        <v>2014</v>
      </c>
      <c r="L1842">
        <v>8</v>
      </c>
      <c r="M1842" t="s">
        <v>53</v>
      </c>
      <c r="N1842">
        <v>22</v>
      </c>
      <c r="O1842">
        <v>0</v>
      </c>
      <c r="P1842">
        <v>35</v>
      </c>
      <c r="Q1842">
        <v>83.88</v>
      </c>
      <c r="R1842" t="s">
        <v>26</v>
      </c>
      <c r="S1842" t="b">
        <v>0</v>
      </c>
      <c r="T1842" t="b">
        <v>0</v>
      </c>
    </row>
    <row r="1843" spans="1:20" x14ac:dyDescent="0.3">
      <c r="A1843" t="s">
        <v>2871</v>
      </c>
      <c r="B1843" s="1">
        <v>40750</v>
      </c>
      <c r="C1843" s="1">
        <v>40756</v>
      </c>
      <c r="D1843" t="s">
        <v>1969</v>
      </c>
      <c r="E1843" t="s">
        <v>2567</v>
      </c>
      <c r="F1843" t="s">
        <v>61</v>
      </c>
      <c r="G1843" t="s">
        <v>2872</v>
      </c>
      <c r="H1843">
        <v>111.93</v>
      </c>
      <c r="I1843">
        <v>7</v>
      </c>
      <c r="J1843">
        <v>34.698300000000003</v>
      </c>
      <c r="K1843">
        <v>2011</v>
      </c>
      <c r="L1843">
        <v>7</v>
      </c>
      <c r="M1843" t="s">
        <v>66</v>
      </c>
      <c r="N1843">
        <v>26</v>
      </c>
      <c r="O1843">
        <v>6</v>
      </c>
      <c r="P1843">
        <v>31</v>
      </c>
      <c r="Q1843">
        <v>15.99</v>
      </c>
      <c r="R1843" t="s">
        <v>26</v>
      </c>
      <c r="S1843" t="b">
        <v>0</v>
      </c>
      <c r="T1843" t="b">
        <v>0</v>
      </c>
    </row>
    <row r="1844" spans="1:20" x14ac:dyDescent="0.3">
      <c r="A1844" t="s">
        <v>2873</v>
      </c>
      <c r="B1844" s="1">
        <v>41206</v>
      </c>
      <c r="C1844" s="1">
        <v>41209</v>
      </c>
      <c r="D1844" t="s">
        <v>2874</v>
      </c>
      <c r="E1844" t="s">
        <v>663</v>
      </c>
      <c r="F1844" t="s">
        <v>110</v>
      </c>
      <c r="G1844" t="s">
        <v>280</v>
      </c>
      <c r="H1844">
        <v>454.27199999999999</v>
      </c>
      <c r="I1844">
        <v>8</v>
      </c>
      <c r="J1844">
        <v>-73.819199999999995</v>
      </c>
      <c r="K1844">
        <v>2012</v>
      </c>
      <c r="L1844">
        <v>10</v>
      </c>
      <c r="M1844" t="s">
        <v>82</v>
      </c>
      <c r="N1844">
        <v>24</v>
      </c>
      <c r="O1844">
        <v>3</v>
      </c>
      <c r="P1844">
        <v>-16.25</v>
      </c>
      <c r="Q1844">
        <v>56.783999999999999</v>
      </c>
      <c r="R1844" t="s">
        <v>26</v>
      </c>
      <c r="S1844" t="b">
        <v>1</v>
      </c>
      <c r="T1844" t="b">
        <v>1</v>
      </c>
    </row>
    <row r="1845" spans="1:20" x14ac:dyDescent="0.3">
      <c r="A1845" t="s">
        <v>2875</v>
      </c>
      <c r="B1845" s="1">
        <v>41787</v>
      </c>
      <c r="C1845" s="1">
        <v>41789</v>
      </c>
      <c r="D1845" t="s">
        <v>1071</v>
      </c>
      <c r="E1845" t="s">
        <v>2607</v>
      </c>
      <c r="F1845" t="s">
        <v>29</v>
      </c>
      <c r="G1845" t="s">
        <v>1590</v>
      </c>
      <c r="H1845">
        <v>35</v>
      </c>
      <c r="I1845">
        <v>4</v>
      </c>
      <c r="J1845">
        <v>14.7</v>
      </c>
      <c r="K1845">
        <v>2014</v>
      </c>
      <c r="L1845">
        <v>5</v>
      </c>
      <c r="M1845" t="s">
        <v>47</v>
      </c>
      <c r="N1845">
        <v>28</v>
      </c>
      <c r="O1845">
        <v>2</v>
      </c>
      <c r="P1845">
        <v>42</v>
      </c>
      <c r="Q1845">
        <v>8.75</v>
      </c>
      <c r="R1845" t="s">
        <v>26</v>
      </c>
      <c r="S1845" t="b">
        <v>0</v>
      </c>
      <c r="T1845" t="b">
        <v>0</v>
      </c>
    </row>
    <row r="1846" spans="1:20" x14ac:dyDescent="0.3">
      <c r="A1846" t="s">
        <v>2875</v>
      </c>
      <c r="B1846" s="1">
        <v>41787</v>
      </c>
      <c r="C1846" s="1">
        <v>41789</v>
      </c>
      <c r="D1846" t="s">
        <v>1071</v>
      </c>
      <c r="E1846" t="s">
        <v>2607</v>
      </c>
      <c r="F1846" t="s">
        <v>45</v>
      </c>
      <c r="G1846" t="s">
        <v>2876</v>
      </c>
      <c r="H1846">
        <v>477.15</v>
      </c>
      <c r="I1846">
        <v>5</v>
      </c>
      <c r="J1846">
        <v>28.629000000000001</v>
      </c>
      <c r="K1846">
        <v>2014</v>
      </c>
      <c r="L1846">
        <v>5</v>
      </c>
      <c r="M1846" t="s">
        <v>47</v>
      </c>
      <c r="N1846">
        <v>28</v>
      </c>
      <c r="O1846">
        <v>2</v>
      </c>
      <c r="P1846">
        <v>6</v>
      </c>
      <c r="Q1846">
        <v>95.429999999999993</v>
      </c>
      <c r="R1846" t="s">
        <v>26</v>
      </c>
      <c r="S1846" t="b">
        <v>0</v>
      </c>
      <c r="T1846" t="b">
        <v>1</v>
      </c>
    </row>
    <row r="1847" spans="1:20" x14ac:dyDescent="0.3">
      <c r="A1847" t="s">
        <v>2875</v>
      </c>
      <c r="B1847" s="1">
        <v>41787</v>
      </c>
      <c r="C1847" s="1">
        <v>41789</v>
      </c>
      <c r="D1847" t="s">
        <v>1071</v>
      </c>
      <c r="E1847" t="s">
        <v>2607</v>
      </c>
      <c r="F1847" t="s">
        <v>54</v>
      </c>
      <c r="G1847" t="s">
        <v>2877</v>
      </c>
      <c r="H1847">
        <v>302.37599999999998</v>
      </c>
      <c r="I1847">
        <v>3</v>
      </c>
      <c r="J1847">
        <v>22.6782</v>
      </c>
      <c r="K1847">
        <v>2014</v>
      </c>
      <c r="L1847">
        <v>5</v>
      </c>
      <c r="M1847" t="s">
        <v>47</v>
      </c>
      <c r="N1847">
        <v>28</v>
      </c>
      <c r="O1847">
        <v>2</v>
      </c>
      <c r="P1847">
        <v>7.5</v>
      </c>
      <c r="Q1847">
        <v>100.792</v>
      </c>
      <c r="R1847" t="s">
        <v>26</v>
      </c>
      <c r="S1847" t="b">
        <v>0</v>
      </c>
      <c r="T1847" t="b">
        <v>1</v>
      </c>
    </row>
    <row r="1848" spans="1:20" x14ac:dyDescent="0.3">
      <c r="A1848" t="s">
        <v>2878</v>
      </c>
      <c r="B1848" s="1">
        <v>41852</v>
      </c>
      <c r="C1848" s="1">
        <v>41855</v>
      </c>
      <c r="D1848" t="s">
        <v>2879</v>
      </c>
      <c r="E1848" t="s">
        <v>51</v>
      </c>
      <c r="F1848" t="s">
        <v>45</v>
      </c>
      <c r="G1848" t="s">
        <v>968</v>
      </c>
      <c r="H1848">
        <v>56.56</v>
      </c>
      <c r="I1848">
        <v>2</v>
      </c>
      <c r="J1848">
        <v>15.2712</v>
      </c>
      <c r="K1848">
        <v>2014</v>
      </c>
      <c r="L1848">
        <v>8</v>
      </c>
      <c r="M1848" t="s">
        <v>53</v>
      </c>
      <c r="N1848">
        <v>1</v>
      </c>
      <c r="O1848">
        <v>3</v>
      </c>
      <c r="P1848">
        <v>27</v>
      </c>
      <c r="Q1848">
        <v>28.28</v>
      </c>
      <c r="R1848" t="s">
        <v>26</v>
      </c>
      <c r="S1848" t="b">
        <v>0</v>
      </c>
      <c r="T1848" t="b">
        <v>0</v>
      </c>
    </row>
    <row r="1849" spans="1:20" x14ac:dyDescent="0.3">
      <c r="A1849" t="s">
        <v>2878</v>
      </c>
      <c r="B1849" s="1">
        <v>41852</v>
      </c>
      <c r="C1849" s="1">
        <v>41855</v>
      </c>
      <c r="D1849" t="s">
        <v>2879</v>
      </c>
      <c r="E1849" t="s">
        <v>51</v>
      </c>
      <c r="F1849" t="s">
        <v>29</v>
      </c>
      <c r="G1849" t="s">
        <v>2160</v>
      </c>
      <c r="H1849">
        <v>36.96</v>
      </c>
      <c r="I1849">
        <v>7</v>
      </c>
      <c r="J1849">
        <v>11.457599999999999</v>
      </c>
      <c r="K1849">
        <v>2014</v>
      </c>
      <c r="L1849">
        <v>8</v>
      </c>
      <c r="M1849" t="s">
        <v>53</v>
      </c>
      <c r="N1849">
        <v>1</v>
      </c>
      <c r="O1849">
        <v>3</v>
      </c>
      <c r="P1849">
        <v>31</v>
      </c>
      <c r="Q1849">
        <v>5.28</v>
      </c>
      <c r="R1849" t="s">
        <v>26</v>
      </c>
      <c r="S1849" t="b">
        <v>0</v>
      </c>
      <c r="T1849" t="b">
        <v>0</v>
      </c>
    </row>
    <row r="1850" spans="1:20" x14ac:dyDescent="0.3">
      <c r="A1850" t="s">
        <v>2880</v>
      </c>
      <c r="B1850" s="1">
        <v>41782</v>
      </c>
      <c r="C1850" s="1">
        <v>41785</v>
      </c>
      <c r="D1850" t="s">
        <v>58</v>
      </c>
      <c r="E1850" t="s">
        <v>22</v>
      </c>
      <c r="F1850" t="s">
        <v>61</v>
      </c>
      <c r="G1850" t="s">
        <v>2881</v>
      </c>
      <c r="H1850">
        <v>68.459999999999994</v>
      </c>
      <c r="I1850">
        <v>7</v>
      </c>
      <c r="J1850">
        <v>25.330200000000001</v>
      </c>
      <c r="K1850">
        <v>2014</v>
      </c>
      <c r="L1850">
        <v>5</v>
      </c>
      <c r="M1850" t="s">
        <v>47</v>
      </c>
      <c r="N1850">
        <v>23</v>
      </c>
      <c r="O1850">
        <v>3</v>
      </c>
      <c r="P1850">
        <v>37</v>
      </c>
      <c r="Q1850">
        <v>9.7799999999999994</v>
      </c>
      <c r="R1850" t="s">
        <v>26</v>
      </c>
      <c r="S1850" t="b">
        <v>0</v>
      </c>
      <c r="T1850" t="b">
        <v>0</v>
      </c>
    </row>
    <row r="1851" spans="1:20" x14ac:dyDescent="0.3">
      <c r="A1851" t="s">
        <v>2882</v>
      </c>
      <c r="B1851" s="1">
        <v>41705</v>
      </c>
      <c r="C1851" s="1">
        <v>41709</v>
      </c>
      <c r="D1851" t="s">
        <v>2858</v>
      </c>
      <c r="E1851" t="s">
        <v>51</v>
      </c>
      <c r="F1851" t="s">
        <v>31</v>
      </c>
      <c r="G1851" t="s">
        <v>2883</v>
      </c>
      <c r="H1851">
        <v>23.88</v>
      </c>
      <c r="I1851">
        <v>6</v>
      </c>
      <c r="J1851">
        <v>8.1191999999999993</v>
      </c>
      <c r="K1851">
        <v>2014</v>
      </c>
      <c r="L1851">
        <v>3</v>
      </c>
      <c r="M1851" t="s">
        <v>135</v>
      </c>
      <c r="N1851">
        <v>7</v>
      </c>
      <c r="O1851">
        <v>4</v>
      </c>
      <c r="P1851">
        <v>34</v>
      </c>
      <c r="Q1851">
        <v>3.98</v>
      </c>
      <c r="R1851" t="s">
        <v>26</v>
      </c>
      <c r="S1851" t="b">
        <v>0</v>
      </c>
      <c r="T1851" t="b">
        <v>0</v>
      </c>
    </row>
    <row r="1852" spans="1:20" x14ac:dyDescent="0.3">
      <c r="A1852" t="s">
        <v>2882</v>
      </c>
      <c r="B1852" s="1">
        <v>41705</v>
      </c>
      <c r="C1852" s="1">
        <v>41709</v>
      </c>
      <c r="D1852" t="s">
        <v>2858</v>
      </c>
      <c r="E1852" t="s">
        <v>51</v>
      </c>
      <c r="F1852" t="s">
        <v>23</v>
      </c>
      <c r="G1852" t="s">
        <v>2884</v>
      </c>
      <c r="H1852">
        <v>11.52</v>
      </c>
      <c r="I1852">
        <v>4</v>
      </c>
      <c r="J1852">
        <v>5.6448</v>
      </c>
      <c r="K1852">
        <v>2014</v>
      </c>
      <c r="L1852">
        <v>3</v>
      </c>
      <c r="M1852" t="s">
        <v>135</v>
      </c>
      <c r="N1852">
        <v>7</v>
      </c>
      <c r="O1852">
        <v>4</v>
      </c>
      <c r="P1852">
        <v>49</v>
      </c>
      <c r="Q1852">
        <v>2.88</v>
      </c>
      <c r="R1852" t="s">
        <v>26</v>
      </c>
      <c r="S1852" t="b">
        <v>0</v>
      </c>
      <c r="T1852" t="b">
        <v>0</v>
      </c>
    </row>
    <row r="1853" spans="1:20" x14ac:dyDescent="0.3">
      <c r="A1853" t="s">
        <v>2882</v>
      </c>
      <c r="B1853" s="1">
        <v>41705</v>
      </c>
      <c r="C1853" s="1">
        <v>41709</v>
      </c>
      <c r="D1853" t="s">
        <v>2858</v>
      </c>
      <c r="E1853" t="s">
        <v>51</v>
      </c>
      <c r="F1853" t="s">
        <v>72</v>
      </c>
      <c r="G1853" t="s">
        <v>2428</v>
      </c>
      <c r="H1853">
        <v>286.93</v>
      </c>
      <c r="I1853">
        <v>7</v>
      </c>
      <c r="J1853">
        <v>140.59569999999999</v>
      </c>
      <c r="K1853">
        <v>2014</v>
      </c>
      <c r="L1853">
        <v>3</v>
      </c>
      <c r="M1853" t="s">
        <v>135</v>
      </c>
      <c r="N1853">
        <v>7</v>
      </c>
      <c r="O1853">
        <v>4</v>
      </c>
      <c r="P1853">
        <v>49</v>
      </c>
      <c r="Q1853">
        <v>40.99</v>
      </c>
      <c r="R1853" t="s">
        <v>26</v>
      </c>
      <c r="S1853" t="b">
        <v>0</v>
      </c>
      <c r="T1853" t="b">
        <v>1</v>
      </c>
    </row>
    <row r="1854" spans="1:20" x14ac:dyDescent="0.3">
      <c r="A1854" t="s">
        <v>2882</v>
      </c>
      <c r="B1854" s="1">
        <v>41705</v>
      </c>
      <c r="C1854" s="1">
        <v>41709</v>
      </c>
      <c r="D1854" t="s">
        <v>2858</v>
      </c>
      <c r="E1854" t="s">
        <v>51</v>
      </c>
      <c r="F1854" t="s">
        <v>54</v>
      </c>
      <c r="G1854" t="s">
        <v>2543</v>
      </c>
      <c r="H1854">
        <v>206.38399999999999</v>
      </c>
      <c r="I1854">
        <v>2</v>
      </c>
      <c r="J1854">
        <v>23.2182</v>
      </c>
      <c r="K1854">
        <v>2014</v>
      </c>
      <c r="L1854">
        <v>3</v>
      </c>
      <c r="M1854" t="s">
        <v>135</v>
      </c>
      <c r="N1854">
        <v>7</v>
      </c>
      <c r="O1854">
        <v>4</v>
      </c>
      <c r="P1854">
        <v>11.25</v>
      </c>
      <c r="Q1854">
        <v>103.19199999999999</v>
      </c>
      <c r="R1854" t="s">
        <v>26</v>
      </c>
      <c r="S1854" t="b">
        <v>0</v>
      </c>
      <c r="T1854" t="b">
        <v>0</v>
      </c>
    </row>
    <row r="1855" spans="1:20" x14ac:dyDescent="0.3">
      <c r="A1855" t="s">
        <v>2885</v>
      </c>
      <c r="B1855" s="1">
        <v>41898</v>
      </c>
      <c r="C1855" s="1">
        <v>41902</v>
      </c>
      <c r="D1855" t="s">
        <v>933</v>
      </c>
      <c r="E1855" t="s">
        <v>51</v>
      </c>
      <c r="F1855" t="s">
        <v>110</v>
      </c>
      <c r="G1855" t="s">
        <v>789</v>
      </c>
      <c r="H1855">
        <v>218.352</v>
      </c>
      <c r="I1855">
        <v>3</v>
      </c>
      <c r="J1855">
        <v>0</v>
      </c>
      <c r="K1855">
        <v>2014</v>
      </c>
      <c r="L1855">
        <v>9</v>
      </c>
      <c r="M1855" t="s">
        <v>87</v>
      </c>
      <c r="N1855">
        <v>16</v>
      </c>
      <c r="O1855">
        <v>4</v>
      </c>
      <c r="P1855">
        <v>0</v>
      </c>
      <c r="Q1855">
        <v>72.784000000000006</v>
      </c>
      <c r="R1855" t="s">
        <v>26</v>
      </c>
      <c r="S1855" t="b">
        <v>0</v>
      </c>
      <c r="T1855" t="b">
        <v>1</v>
      </c>
    </row>
    <row r="1856" spans="1:20" x14ac:dyDescent="0.3">
      <c r="A1856" t="s">
        <v>2885</v>
      </c>
      <c r="B1856" s="1">
        <v>41898</v>
      </c>
      <c r="C1856" s="1">
        <v>41902</v>
      </c>
      <c r="D1856" t="s">
        <v>933</v>
      </c>
      <c r="E1856" t="s">
        <v>51</v>
      </c>
      <c r="F1856" t="s">
        <v>31</v>
      </c>
      <c r="G1856" t="s">
        <v>2766</v>
      </c>
      <c r="H1856">
        <v>99.3</v>
      </c>
      <c r="I1856">
        <v>10</v>
      </c>
      <c r="J1856">
        <v>41.706000000000003</v>
      </c>
      <c r="K1856">
        <v>2014</v>
      </c>
      <c r="L1856">
        <v>9</v>
      </c>
      <c r="M1856" t="s">
        <v>87</v>
      </c>
      <c r="N1856">
        <v>16</v>
      </c>
      <c r="O1856">
        <v>4</v>
      </c>
      <c r="P1856">
        <v>42</v>
      </c>
      <c r="Q1856">
        <v>9.93</v>
      </c>
      <c r="R1856" t="s">
        <v>26</v>
      </c>
      <c r="S1856" t="b">
        <v>0</v>
      </c>
      <c r="T1856" t="b">
        <v>0</v>
      </c>
    </row>
    <row r="1857" spans="1:20" x14ac:dyDescent="0.3">
      <c r="A1857" t="s">
        <v>2885</v>
      </c>
      <c r="B1857" s="1">
        <v>41898</v>
      </c>
      <c r="C1857" s="1">
        <v>41902</v>
      </c>
      <c r="D1857" t="s">
        <v>933</v>
      </c>
      <c r="E1857" t="s">
        <v>51</v>
      </c>
      <c r="F1857" t="s">
        <v>35</v>
      </c>
      <c r="G1857" t="s">
        <v>2886</v>
      </c>
      <c r="H1857">
        <v>108.96</v>
      </c>
      <c r="I1857">
        <v>2</v>
      </c>
      <c r="J1857">
        <v>30.508800000000001</v>
      </c>
      <c r="K1857">
        <v>2014</v>
      </c>
      <c r="L1857">
        <v>9</v>
      </c>
      <c r="M1857" t="s">
        <v>87</v>
      </c>
      <c r="N1857">
        <v>16</v>
      </c>
      <c r="O1857">
        <v>4</v>
      </c>
      <c r="P1857">
        <v>28</v>
      </c>
      <c r="Q1857">
        <v>54.48</v>
      </c>
      <c r="R1857" t="s">
        <v>26</v>
      </c>
      <c r="S1857" t="b">
        <v>0</v>
      </c>
      <c r="T1857" t="b">
        <v>0</v>
      </c>
    </row>
    <row r="1858" spans="1:20" x14ac:dyDescent="0.3">
      <c r="A1858" t="s">
        <v>2885</v>
      </c>
      <c r="B1858" s="1">
        <v>41898</v>
      </c>
      <c r="C1858" s="1">
        <v>41902</v>
      </c>
      <c r="D1858" t="s">
        <v>933</v>
      </c>
      <c r="E1858" t="s">
        <v>51</v>
      </c>
      <c r="F1858" t="s">
        <v>33</v>
      </c>
      <c r="G1858" t="s">
        <v>2694</v>
      </c>
      <c r="H1858">
        <v>2.6880000000000002</v>
      </c>
      <c r="I1858">
        <v>1</v>
      </c>
      <c r="J1858">
        <v>0.84</v>
      </c>
      <c r="K1858">
        <v>2014</v>
      </c>
      <c r="L1858">
        <v>9</v>
      </c>
      <c r="M1858" t="s">
        <v>87</v>
      </c>
      <c r="N1858">
        <v>16</v>
      </c>
      <c r="O1858">
        <v>4</v>
      </c>
      <c r="P1858">
        <v>31.25</v>
      </c>
      <c r="Q1858">
        <v>2.6880000000000002</v>
      </c>
      <c r="R1858" t="s">
        <v>26</v>
      </c>
      <c r="S1858" t="b">
        <v>0</v>
      </c>
      <c r="T1858" t="b">
        <v>0</v>
      </c>
    </row>
    <row r="1859" spans="1:20" x14ac:dyDescent="0.3">
      <c r="A1859" t="s">
        <v>2887</v>
      </c>
      <c r="B1859" s="1">
        <v>41960</v>
      </c>
      <c r="C1859" s="1">
        <v>41963</v>
      </c>
      <c r="D1859" t="s">
        <v>1721</v>
      </c>
      <c r="E1859" t="s">
        <v>39</v>
      </c>
      <c r="F1859" t="s">
        <v>72</v>
      </c>
      <c r="G1859" t="s">
        <v>2366</v>
      </c>
      <c r="H1859">
        <v>73.680000000000007</v>
      </c>
      <c r="I1859">
        <v>6</v>
      </c>
      <c r="J1859">
        <v>34.629600000000003</v>
      </c>
      <c r="K1859">
        <v>2014</v>
      </c>
      <c r="L1859">
        <v>11</v>
      </c>
      <c r="M1859" t="s">
        <v>70</v>
      </c>
      <c r="N1859">
        <v>17</v>
      </c>
      <c r="O1859">
        <v>3</v>
      </c>
      <c r="P1859">
        <v>47</v>
      </c>
      <c r="Q1859">
        <v>12.28</v>
      </c>
      <c r="R1859" t="s">
        <v>26</v>
      </c>
      <c r="S1859" t="b">
        <v>0</v>
      </c>
      <c r="T1859" t="b">
        <v>0</v>
      </c>
    </row>
    <row r="1860" spans="1:20" x14ac:dyDescent="0.3">
      <c r="A1860" t="s">
        <v>2887</v>
      </c>
      <c r="B1860" s="1">
        <v>41960</v>
      </c>
      <c r="C1860" s="1">
        <v>41963</v>
      </c>
      <c r="D1860" t="s">
        <v>1721</v>
      </c>
      <c r="E1860" t="s">
        <v>39</v>
      </c>
      <c r="F1860" t="s">
        <v>29</v>
      </c>
      <c r="G1860" t="s">
        <v>459</v>
      </c>
      <c r="H1860">
        <v>139.91999999999999</v>
      </c>
      <c r="I1860">
        <v>2</v>
      </c>
      <c r="J1860">
        <v>23.7864</v>
      </c>
      <c r="K1860">
        <v>2014</v>
      </c>
      <c r="L1860">
        <v>11</v>
      </c>
      <c r="M1860" t="s">
        <v>70</v>
      </c>
      <c r="N1860">
        <v>17</v>
      </c>
      <c r="O1860">
        <v>3</v>
      </c>
      <c r="P1860">
        <v>17</v>
      </c>
      <c r="Q1860">
        <v>69.959999999999994</v>
      </c>
      <c r="R1860" t="s">
        <v>26</v>
      </c>
      <c r="S1860" t="b">
        <v>0</v>
      </c>
      <c r="T1860" t="b">
        <v>0</v>
      </c>
    </row>
    <row r="1861" spans="1:20" x14ac:dyDescent="0.3">
      <c r="A1861" t="s">
        <v>2887</v>
      </c>
      <c r="B1861" s="1">
        <v>41960</v>
      </c>
      <c r="C1861" s="1">
        <v>41963</v>
      </c>
      <c r="D1861" t="s">
        <v>1721</v>
      </c>
      <c r="E1861" t="s">
        <v>39</v>
      </c>
      <c r="F1861" t="s">
        <v>54</v>
      </c>
      <c r="G1861" t="s">
        <v>2723</v>
      </c>
      <c r="H1861">
        <v>107.88</v>
      </c>
      <c r="I1861">
        <v>3</v>
      </c>
      <c r="J1861">
        <v>10.788</v>
      </c>
      <c r="K1861">
        <v>2014</v>
      </c>
      <c r="L1861">
        <v>11</v>
      </c>
      <c r="M1861" t="s">
        <v>70</v>
      </c>
      <c r="N1861">
        <v>17</v>
      </c>
      <c r="O1861">
        <v>3</v>
      </c>
      <c r="P1861">
        <v>10</v>
      </c>
      <c r="Q1861">
        <v>35.96</v>
      </c>
      <c r="R1861" t="s">
        <v>26</v>
      </c>
      <c r="S1861" t="b">
        <v>0</v>
      </c>
      <c r="T1861" t="b">
        <v>0</v>
      </c>
    </row>
    <row r="1862" spans="1:20" x14ac:dyDescent="0.3">
      <c r="A1862" t="s">
        <v>2887</v>
      </c>
      <c r="B1862" s="1">
        <v>41960</v>
      </c>
      <c r="C1862" s="1">
        <v>41963</v>
      </c>
      <c r="D1862" t="s">
        <v>1721</v>
      </c>
      <c r="E1862" t="s">
        <v>39</v>
      </c>
      <c r="F1862" t="s">
        <v>45</v>
      </c>
      <c r="G1862" t="s">
        <v>1296</v>
      </c>
      <c r="H1862">
        <v>33.29</v>
      </c>
      <c r="I1862">
        <v>1</v>
      </c>
      <c r="J1862">
        <v>7.9896000000000003</v>
      </c>
      <c r="K1862">
        <v>2014</v>
      </c>
      <c r="L1862">
        <v>11</v>
      </c>
      <c r="M1862" t="s">
        <v>70</v>
      </c>
      <c r="N1862">
        <v>17</v>
      </c>
      <c r="O1862">
        <v>3</v>
      </c>
      <c r="P1862">
        <v>24</v>
      </c>
      <c r="Q1862">
        <v>33.29</v>
      </c>
      <c r="R1862" t="s">
        <v>26</v>
      </c>
      <c r="S1862" t="b">
        <v>0</v>
      </c>
      <c r="T1862" t="b">
        <v>0</v>
      </c>
    </row>
    <row r="1863" spans="1:20" x14ac:dyDescent="0.3">
      <c r="A1863" t="s">
        <v>2888</v>
      </c>
      <c r="B1863" s="1">
        <v>41990</v>
      </c>
      <c r="C1863" s="1">
        <v>41995</v>
      </c>
      <c r="D1863" t="s">
        <v>437</v>
      </c>
      <c r="E1863" t="s">
        <v>22</v>
      </c>
      <c r="F1863" t="s">
        <v>72</v>
      </c>
      <c r="G1863" t="s">
        <v>764</v>
      </c>
      <c r="H1863">
        <v>13.36</v>
      </c>
      <c r="I1863">
        <v>2</v>
      </c>
      <c r="J1863">
        <v>6.4127999999999998</v>
      </c>
      <c r="K1863">
        <v>2014</v>
      </c>
      <c r="L1863">
        <v>12</v>
      </c>
      <c r="M1863" t="s">
        <v>41</v>
      </c>
      <c r="N1863">
        <v>17</v>
      </c>
      <c r="O1863">
        <v>5</v>
      </c>
      <c r="P1863">
        <v>48</v>
      </c>
      <c r="Q1863">
        <v>6.68</v>
      </c>
      <c r="R1863" t="s">
        <v>26</v>
      </c>
      <c r="S1863" t="b">
        <v>0</v>
      </c>
      <c r="T1863" t="b">
        <v>0</v>
      </c>
    </row>
    <row r="1864" spans="1:20" x14ac:dyDescent="0.3">
      <c r="A1864" t="s">
        <v>2888</v>
      </c>
      <c r="B1864" s="1">
        <v>41990</v>
      </c>
      <c r="C1864" s="1">
        <v>41995</v>
      </c>
      <c r="D1864" t="s">
        <v>437</v>
      </c>
      <c r="E1864" t="s">
        <v>22</v>
      </c>
      <c r="F1864" t="s">
        <v>45</v>
      </c>
      <c r="G1864" t="s">
        <v>812</v>
      </c>
      <c r="H1864">
        <v>158.9</v>
      </c>
      <c r="I1864">
        <v>5</v>
      </c>
      <c r="J1864">
        <v>7.9450000000000003</v>
      </c>
      <c r="K1864">
        <v>2014</v>
      </c>
      <c r="L1864">
        <v>12</v>
      </c>
      <c r="M1864" t="s">
        <v>41</v>
      </c>
      <c r="N1864">
        <v>17</v>
      </c>
      <c r="O1864">
        <v>5</v>
      </c>
      <c r="P1864">
        <v>5</v>
      </c>
      <c r="Q1864">
        <v>31.78</v>
      </c>
      <c r="R1864" t="s">
        <v>26</v>
      </c>
      <c r="S1864" t="b">
        <v>0</v>
      </c>
      <c r="T1864" t="b">
        <v>0</v>
      </c>
    </row>
    <row r="1865" spans="1:20" x14ac:dyDescent="0.3">
      <c r="A1865" t="s">
        <v>2889</v>
      </c>
      <c r="B1865" s="1">
        <v>41477</v>
      </c>
      <c r="C1865" s="1">
        <v>41482</v>
      </c>
      <c r="D1865" t="s">
        <v>828</v>
      </c>
      <c r="E1865" t="s">
        <v>115</v>
      </c>
      <c r="F1865" t="s">
        <v>128</v>
      </c>
      <c r="G1865" t="s">
        <v>2890</v>
      </c>
      <c r="H1865">
        <v>419.9</v>
      </c>
      <c r="I1865">
        <v>5</v>
      </c>
      <c r="J1865">
        <v>197.35300000000001</v>
      </c>
      <c r="K1865">
        <v>2013</v>
      </c>
      <c r="L1865">
        <v>7</v>
      </c>
      <c r="M1865" t="s">
        <v>66</v>
      </c>
      <c r="N1865">
        <v>22</v>
      </c>
      <c r="O1865">
        <v>5</v>
      </c>
      <c r="P1865">
        <v>47</v>
      </c>
      <c r="Q1865">
        <v>83.97999999999999</v>
      </c>
      <c r="R1865" t="s">
        <v>26</v>
      </c>
      <c r="S1865" t="b">
        <v>0</v>
      </c>
      <c r="T1865" t="b">
        <v>1</v>
      </c>
    </row>
    <row r="1866" spans="1:20" x14ac:dyDescent="0.3">
      <c r="A1866" t="s">
        <v>2889</v>
      </c>
      <c r="B1866" s="1">
        <v>41477</v>
      </c>
      <c r="C1866" s="1">
        <v>41482</v>
      </c>
      <c r="D1866" t="s">
        <v>828</v>
      </c>
      <c r="E1866" t="s">
        <v>115</v>
      </c>
      <c r="F1866" t="s">
        <v>23</v>
      </c>
      <c r="G1866" t="s">
        <v>278</v>
      </c>
      <c r="H1866">
        <v>3.15</v>
      </c>
      <c r="I1866">
        <v>1</v>
      </c>
      <c r="J1866">
        <v>1.512</v>
      </c>
      <c r="K1866">
        <v>2013</v>
      </c>
      <c r="L1866">
        <v>7</v>
      </c>
      <c r="M1866" t="s">
        <v>66</v>
      </c>
      <c r="N1866">
        <v>22</v>
      </c>
      <c r="O1866">
        <v>5</v>
      </c>
      <c r="P1866">
        <v>48</v>
      </c>
      <c r="Q1866">
        <v>3.15</v>
      </c>
      <c r="R1866" t="s">
        <v>26</v>
      </c>
      <c r="S1866" t="b">
        <v>0</v>
      </c>
      <c r="T1866" t="b">
        <v>0</v>
      </c>
    </row>
    <row r="1867" spans="1:20" x14ac:dyDescent="0.3">
      <c r="A1867" t="s">
        <v>2891</v>
      </c>
      <c r="B1867" s="1">
        <v>41405</v>
      </c>
      <c r="C1867" s="1">
        <v>41411</v>
      </c>
      <c r="D1867" t="s">
        <v>2892</v>
      </c>
      <c r="E1867" t="s">
        <v>39</v>
      </c>
      <c r="F1867" t="s">
        <v>72</v>
      </c>
      <c r="G1867" t="s">
        <v>2893</v>
      </c>
      <c r="H1867">
        <v>11.96</v>
      </c>
      <c r="I1867">
        <v>2</v>
      </c>
      <c r="J1867">
        <v>5.8604000000000003</v>
      </c>
      <c r="K1867">
        <v>2013</v>
      </c>
      <c r="L1867">
        <v>5</v>
      </c>
      <c r="M1867" t="s">
        <v>47</v>
      </c>
      <c r="N1867">
        <v>11</v>
      </c>
      <c r="O1867">
        <v>6</v>
      </c>
      <c r="P1867">
        <v>49</v>
      </c>
      <c r="Q1867">
        <v>5.98</v>
      </c>
      <c r="R1867" t="s">
        <v>26</v>
      </c>
      <c r="S1867" t="b">
        <v>0</v>
      </c>
      <c r="T1867" t="b">
        <v>0</v>
      </c>
    </row>
    <row r="1868" spans="1:20" x14ac:dyDescent="0.3">
      <c r="A1868" t="s">
        <v>2894</v>
      </c>
      <c r="B1868" s="1">
        <v>41702</v>
      </c>
      <c r="C1868" s="1">
        <v>41707</v>
      </c>
      <c r="D1868" t="s">
        <v>1892</v>
      </c>
      <c r="E1868" t="s">
        <v>22</v>
      </c>
      <c r="F1868" t="s">
        <v>110</v>
      </c>
      <c r="G1868" t="s">
        <v>2410</v>
      </c>
      <c r="H1868">
        <v>170.352</v>
      </c>
      <c r="I1868">
        <v>3</v>
      </c>
      <c r="J1868">
        <v>-17.0352</v>
      </c>
      <c r="K1868">
        <v>2014</v>
      </c>
      <c r="L1868">
        <v>3</v>
      </c>
      <c r="M1868" t="s">
        <v>135</v>
      </c>
      <c r="N1868">
        <v>4</v>
      </c>
      <c r="O1868">
        <v>5</v>
      </c>
      <c r="P1868">
        <v>-10</v>
      </c>
      <c r="Q1868">
        <v>56.783999999999999</v>
      </c>
      <c r="R1868" t="s">
        <v>26</v>
      </c>
      <c r="S1868" t="b">
        <v>1</v>
      </c>
      <c r="T1868" t="b">
        <v>0</v>
      </c>
    </row>
    <row r="1869" spans="1:20" x14ac:dyDescent="0.3">
      <c r="A1869" t="s">
        <v>2895</v>
      </c>
      <c r="B1869" s="1">
        <v>41570</v>
      </c>
      <c r="C1869" s="1">
        <v>41570</v>
      </c>
      <c r="D1869" t="s">
        <v>1492</v>
      </c>
      <c r="E1869" t="s">
        <v>39</v>
      </c>
      <c r="F1869" t="s">
        <v>72</v>
      </c>
      <c r="G1869" t="s">
        <v>965</v>
      </c>
      <c r="H1869">
        <v>6.68</v>
      </c>
      <c r="I1869">
        <v>1</v>
      </c>
      <c r="J1869">
        <v>3.2063999999999999</v>
      </c>
      <c r="K1869">
        <v>2013</v>
      </c>
      <c r="L1869">
        <v>10</v>
      </c>
      <c r="M1869" t="s">
        <v>82</v>
      </c>
      <c r="N1869">
        <v>23</v>
      </c>
      <c r="O1869">
        <v>0</v>
      </c>
      <c r="P1869">
        <v>48</v>
      </c>
      <c r="Q1869">
        <v>6.68</v>
      </c>
      <c r="R1869" t="s">
        <v>26</v>
      </c>
      <c r="S1869" t="b">
        <v>0</v>
      </c>
      <c r="T1869" t="b">
        <v>0</v>
      </c>
    </row>
    <row r="1870" spans="1:20" x14ac:dyDescent="0.3">
      <c r="A1870" t="s">
        <v>2895</v>
      </c>
      <c r="B1870" s="1">
        <v>41570</v>
      </c>
      <c r="C1870" s="1">
        <v>41570</v>
      </c>
      <c r="D1870" t="s">
        <v>1492</v>
      </c>
      <c r="E1870" t="s">
        <v>39</v>
      </c>
      <c r="F1870" t="s">
        <v>31</v>
      </c>
      <c r="G1870" t="s">
        <v>1480</v>
      </c>
      <c r="H1870">
        <v>8.34</v>
      </c>
      <c r="I1870">
        <v>3</v>
      </c>
      <c r="J1870">
        <v>2.2517999999999998</v>
      </c>
      <c r="K1870">
        <v>2013</v>
      </c>
      <c r="L1870">
        <v>10</v>
      </c>
      <c r="M1870" t="s">
        <v>82</v>
      </c>
      <c r="N1870">
        <v>23</v>
      </c>
      <c r="O1870">
        <v>0</v>
      </c>
      <c r="P1870">
        <v>27</v>
      </c>
      <c r="Q1870">
        <v>2.78</v>
      </c>
      <c r="R1870" t="s">
        <v>26</v>
      </c>
      <c r="S1870" t="b">
        <v>0</v>
      </c>
      <c r="T1870" t="b">
        <v>0</v>
      </c>
    </row>
    <row r="1871" spans="1:20" x14ac:dyDescent="0.3">
      <c r="A1871" t="s">
        <v>2895</v>
      </c>
      <c r="B1871" s="1">
        <v>41570</v>
      </c>
      <c r="C1871" s="1">
        <v>41570</v>
      </c>
      <c r="D1871" t="s">
        <v>1492</v>
      </c>
      <c r="E1871" t="s">
        <v>39</v>
      </c>
      <c r="F1871" t="s">
        <v>29</v>
      </c>
      <c r="G1871" t="s">
        <v>2896</v>
      </c>
      <c r="H1871">
        <v>101.94</v>
      </c>
      <c r="I1871">
        <v>3</v>
      </c>
      <c r="J1871">
        <v>30.582000000000001</v>
      </c>
      <c r="K1871">
        <v>2013</v>
      </c>
      <c r="L1871">
        <v>10</v>
      </c>
      <c r="M1871" t="s">
        <v>82</v>
      </c>
      <c r="N1871">
        <v>23</v>
      </c>
      <c r="O1871">
        <v>0</v>
      </c>
      <c r="P1871">
        <v>30</v>
      </c>
      <c r="Q1871">
        <v>33.979999999999997</v>
      </c>
      <c r="R1871" t="s">
        <v>26</v>
      </c>
      <c r="S1871" t="b">
        <v>0</v>
      </c>
      <c r="T1871" t="b">
        <v>0</v>
      </c>
    </row>
    <row r="1872" spans="1:20" x14ac:dyDescent="0.3">
      <c r="A1872" t="s">
        <v>2897</v>
      </c>
      <c r="B1872" s="1">
        <v>41494</v>
      </c>
      <c r="C1872" s="1">
        <v>41498</v>
      </c>
      <c r="D1872" t="s">
        <v>2620</v>
      </c>
      <c r="E1872" t="s">
        <v>521</v>
      </c>
      <c r="F1872" t="s">
        <v>61</v>
      </c>
      <c r="G1872" t="s">
        <v>476</v>
      </c>
      <c r="H1872">
        <v>179.97</v>
      </c>
      <c r="I1872">
        <v>3</v>
      </c>
      <c r="J1872">
        <v>86.385599999999997</v>
      </c>
      <c r="K1872">
        <v>2013</v>
      </c>
      <c r="L1872">
        <v>8</v>
      </c>
      <c r="M1872" t="s">
        <v>53</v>
      </c>
      <c r="N1872">
        <v>8</v>
      </c>
      <c r="O1872">
        <v>4</v>
      </c>
      <c r="P1872">
        <v>48</v>
      </c>
      <c r="Q1872">
        <v>59.99</v>
      </c>
      <c r="R1872" t="s">
        <v>26</v>
      </c>
      <c r="S1872" t="b">
        <v>0</v>
      </c>
      <c r="T1872" t="b">
        <v>0</v>
      </c>
    </row>
    <row r="1873" spans="1:20" x14ac:dyDescent="0.3">
      <c r="A1873" t="s">
        <v>2898</v>
      </c>
      <c r="B1873" s="1">
        <v>41029</v>
      </c>
      <c r="C1873" s="1">
        <v>41035</v>
      </c>
      <c r="D1873" t="s">
        <v>2044</v>
      </c>
      <c r="E1873" t="s">
        <v>51</v>
      </c>
      <c r="F1873" t="s">
        <v>31</v>
      </c>
      <c r="G1873" t="s">
        <v>259</v>
      </c>
      <c r="H1873">
        <v>34.65</v>
      </c>
      <c r="I1873">
        <v>3</v>
      </c>
      <c r="J1873">
        <v>9.702</v>
      </c>
      <c r="K1873">
        <v>2012</v>
      </c>
      <c r="L1873">
        <v>4</v>
      </c>
      <c r="M1873" t="s">
        <v>236</v>
      </c>
      <c r="N1873">
        <v>30</v>
      </c>
      <c r="O1873">
        <v>6</v>
      </c>
      <c r="P1873">
        <v>28</v>
      </c>
      <c r="Q1873">
        <v>11.55</v>
      </c>
      <c r="R1873" t="s">
        <v>26</v>
      </c>
      <c r="S1873" t="b">
        <v>0</v>
      </c>
      <c r="T1873" t="b">
        <v>0</v>
      </c>
    </row>
    <row r="1874" spans="1:20" x14ac:dyDescent="0.3">
      <c r="A1874" t="s">
        <v>2898</v>
      </c>
      <c r="B1874" s="1">
        <v>41029</v>
      </c>
      <c r="C1874" s="1">
        <v>41035</v>
      </c>
      <c r="D1874" t="s">
        <v>2044</v>
      </c>
      <c r="E1874" t="s">
        <v>51</v>
      </c>
      <c r="F1874" t="s">
        <v>54</v>
      </c>
      <c r="G1874" t="s">
        <v>1598</v>
      </c>
      <c r="H1874">
        <v>19.8</v>
      </c>
      <c r="I1874">
        <v>5</v>
      </c>
      <c r="J1874">
        <v>1.7324999999999999</v>
      </c>
      <c r="K1874">
        <v>2012</v>
      </c>
      <c r="L1874">
        <v>4</v>
      </c>
      <c r="M1874" t="s">
        <v>236</v>
      </c>
      <c r="N1874">
        <v>30</v>
      </c>
      <c r="O1874">
        <v>6</v>
      </c>
      <c r="P1874">
        <v>8.75</v>
      </c>
      <c r="Q1874">
        <v>3.96</v>
      </c>
      <c r="R1874" t="s">
        <v>26</v>
      </c>
      <c r="S1874" t="b">
        <v>0</v>
      </c>
      <c r="T1874" t="b">
        <v>0</v>
      </c>
    </row>
    <row r="1875" spans="1:20" x14ac:dyDescent="0.3">
      <c r="A1875" t="s">
        <v>2899</v>
      </c>
      <c r="B1875" s="1">
        <v>41808</v>
      </c>
      <c r="C1875" s="1">
        <v>41811</v>
      </c>
      <c r="D1875" t="s">
        <v>612</v>
      </c>
      <c r="E1875" t="s">
        <v>2900</v>
      </c>
      <c r="F1875" t="s">
        <v>45</v>
      </c>
      <c r="G1875" t="s">
        <v>2675</v>
      </c>
      <c r="H1875">
        <v>146.352</v>
      </c>
      <c r="I1875">
        <v>3</v>
      </c>
      <c r="J1875">
        <v>-32.929200000000002</v>
      </c>
      <c r="K1875">
        <v>2014</v>
      </c>
      <c r="L1875">
        <v>6</v>
      </c>
      <c r="M1875" t="s">
        <v>25</v>
      </c>
      <c r="N1875">
        <v>18</v>
      </c>
      <c r="O1875">
        <v>3</v>
      </c>
      <c r="P1875">
        <v>-22.5</v>
      </c>
      <c r="Q1875">
        <v>48.783999999999999</v>
      </c>
      <c r="R1875" t="s">
        <v>26</v>
      </c>
      <c r="S1875" t="b">
        <v>1</v>
      </c>
      <c r="T1875" t="b">
        <v>0</v>
      </c>
    </row>
    <row r="1876" spans="1:20" x14ac:dyDescent="0.3">
      <c r="A1876" t="s">
        <v>2901</v>
      </c>
      <c r="B1876" s="1">
        <v>41421</v>
      </c>
      <c r="C1876" s="1">
        <v>41426</v>
      </c>
      <c r="D1876" t="s">
        <v>1459</v>
      </c>
      <c r="E1876" t="s">
        <v>527</v>
      </c>
      <c r="F1876" t="s">
        <v>119</v>
      </c>
      <c r="G1876" t="s">
        <v>383</v>
      </c>
      <c r="H1876">
        <v>5.94</v>
      </c>
      <c r="I1876">
        <v>3</v>
      </c>
      <c r="J1876">
        <v>0</v>
      </c>
      <c r="K1876">
        <v>2013</v>
      </c>
      <c r="L1876">
        <v>5</v>
      </c>
      <c r="M1876" t="s">
        <v>47</v>
      </c>
      <c r="N1876">
        <v>27</v>
      </c>
      <c r="O1876">
        <v>5</v>
      </c>
      <c r="P1876">
        <v>0</v>
      </c>
      <c r="Q1876">
        <v>1.98</v>
      </c>
      <c r="R1876" t="s">
        <v>26</v>
      </c>
      <c r="S1876" t="b">
        <v>0</v>
      </c>
      <c r="T1876" t="b">
        <v>0</v>
      </c>
    </row>
    <row r="1877" spans="1:20" x14ac:dyDescent="0.3">
      <c r="A1877" t="s">
        <v>2901</v>
      </c>
      <c r="B1877" s="1">
        <v>41421</v>
      </c>
      <c r="C1877" s="1">
        <v>41426</v>
      </c>
      <c r="D1877" t="s">
        <v>1459</v>
      </c>
      <c r="E1877" t="s">
        <v>527</v>
      </c>
      <c r="F1877" t="s">
        <v>72</v>
      </c>
      <c r="G1877" t="s">
        <v>2902</v>
      </c>
      <c r="H1877">
        <v>45.36</v>
      </c>
      <c r="I1877">
        <v>7</v>
      </c>
      <c r="J1877">
        <v>21.7728</v>
      </c>
      <c r="K1877">
        <v>2013</v>
      </c>
      <c r="L1877">
        <v>5</v>
      </c>
      <c r="M1877" t="s">
        <v>47</v>
      </c>
      <c r="N1877">
        <v>27</v>
      </c>
      <c r="O1877">
        <v>5</v>
      </c>
      <c r="P1877">
        <v>48</v>
      </c>
      <c r="Q1877">
        <v>6.48</v>
      </c>
      <c r="R1877" t="s">
        <v>26</v>
      </c>
      <c r="S1877" t="b">
        <v>0</v>
      </c>
      <c r="T1877" t="b">
        <v>0</v>
      </c>
    </row>
    <row r="1878" spans="1:20" x14ac:dyDescent="0.3">
      <c r="A1878" t="s">
        <v>2901</v>
      </c>
      <c r="B1878" s="1">
        <v>41421</v>
      </c>
      <c r="C1878" s="1">
        <v>41426</v>
      </c>
      <c r="D1878" t="s">
        <v>1459</v>
      </c>
      <c r="E1878" t="s">
        <v>527</v>
      </c>
      <c r="F1878" t="s">
        <v>54</v>
      </c>
      <c r="G1878" t="s">
        <v>2903</v>
      </c>
      <c r="H1878">
        <v>211.16800000000001</v>
      </c>
      <c r="I1878">
        <v>4</v>
      </c>
      <c r="J1878">
        <v>23.756399999999999</v>
      </c>
      <c r="K1878">
        <v>2013</v>
      </c>
      <c r="L1878">
        <v>5</v>
      </c>
      <c r="M1878" t="s">
        <v>47</v>
      </c>
      <c r="N1878">
        <v>27</v>
      </c>
      <c r="O1878">
        <v>5</v>
      </c>
      <c r="P1878">
        <v>11.25</v>
      </c>
      <c r="Q1878">
        <v>52.792000000000002</v>
      </c>
      <c r="R1878" t="s">
        <v>26</v>
      </c>
      <c r="S1878" t="b">
        <v>0</v>
      </c>
      <c r="T1878" t="b">
        <v>0</v>
      </c>
    </row>
    <row r="1879" spans="1:20" x14ac:dyDescent="0.3">
      <c r="A1879" t="s">
        <v>2901</v>
      </c>
      <c r="B1879" s="1">
        <v>41421</v>
      </c>
      <c r="C1879" s="1">
        <v>41426</v>
      </c>
      <c r="D1879" t="s">
        <v>1459</v>
      </c>
      <c r="E1879" t="s">
        <v>527</v>
      </c>
      <c r="F1879" t="s">
        <v>110</v>
      </c>
      <c r="G1879" t="s">
        <v>2217</v>
      </c>
      <c r="H1879">
        <v>484.70400000000001</v>
      </c>
      <c r="I1879">
        <v>6</v>
      </c>
      <c r="J1879">
        <v>-84.8232</v>
      </c>
      <c r="K1879">
        <v>2013</v>
      </c>
      <c r="L1879">
        <v>5</v>
      </c>
      <c r="M1879" t="s">
        <v>47</v>
      </c>
      <c r="N1879">
        <v>27</v>
      </c>
      <c r="O1879">
        <v>5</v>
      </c>
      <c r="P1879">
        <v>-17.5</v>
      </c>
      <c r="Q1879">
        <v>80.784000000000006</v>
      </c>
      <c r="R1879" t="s">
        <v>26</v>
      </c>
      <c r="S1879" t="b">
        <v>1</v>
      </c>
      <c r="T1879" t="b">
        <v>1</v>
      </c>
    </row>
    <row r="1880" spans="1:20" x14ac:dyDescent="0.3">
      <c r="A1880" t="s">
        <v>2901</v>
      </c>
      <c r="B1880" s="1">
        <v>41421</v>
      </c>
      <c r="C1880" s="1">
        <v>41426</v>
      </c>
      <c r="D1880" t="s">
        <v>1459</v>
      </c>
      <c r="E1880" t="s">
        <v>527</v>
      </c>
      <c r="F1880" t="s">
        <v>793</v>
      </c>
      <c r="G1880" t="s">
        <v>2904</v>
      </c>
      <c r="H1880">
        <v>371.976</v>
      </c>
      <c r="I1880">
        <v>3</v>
      </c>
      <c r="J1880">
        <v>116.24250000000001</v>
      </c>
      <c r="K1880">
        <v>2013</v>
      </c>
      <c r="L1880">
        <v>5</v>
      </c>
      <c r="M1880" t="s">
        <v>47</v>
      </c>
      <c r="N1880">
        <v>27</v>
      </c>
      <c r="O1880">
        <v>5</v>
      </c>
      <c r="P1880">
        <v>31.25</v>
      </c>
      <c r="Q1880">
        <v>123.992</v>
      </c>
      <c r="R1880" t="s">
        <v>26</v>
      </c>
      <c r="S1880" t="b">
        <v>0</v>
      </c>
      <c r="T1880" t="b">
        <v>1</v>
      </c>
    </row>
    <row r="1881" spans="1:20" x14ac:dyDescent="0.3">
      <c r="A1881" t="s">
        <v>2905</v>
      </c>
      <c r="B1881" s="1">
        <v>41568</v>
      </c>
      <c r="C1881" s="1">
        <v>41570</v>
      </c>
      <c r="D1881" t="s">
        <v>2050</v>
      </c>
      <c r="E1881" t="s">
        <v>22</v>
      </c>
      <c r="F1881" t="s">
        <v>33</v>
      </c>
      <c r="G1881" t="s">
        <v>1162</v>
      </c>
      <c r="H1881">
        <v>19.295999999999999</v>
      </c>
      <c r="I1881">
        <v>3</v>
      </c>
      <c r="J1881">
        <v>6.03</v>
      </c>
      <c r="K1881">
        <v>2013</v>
      </c>
      <c r="L1881">
        <v>10</v>
      </c>
      <c r="M1881" t="s">
        <v>82</v>
      </c>
      <c r="N1881">
        <v>21</v>
      </c>
      <c r="O1881">
        <v>2</v>
      </c>
      <c r="P1881">
        <v>31.25</v>
      </c>
      <c r="Q1881">
        <v>6.4319999999999986</v>
      </c>
      <c r="R1881" t="s">
        <v>26</v>
      </c>
      <c r="S1881" t="b">
        <v>0</v>
      </c>
      <c r="T1881" t="b">
        <v>0</v>
      </c>
    </row>
    <row r="1882" spans="1:20" x14ac:dyDescent="0.3">
      <c r="A1882" t="s">
        <v>2906</v>
      </c>
      <c r="B1882" s="1">
        <v>41443</v>
      </c>
      <c r="C1882" s="1">
        <v>41445</v>
      </c>
      <c r="D1882" t="s">
        <v>2907</v>
      </c>
      <c r="E1882" t="s">
        <v>22</v>
      </c>
      <c r="F1882" t="s">
        <v>317</v>
      </c>
      <c r="G1882" t="s">
        <v>2681</v>
      </c>
      <c r="H1882">
        <v>239.666</v>
      </c>
      <c r="I1882">
        <v>2</v>
      </c>
      <c r="J1882">
        <v>14.098000000000001</v>
      </c>
      <c r="K1882">
        <v>2013</v>
      </c>
      <c r="L1882">
        <v>6</v>
      </c>
      <c r="M1882" t="s">
        <v>25</v>
      </c>
      <c r="N1882">
        <v>18</v>
      </c>
      <c r="O1882">
        <v>2</v>
      </c>
      <c r="P1882">
        <v>5.88</v>
      </c>
      <c r="Q1882">
        <v>119.833</v>
      </c>
      <c r="R1882" t="s">
        <v>26</v>
      </c>
      <c r="S1882" t="b">
        <v>0</v>
      </c>
      <c r="T1882" t="b">
        <v>1</v>
      </c>
    </row>
    <row r="1883" spans="1:20" x14ac:dyDescent="0.3">
      <c r="A1883" t="s">
        <v>2906</v>
      </c>
      <c r="B1883" s="1">
        <v>41443</v>
      </c>
      <c r="C1883" s="1">
        <v>41445</v>
      </c>
      <c r="D1883" t="s">
        <v>2907</v>
      </c>
      <c r="E1883" t="s">
        <v>22</v>
      </c>
      <c r="F1883" t="s">
        <v>23</v>
      </c>
      <c r="G1883" t="s">
        <v>2908</v>
      </c>
      <c r="H1883">
        <v>22.5</v>
      </c>
      <c r="I1883">
        <v>6</v>
      </c>
      <c r="J1883">
        <v>10.8</v>
      </c>
      <c r="K1883">
        <v>2013</v>
      </c>
      <c r="L1883">
        <v>6</v>
      </c>
      <c r="M1883" t="s">
        <v>25</v>
      </c>
      <c r="N1883">
        <v>18</v>
      </c>
      <c r="O1883">
        <v>2</v>
      </c>
      <c r="P1883">
        <v>48</v>
      </c>
      <c r="Q1883">
        <v>3.75</v>
      </c>
      <c r="R1883" t="s">
        <v>26</v>
      </c>
      <c r="S1883" t="b">
        <v>0</v>
      </c>
      <c r="T1883" t="b">
        <v>0</v>
      </c>
    </row>
    <row r="1884" spans="1:20" x14ac:dyDescent="0.3">
      <c r="A1884" t="s">
        <v>2906</v>
      </c>
      <c r="B1884" s="1">
        <v>41443</v>
      </c>
      <c r="C1884" s="1">
        <v>41445</v>
      </c>
      <c r="D1884" t="s">
        <v>2907</v>
      </c>
      <c r="E1884" t="s">
        <v>22</v>
      </c>
      <c r="F1884" t="s">
        <v>72</v>
      </c>
      <c r="G1884" t="s">
        <v>2909</v>
      </c>
      <c r="H1884">
        <v>219.84</v>
      </c>
      <c r="I1884">
        <v>4</v>
      </c>
      <c r="J1884">
        <v>107.7216</v>
      </c>
      <c r="K1884">
        <v>2013</v>
      </c>
      <c r="L1884">
        <v>6</v>
      </c>
      <c r="M1884" t="s">
        <v>25</v>
      </c>
      <c r="N1884">
        <v>18</v>
      </c>
      <c r="O1884">
        <v>2</v>
      </c>
      <c r="P1884">
        <v>49</v>
      </c>
      <c r="Q1884">
        <v>54.96</v>
      </c>
      <c r="R1884" t="s">
        <v>26</v>
      </c>
      <c r="S1884" t="b">
        <v>0</v>
      </c>
      <c r="T1884" t="b">
        <v>1</v>
      </c>
    </row>
    <row r="1885" spans="1:20" x14ac:dyDescent="0.3">
      <c r="A1885" t="s">
        <v>2910</v>
      </c>
      <c r="B1885" s="1">
        <v>40792</v>
      </c>
      <c r="C1885" s="1">
        <v>40795</v>
      </c>
      <c r="D1885" t="s">
        <v>2911</v>
      </c>
      <c r="E1885" t="s">
        <v>51</v>
      </c>
      <c r="F1885" t="s">
        <v>29</v>
      </c>
      <c r="G1885" t="s">
        <v>30</v>
      </c>
      <c r="H1885">
        <v>41.88</v>
      </c>
      <c r="I1885">
        <v>6</v>
      </c>
      <c r="J1885">
        <v>12.145200000000001</v>
      </c>
      <c r="K1885">
        <v>2011</v>
      </c>
      <c r="L1885">
        <v>9</v>
      </c>
      <c r="M1885" t="s">
        <v>87</v>
      </c>
      <c r="N1885">
        <v>6</v>
      </c>
      <c r="O1885">
        <v>3</v>
      </c>
      <c r="P1885">
        <v>29</v>
      </c>
      <c r="Q1885">
        <v>6.98</v>
      </c>
      <c r="R1885" t="s">
        <v>26</v>
      </c>
      <c r="S1885" t="b">
        <v>0</v>
      </c>
      <c r="T1885" t="b">
        <v>0</v>
      </c>
    </row>
    <row r="1886" spans="1:20" x14ac:dyDescent="0.3">
      <c r="A1886" t="s">
        <v>2910</v>
      </c>
      <c r="B1886" s="1">
        <v>40792</v>
      </c>
      <c r="C1886" s="1">
        <v>40795</v>
      </c>
      <c r="D1886" t="s">
        <v>2911</v>
      </c>
      <c r="E1886" t="s">
        <v>51</v>
      </c>
      <c r="F1886" t="s">
        <v>23</v>
      </c>
      <c r="G1886" t="s">
        <v>2912</v>
      </c>
      <c r="H1886">
        <v>58.48</v>
      </c>
      <c r="I1886">
        <v>8</v>
      </c>
      <c r="J1886">
        <v>27.485600000000002</v>
      </c>
      <c r="K1886">
        <v>2011</v>
      </c>
      <c r="L1886">
        <v>9</v>
      </c>
      <c r="M1886" t="s">
        <v>87</v>
      </c>
      <c r="N1886">
        <v>6</v>
      </c>
      <c r="O1886">
        <v>3</v>
      </c>
      <c r="P1886">
        <v>47</v>
      </c>
      <c r="Q1886">
        <v>7.31</v>
      </c>
      <c r="R1886" t="s">
        <v>26</v>
      </c>
      <c r="S1886" t="b">
        <v>0</v>
      </c>
      <c r="T1886" t="b">
        <v>0</v>
      </c>
    </row>
    <row r="1887" spans="1:20" x14ac:dyDescent="0.3">
      <c r="A1887" t="s">
        <v>2913</v>
      </c>
      <c r="B1887" s="1">
        <v>40686</v>
      </c>
      <c r="C1887" s="1">
        <v>40690</v>
      </c>
      <c r="D1887" t="s">
        <v>1330</v>
      </c>
      <c r="E1887" t="s">
        <v>912</v>
      </c>
      <c r="F1887" t="s">
        <v>72</v>
      </c>
      <c r="G1887" t="s">
        <v>2914</v>
      </c>
      <c r="H1887">
        <v>12.96</v>
      </c>
      <c r="I1887">
        <v>2</v>
      </c>
      <c r="J1887">
        <v>6.2207999999999997</v>
      </c>
      <c r="K1887">
        <v>2011</v>
      </c>
      <c r="L1887">
        <v>5</v>
      </c>
      <c r="M1887" t="s">
        <v>47</v>
      </c>
      <c r="N1887">
        <v>23</v>
      </c>
      <c r="O1887">
        <v>4</v>
      </c>
      <c r="P1887">
        <v>48</v>
      </c>
      <c r="Q1887">
        <v>6.48</v>
      </c>
      <c r="R1887" t="s">
        <v>26</v>
      </c>
      <c r="S1887" t="b">
        <v>0</v>
      </c>
      <c r="T1887" t="b">
        <v>0</v>
      </c>
    </row>
    <row r="1888" spans="1:20" x14ac:dyDescent="0.3">
      <c r="A1888" t="s">
        <v>2915</v>
      </c>
      <c r="B1888" s="1">
        <v>41572</v>
      </c>
      <c r="C1888" s="1">
        <v>41572</v>
      </c>
      <c r="D1888" t="s">
        <v>333</v>
      </c>
      <c r="E1888" t="s">
        <v>51</v>
      </c>
      <c r="F1888" t="s">
        <v>61</v>
      </c>
      <c r="G1888" t="s">
        <v>2916</v>
      </c>
      <c r="H1888">
        <v>199.99</v>
      </c>
      <c r="I1888">
        <v>1</v>
      </c>
      <c r="J1888">
        <v>85.995699999999999</v>
      </c>
      <c r="K1888">
        <v>2013</v>
      </c>
      <c r="L1888">
        <v>10</v>
      </c>
      <c r="M1888" t="s">
        <v>82</v>
      </c>
      <c r="N1888">
        <v>25</v>
      </c>
      <c r="O1888">
        <v>0</v>
      </c>
      <c r="P1888">
        <v>43</v>
      </c>
      <c r="Q1888">
        <v>199.99</v>
      </c>
      <c r="R1888" t="s">
        <v>26</v>
      </c>
      <c r="S1888" t="b">
        <v>0</v>
      </c>
      <c r="T1888" t="b">
        <v>0</v>
      </c>
    </row>
    <row r="1889" spans="1:20" x14ac:dyDescent="0.3">
      <c r="A1889" t="s">
        <v>2917</v>
      </c>
      <c r="B1889" s="1">
        <v>41131</v>
      </c>
      <c r="C1889" s="1">
        <v>41137</v>
      </c>
      <c r="D1889" t="s">
        <v>1216</v>
      </c>
      <c r="E1889" t="s">
        <v>1045</v>
      </c>
      <c r="F1889" t="s">
        <v>54</v>
      </c>
      <c r="G1889" t="s">
        <v>669</v>
      </c>
      <c r="H1889">
        <v>438.36799999999999</v>
      </c>
      <c r="I1889">
        <v>4</v>
      </c>
      <c r="J1889">
        <v>38.357199999999999</v>
      </c>
      <c r="K1889">
        <v>2012</v>
      </c>
      <c r="L1889">
        <v>8</v>
      </c>
      <c r="M1889" t="s">
        <v>53</v>
      </c>
      <c r="N1889">
        <v>10</v>
      </c>
      <c r="O1889">
        <v>6</v>
      </c>
      <c r="P1889">
        <v>8.75</v>
      </c>
      <c r="Q1889">
        <v>109.592</v>
      </c>
      <c r="R1889" t="s">
        <v>26</v>
      </c>
      <c r="S1889" t="b">
        <v>0</v>
      </c>
      <c r="T1889" t="b">
        <v>1</v>
      </c>
    </row>
    <row r="1890" spans="1:20" x14ac:dyDescent="0.3">
      <c r="A1890" t="s">
        <v>2917</v>
      </c>
      <c r="B1890" s="1">
        <v>41131</v>
      </c>
      <c r="C1890" s="1">
        <v>41137</v>
      </c>
      <c r="D1890" t="s">
        <v>1216</v>
      </c>
      <c r="E1890" t="s">
        <v>1045</v>
      </c>
      <c r="F1890" t="s">
        <v>54</v>
      </c>
      <c r="G1890" t="s">
        <v>2918</v>
      </c>
      <c r="H1890">
        <v>139.94399999999999</v>
      </c>
      <c r="I1890">
        <v>7</v>
      </c>
      <c r="J1890">
        <v>-31.487400000000001</v>
      </c>
      <c r="K1890">
        <v>2012</v>
      </c>
      <c r="L1890">
        <v>8</v>
      </c>
      <c r="M1890" t="s">
        <v>53</v>
      </c>
      <c r="N1890">
        <v>10</v>
      </c>
      <c r="O1890">
        <v>6</v>
      </c>
      <c r="P1890">
        <v>-22.5</v>
      </c>
      <c r="Q1890">
        <v>19.992000000000001</v>
      </c>
      <c r="R1890" t="s">
        <v>26</v>
      </c>
      <c r="S1890" t="b">
        <v>1</v>
      </c>
      <c r="T1890" t="b">
        <v>0</v>
      </c>
    </row>
    <row r="1891" spans="1:20" x14ac:dyDescent="0.3">
      <c r="A1891" t="s">
        <v>2917</v>
      </c>
      <c r="B1891" s="1">
        <v>41131</v>
      </c>
      <c r="C1891" s="1">
        <v>41137</v>
      </c>
      <c r="D1891" t="s">
        <v>1216</v>
      </c>
      <c r="E1891" t="s">
        <v>1045</v>
      </c>
      <c r="F1891" t="s">
        <v>35</v>
      </c>
      <c r="G1891" t="s">
        <v>2919</v>
      </c>
      <c r="H1891">
        <v>133.47200000000001</v>
      </c>
      <c r="I1891">
        <v>4</v>
      </c>
      <c r="J1891">
        <v>15.015599999999999</v>
      </c>
      <c r="K1891">
        <v>2012</v>
      </c>
      <c r="L1891">
        <v>8</v>
      </c>
      <c r="M1891" t="s">
        <v>53</v>
      </c>
      <c r="N1891">
        <v>10</v>
      </c>
      <c r="O1891">
        <v>6</v>
      </c>
      <c r="P1891">
        <v>11.25</v>
      </c>
      <c r="Q1891">
        <v>33.368000000000002</v>
      </c>
      <c r="R1891" t="s">
        <v>26</v>
      </c>
      <c r="S1891" t="b">
        <v>0</v>
      </c>
      <c r="T1891" t="b">
        <v>0</v>
      </c>
    </row>
    <row r="1892" spans="1:20" x14ac:dyDescent="0.3">
      <c r="A1892" t="s">
        <v>2920</v>
      </c>
      <c r="B1892" s="1">
        <v>41624</v>
      </c>
      <c r="C1892" s="1">
        <v>41630</v>
      </c>
      <c r="D1892" t="s">
        <v>903</v>
      </c>
      <c r="E1892" t="s">
        <v>1088</v>
      </c>
      <c r="F1892" t="s">
        <v>35</v>
      </c>
      <c r="G1892" t="s">
        <v>2886</v>
      </c>
      <c r="H1892">
        <v>87.168000000000006</v>
      </c>
      <c r="I1892">
        <v>2</v>
      </c>
      <c r="J1892">
        <v>8.7167999999999992</v>
      </c>
      <c r="K1892">
        <v>2013</v>
      </c>
      <c r="L1892">
        <v>12</v>
      </c>
      <c r="M1892" t="s">
        <v>41</v>
      </c>
      <c r="N1892">
        <v>16</v>
      </c>
      <c r="O1892">
        <v>6</v>
      </c>
      <c r="P1892">
        <v>10</v>
      </c>
      <c r="Q1892">
        <v>43.584000000000003</v>
      </c>
      <c r="R1892" t="s">
        <v>26</v>
      </c>
      <c r="S1892" t="b">
        <v>0</v>
      </c>
      <c r="T1892" t="b">
        <v>0</v>
      </c>
    </row>
    <row r="1893" spans="1:20" x14ac:dyDescent="0.3">
      <c r="A1893" t="s">
        <v>2921</v>
      </c>
      <c r="B1893" s="1">
        <v>41691</v>
      </c>
      <c r="C1893" s="1">
        <v>41698</v>
      </c>
      <c r="D1893" t="s">
        <v>1334</v>
      </c>
      <c r="E1893" t="s">
        <v>77</v>
      </c>
      <c r="F1893" t="s">
        <v>54</v>
      </c>
      <c r="G1893" t="s">
        <v>2640</v>
      </c>
      <c r="H1893">
        <v>333.57600000000002</v>
      </c>
      <c r="I1893">
        <v>3</v>
      </c>
      <c r="J1893">
        <v>25.0182</v>
      </c>
      <c r="K1893">
        <v>2014</v>
      </c>
      <c r="L1893">
        <v>2</v>
      </c>
      <c r="M1893" t="s">
        <v>303</v>
      </c>
      <c r="N1893">
        <v>21</v>
      </c>
      <c r="O1893">
        <v>7</v>
      </c>
      <c r="P1893">
        <v>7.5</v>
      </c>
      <c r="Q1893">
        <v>111.19199999999999</v>
      </c>
      <c r="R1893" t="s">
        <v>26</v>
      </c>
      <c r="S1893" t="b">
        <v>0</v>
      </c>
      <c r="T1893" t="b">
        <v>1</v>
      </c>
    </row>
    <row r="1894" spans="1:20" x14ac:dyDescent="0.3">
      <c r="A1894" t="s">
        <v>2921</v>
      </c>
      <c r="B1894" s="1">
        <v>41691</v>
      </c>
      <c r="C1894" s="1">
        <v>41698</v>
      </c>
      <c r="D1894" t="s">
        <v>1334</v>
      </c>
      <c r="E1894" t="s">
        <v>77</v>
      </c>
      <c r="F1894" t="s">
        <v>61</v>
      </c>
      <c r="G1894" t="s">
        <v>2922</v>
      </c>
      <c r="H1894">
        <v>31.992000000000001</v>
      </c>
      <c r="I1894">
        <v>1</v>
      </c>
      <c r="J1894">
        <v>4.7988</v>
      </c>
      <c r="K1894">
        <v>2014</v>
      </c>
      <c r="L1894">
        <v>2</v>
      </c>
      <c r="M1894" t="s">
        <v>303</v>
      </c>
      <c r="N1894">
        <v>21</v>
      </c>
      <c r="O1894">
        <v>7</v>
      </c>
      <c r="P1894">
        <v>15</v>
      </c>
      <c r="Q1894">
        <v>31.992000000000001</v>
      </c>
      <c r="R1894" t="s">
        <v>26</v>
      </c>
      <c r="S1894" t="b">
        <v>0</v>
      </c>
      <c r="T1894" t="b">
        <v>0</v>
      </c>
    </row>
    <row r="1895" spans="1:20" x14ac:dyDescent="0.3">
      <c r="A1895" t="s">
        <v>2921</v>
      </c>
      <c r="B1895" s="1">
        <v>41691</v>
      </c>
      <c r="C1895" s="1">
        <v>41698</v>
      </c>
      <c r="D1895" t="s">
        <v>1334</v>
      </c>
      <c r="E1895" t="s">
        <v>77</v>
      </c>
      <c r="F1895" t="s">
        <v>45</v>
      </c>
      <c r="G1895" t="s">
        <v>971</v>
      </c>
      <c r="H1895">
        <v>51.167999999999999</v>
      </c>
      <c r="I1895">
        <v>2</v>
      </c>
      <c r="J1895">
        <v>-6.3959999999999999</v>
      </c>
      <c r="K1895">
        <v>2014</v>
      </c>
      <c r="L1895">
        <v>2</v>
      </c>
      <c r="M1895" t="s">
        <v>303</v>
      </c>
      <c r="N1895">
        <v>21</v>
      </c>
      <c r="O1895">
        <v>7</v>
      </c>
      <c r="P1895">
        <v>-12.5</v>
      </c>
      <c r="Q1895">
        <v>25.584</v>
      </c>
      <c r="R1895" t="s">
        <v>26</v>
      </c>
      <c r="S1895" t="b">
        <v>1</v>
      </c>
      <c r="T1895" t="b">
        <v>0</v>
      </c>
    </row>
    <row r="1896" spans="1:20" x14ac:dyDescent="0.3">
      <c r="A1896" t="s">
        <v>2921</v>
      </c>
      <c r="B1896" s="1">
        <v>41691</v>
      </c>
      <c r="C1896" s="1">
        <v>41698</v>
      </c>
      <c r="D1896" t="s">
        <v>1334</v>
      </c>
      <c r="E1896" t="s">
        <v>77</v>
      </c>
      <c r="F1896" t="s">
        <v>128</v>
      </c>
      <c r="G1896" t="s">
        <v>1708</v>
      </c>
      <c r="H1896">
        <v>10.64</v>
      </c>
      <c r="I1896">
        <v>5</v>
      </c>
      <c r="J1896">
        <v>3.8570000000000002</v>
      </c>
      <c r="K1896">
        <v>2014</v>
      </c>
      <c r="L1896">
        <v>2</v>
      </c>
      <c r="M1896" t="s">
        <v>303</v>
      </c>
      <c r="N1896">
        <v>21</v>
      </c>
      <c r="O1896">
        <v>7</v>
      </c>
      <c r="P1896">
        <v>36.25</v>
      </c>
      <c r="Q1896">
        <v>2.1280000000000001</v>
      </c>
      <c r="R1896" t="s">
        <v>26</v>
      </c>
      <c r="S1896" t="b">
        <v>0</v>
      </c>
      <c r="T1896" t="b">
        <v>0</v>
      </c>
    </row>
    <row r="1897" spans="1:20" x14ac:dyDescent="0.3">
      <c r="A1897" t="s">
        <v>2921</v>
      </c>
      <c r="B1897" s="1">
        <v>41691</v>
      </c>
      <c r="C1897" s="1">
        <v>41698</v>
      </c>
      <c r="D1897" t="s">
        <v>1334</v>
      </c>
      <c r="E1897" t="s">
        <v>77</v>
      </c>
      <c r="F1897" t="s">
        <v>29</v>
      </c>
      <c r="G1897" t="s">
        <v>894</v>
      </c>
      <c r="H1897">
        <v>68.703999999999994</v>
      </c>
      <c r="I1897">
        <v>2</v>
      </c>
      <c r="J1897">
        <v>16.3172</v>
      </c>
      <c r="K1897">
        <v>2014</v>
      </c>
      <c r="L1897">
        <v>2</v>
      </c>
      <c r="M1897" t="s">
        <v>303</v>
      </c>
      <c r="N1897">
        <v>21</v>
      </c>
      <c r="O1897">
        <v>7</v>
      </c>
      <c r="P1897">
        <v>23.75</v>
      </c>
      <c r="Q1897">
        <v>34.351999999999997</v>
      </c>
      <c r="R1897" t="s">
        <v>26</v>
      </c>
      <c r="S1897" t="b">
        <v>0</v>
      </c>
      <c r="T1897" t="b">
        <v>0</v>
      </c>
    </row>
    <row r="1898" spans="1:20" x14ac:dyDescent="0.3">
      <c r="A1898" t="s">
        <v>2921</v>
      </c>
      <c r="B1898" s="1">
        <v>41691</v>
      </c>
      <c r="C1898" s="1">
        <v>41698</v>
      </c>
      <c r="D1898" t="s">
        <v>1334</v>
      </c>
      <c r="E1898" t="s">
        <v>77</v>
      </c>
      <c r="F1898" t="s">
        <v>174</v>
      </c>
      <c r="G1898" t="s">
        <v>916</v>
      </c>
      <c r="H1898">
        <v>386.91</v>
      </c>
      <c r="I1898">
        <v>9</v>
      </c>
      <c r="J1898">
        <v>-185.71680000000001</v>
      </c>
      <c r="K1898">
        <v>2014</v>
      </c>
      <c r="L1898">
        <v>2</v>
      </c>
      <c r="M1898" t="s">
        <v>303</v>
      </c>
      <c r="N1898">
        <v>21</v>
      </c>
      <c r="O1898">
        <v>7</v>
      </c>
      <c r="P1898">
        <v>-48</v>
      </c>
      <c r="Q1898">
        <v>42.99</v>
      </c>
      <c r="R1898" t="s">
        <v>26</v>
      </c>
      <c r="S1898" t="b">
        <v>1</v>
      </c>
      <c r="T1898" t="b">
        <v>1</v>
      </c>
    </row>
    <row r="1899" spans="1:20" x14ac:dyDescent="0.3">
      <c r="A1899" t="s">
        <v>2923</v>
      </c>
      <c r="B1899" s="1">
        <v>40778</v>
      </c>
      <c r="C1899" s="1">
        <v>40782</v>
      </c>
      <c r="D1899" t="s">
        <v>980</v>
      </c>
      <c r="E1899" t="s">
        <v>22</v>
      </c>
      <c r="F1899" t="s">
        <v>33</v>
      </c>
      <c r="G1899" t="s">
        <v>2924</v>
      </c>
      <c r="H1899">
        <v>49.567999999999998</v>
      </c>
      <c r="I1899">
        <v>2</v>
      </c>
      <c r="J1899">
        <v>17.348800000000001</v>
      </c>
      <c r="K1899">
        <v>2011</v>
      </c>
      <c r="L1899">
        <v>8</v>
      </c>
      <c r="M1899" t="s">
        <v>53</v>
      </c>
      <c r="N1899">
        <v>23</v>
      </c>
      <c r="O1899">
        <v>4</v>
      </c>
      <c r="P1899">
        <v>35</v>
      </c>
      <c r="Q1899">
        <v>24.783999999999999</v>
      </c>
      <c r="R1899" t="s">
        <v>26</v>
      </c>
      <c r="S1899" t="b">
        <v>0</v>
      </c>
      <c r="T1899" t="b">
        <v>0</v>
      </c>
    </row>
    <row r="1900" spans="1:20" x14ac:dyDescent="0.3">
      <c r="A1900" t="s">
        <v>2925</v>
      </c>
      <c r="B1900" s="1">
        <v>41163</v>
      </c>
      <c r="C1900" s="1">
        <v>41168</v>
      </c>
      <c r="D1900" t="s">
        <v>2926</v>
      </c>
      <c r="E1900" t="s">
        <v>194</v>
      </c>
      <c r="F1900" t="s">
        <v>31</v>
      </c>
      <c r="G1900" t="s">
        <v>2283</v>
      </c>
      <c r="H1900">
        <v>265.86</v>
      </c>
      <c r="I1900">
        <v>7</v>
      </c>
      <c r="J1900">
        <v>79.757999999999996</v>
      </c>
      <c r="K1900">
        <v>2012</v>
      </c>
      <c r="L1900">
        <v>9</v>
      </c>
      <c r="M1900" t="s">
        <v>87</v>
      </c>
      <c r="N1900">
        <v>11</v>
      </c>
      <c r="O1900">
        <v>5</v>
      </c>
      <c r="P1900">
        <v>30</v>
      </c>
      <c r="Q1900">
        <v>37.979999999999997</v>
      </c>
      <c r="R1900" t="s">
        <v>48</v>
      </c>
      <c r="S1900" t="b">
        <v>0</v>
      </c>
      <c r="T1900" t="b">
        <v>1</v>
      </c>
    </row>
    <row r="1901" spans="1:20" x14ac:dyDescent="0.3">
      <c r="A1901" t="s">
        <v>2927</v>
      </c>
      <c r="B1901" s="1">
        <v>40826</v>
      </c>
      <c r="C1901" s="1">
        <v>40830</v>
      </c>
      <c r="D1901" t="s">
        <v>2928</v>
      </c>
      <c r="E1901" t="s">
        <v>105</v>
      </c>
      <c r="F1901" t="s">
        <v>29</v>
      </c>
      <c r="G1901" t="s">
        <v>782</v>
      </c>
      <c r="H1901">
        <v>46.872</v>
      </c>
      <c r="I1901">
        <v>7</v>
      </c>
      <c r="J1901">
        <v>3.5154000000000001</v>
      </c>
      <c r="K1901">
        <v>2011</v>
      </c>
      <c r="L1901">
        <v>10</v>
      </c>
      <c r="M1901" t="s">
        <v>82</v>
      </c>
      <c r="N1901">
        <v>10</v>
      </c>
      <c r="O1901">
        <v>4</v>
      </c>
      <c r="P1901">
        <v>7.5</v>
      </c>
      <c r="Q1901">
        <v>6.6959999999999997</v>
      </c>
      <c r="R1901" t="s">
        <v>48</v>
      </c>
      <c r="S1901" t="b">
        <v>0</v>
      </c>
      <c r="T1901" t="b">
        <v>0</v>
      </c>
    </row>
    <row r="1902" spans="1:20" x14ac:dyDescent="0.3">
      <c r="A1902" t="s">
        <v>2929</v>
      </c>
      <c r="B1902" s="1">
        <v>40852</v>
      </c>
      <c r="C1902" s="1">
        <v>40857</v>
      </c>
      <c r="D1902" t="s">
        <v>2227</v>
      </c>
      <c r="E1902" t="s">
        <v>22</v>
      </c>
      <c r="F1902" t="s">
        <v>29</v>
      </c>
      <c r="G1902" t="s">
        <v>2539</v>
      </c>
      <c r="H1902">
        <v>20.04</v>
      </c>
      <c r="I1902">
        <v>6</v>
      </c>
      <c r="J1902">
        <v>8.8176000000000005</v>
      </c>
      <c r="K1902">
        <v>2011</v>
      </c>
      <c r="L1902">
        <v>11</v>
      </c>
      <c r="M1902" t="s">
        <v>70</v>
      </c>
      <c r="N1902">
        <v>5</v>
      </c>
      <c r="O1902">
        <v>5</v>
      </c>
      <c r="P1902">
        <v>44</v>
      </c>
      <c r="Q1902">
        <v>3.34</v>
      </c>
      <c r="R1902" t="s">
        <v>26</v>
      </c>
      <c r="S1902" t="b">
        <v>0</v>
      </c>
      <c r="T1902" t="b">
        <v>0</v>
      </c>
    </row>
    <row r="1903" spans="1:20" x14ac:dyDescent="0.3">
      <c r="A1903" t="s">
        <v>2930</v>
      </c>
      <c r="B1903" s="1">
        <v>41709</v>
      </c>
      <c r="C1903" s="1">
        <v>41714</v>
      </c>
      <c r="D1903" t="s">
        <v>2439</v>
      </c>
      <c r="E1903" t="s">
        <v>51</v>
      </c>
      <c r="F1903" t="s">
        <v>61</v>
      </c>
      <c r="G1903" t="s">
        <v>1164</v>
      </c>
      <c r="H1903">
        <v>111.96</v>
      </c>
      <c r="I1903">
        <v>4</v>
      </c>
      <c r="J1903">
        <v>21.272400000000001</v>
      </c>
      <c r="K1903">
        <v>2014</v>
      </c>
      <c r="L1903">
        <v>3</v>
      </c>
      <c r="M1903" t="s">
        <v>135</v>
      </c>
      <c r="N1903">
        <v>11</v>
      </c>
      <c r="O1903">
        <v>5</v>
      </c>
      <c r="P1903">
        <v>19</v>
      </c>
      <c r="Q1903">
        <v>27.99</v>
      </c>
      <c r="R1903" t="s">
        <v>26</v>
      </c>
      <c r="S1903" t="b">
        <v>0</v>
      </c>
      <c r="T1903" t="b">
        <v>0</v>
      </c>
    </row>
    <row r="1904" spans="1:20" x14ac:dyDescent="0.3">
      <c r="A1904" t="s">
        <v>2931</v>
      </c>
      <c r="B1904" s="1">
        <v>41842</v>
      </c>
      <c r="C1904" s="1">
        <v>41846</v>
      </c>
      <c r="D1904" t="s">
        <v>2396</v>
      </c>
      <c r="E1904" t="s">
        <v>194</v>
      </c>
      <c r="F1904" t="s">
        <v>72</v>
      </c>
      <c r="G1904" t="s">
        <v>2932</v>
      </c>
      <c r="H1904">
        <v>16.34</v>
      </c>
      <c r="I1904">
        <v>2</v>
      </c>
      <c r="J1904">
        <v>7.6798000000000002</v>
      </c>
      <c r="K1904">
        <v>2014</v>
      </c>
      <c r="L1904">
        <v>7</v>
      </c>
      <c r="M1904" t="s">
        <v>66</v>
      </c>
      <c r="N1904">
        <v>22</v>
      </c>
      <c r="O1904">
        <v>4</v>
      </c>
      <c r="P1904">
        <v>47</v>
      </c>
      <c r="Q1904">
        <v>8.17</v>
      </c>
      <c r="R1904" t="s">
        <v>26</v>
      </c>
      <c r="S1904" t="b">
        <v>0</v>
      </c>
      <c r="T1904" t="b">
        <v>0</v>
      </c>
    </row>
    <row r="1905" spans="1:20" x14ac:dyDescent="0.3">
      <c r="A1905" t="s">
        <v>2931</v>
      </c>
      <c r="B1905" s="1">
        <v>41842</v>
      </c>
      <c r="C1905" s="1">
        <v>41846</v>
      </c>
      <c r="D1905" t="s">
        <v>2396</v>
      </c>
      <c r="E1905" t="s">
        <v>194</v>
      </c>
      <c r="F1905" t="s">
        <v>110</v>
      </c>
      <c r="G1905" t="s">
        <v>1500</v>
      </c>
      <c r="H1905">
        <v>225.29599999999999</v>
      </c>
      <c r="I1905">
        <v>2</v>
      </c>
      <c r="J1905">
        <v>22.529599999999999</v>
      </c>
      <c r="K1905">
        <v>2014</v>
      </c>
      <c r="L1905">
        <v>7</v>
      </c>
      <c r="M1905" t="s">
        <v>66</v>
      </c>
      <c r="N1905">
        <v>22</v>
      </c>
      <c r="O1905">
        <v>4</v>
      </c>
      <c r="P1905">
        <v>10</v>
      </c>
      <c r="Q1905">
        <v>112.648</v>
      </c>
      <c r="R1905" t="s">
        <v>26</v>
      </c>
      <c r="S1905" t="b">
        <v>0</v>
      </c>
      <c r="T1905" t="b">
        <v>1</v>
      </c>
    </row>
    <row r="1906" spans="1:20" x14ac:dyDescent="0.3">
      <c r="A1906" t="s">
        <v>2931</v>
      </c>
      <c r="B1906" s="1">
        <v>41842</v>
      </c>
      <c r="C1906" s="1">
        <v>41846</v>
      </c>
      <c r="D1906" t="s">
        <v>2396</v>
      </c>
      <c r="E1906" t="s">
        <v>194</v>
      </c>
      <c r="F1906" t="s">
        <v>33</v>
      </c>
      <c r="G1906" t="s">
        <v>2067</v>
      </c>
      <c r="H1906">
        <v>50.351999999999997</v>
      </c>
      <c r="I1906">
        <v>3</v>
      </c>
      <c r="J1906">
        <v>17.623200000000001</v>
      </c>
      <c r="K1906">
        <v>2014</v>
      </c>
      <c r="L1906">
        <v>7</v>
      </c>
      <c r="M1906" t="s">
        <v>66</v>
      </c>
      <c r="N1906">
        <v>22</v>
      </c>
      <c r="O1906">
        <v>4</v>
      </c>
      <c r="P1906">
        <v>35</v>
      </c>
      <c r="Q1906">
        <v>16.783999999999999</v>
      </c>
      <c r="R1906" t="s">
        <v>26</v>
      </c>
      <c r="S1906" t="b">
        <v>0</v>
      </c>
      <c r="T1906" t="b">
        <v>0</v>
      </c>
    </row>
    <row r="1907" spans="1:20" x14ac:dyDescent="0.3">
      <c r="A1907" t="s">
        <v>2933</v>
      </c>
      <c r="B1907" s="1">
        <v>41083</v>
      </c>
      <c r="C1907" s="1">
        <v>41088</v>
      </c>
      <c r="D1907" t="s">
        <v>2239</v>
      </c>
      <c r="E1907" t="s">
        <v>231</v>
      </c>
      <c r="F1907" t="s">
        <v>54</v>
      </c>
      <c r="G1907" t="s">
        <v>2934</v>
      </c>
      <c r="H1907">
        <v>217.584</v>
      </c>
      <c r="I1907">
        <v>2</v>
      </c>
      <c r="J1907">
        <v>19.038599999999999</v>
      </c>
      <c r="K1907">
        <v>2012</v>
      </c>
      <c r="L1907">
        <v>6</v>
      </c>
      <c r="M1907" t="s">
        <v>25</v>
      </c>
      <c r="N1907">
        <v>23</v>
      </c>
      <c r="O1907">
        <v>5</v>
      </c>
      <c r="P1907">
        <v>8.75</v>
      </c>
      <c r="Q1907">
        <v>108.792</v>
      </c>
      <c r="R1907" t="s">
        <v>26</v>
      </c>
      <c r="S1907" t="b">
        <v>0</v>
      </c>
      <c r="T1907" t="b">
        <v>1</v>
      </c>
    </row>
    <row r="1908" spans="1:20" x14ac:dyDescent="0.3">
      <c r="A1908" t="s">
        <v>2933</v>
      </c>
      <c r="B1908" s="1">
        <v>41083</v>
      </c>
      <c r="C1908" s="1">
        <v>41088</v>
      </c>
      <c r="D1908" t="s">
        <v>2239</v>
      </c>
      <c r="E1908" t="s">
        <v>231</v>
      </c>
      <c r="F1908" t="s">
        <v>119</v>
      </c>
      <c r="G1908" t="s">
        <v>2935</v>
      </c>
      <c r="H1908">
        <v>5.43</v>
      </c>
      <c r="I1908">
        <v>3</v>
      </c>
      <c r="J1908">
        <v>1.7919</v>
      </c>
      <c r="K1908">
        <v>2012</v>
      </c>
      <c r="L1908">
        <v>6</v>
      </c>
      <c r="M1908" t="s">
        <v>25</v>
      </c>
      <c r="N1908">
        <v>23</v>
      </c>
      <c r="O1908">
        <v>5</v>
      </c>
      <c r="P1908">
        <v>33</v>
      </c>
      <c r="Q1908">
        <v>1.81</v>
      </c>
      <c r="R1908" t="s">
        <v>26</v>
      </c>
      <c r="S1908" t="b">
        <v>0</v>
      </c>
      <c r="T1908" t="b">
        <v>0</v>
      </c>
    </row>
    <row r="1909" spans="1:20" x14ac:dyDescent="0.3">
      <c r="A1909" t="s">
        <v>2933</v>
      </c>
      <c r="B1909" s="1">
        <v>41083</v>
      </c>
      <c r="C1909" s="1">
        <v>41088</v>
      </c>
      <c r="D1909" t="s">
        <v>2239</v>
      </c>
      <c r="E1909" t="s">
        <v>231</v>
      </c>
      <c r="F1909" t="s">
        <v>54</v>
      </c>
      <c r="G1909" t="s">
        <v>2936</v>
      </c>
      <c r="H1909">
        <v>143.976</v>
      </c>
      <c r="I1909">
        <v>3</v>
      </c>
      <c r="J1909">
        <v>8.9984999999999999</v>
      </c>
      <c r="K1909">
        <v>2012</v>
      </c>
      <c r="L1909">
        <v>6</v>
      </c>
      <c r="M1909" t="s">
        <v>25</v>
      </c>
      <c r="N1909">
        <v>23</v>
      </c>
      <c r="O1909">
        <v>5</v>
      </c>
      <c r="P1909">
        <v>6.25</v>
      </c>
      <c r="Q1909">
        <v>47.991999999999997</v>
      </c>
      <c r="R1909" t="s">
        <v>26</v>
      </c>
      <c r="S1909" t="b">
        <v>0</v>
      </c>
      <c r="T1909" t="b">
        <v>0</v>
      </c>
    </row>
    <row r="1910" spans="1:20" x14ac:dyDescent="0.3">
      <c r="A1910" t="s">
        <v>2937</v>
      </c>
      <c r="B1910" s="1">
        <v>41227</v>
      </c>
      <c r="C1910" s="1">
        <v>41232</v>
      </c>
      <c r="D1910" t="s">
        <v>482</v>
      </c>
      <c r="E1910" t="s">
        <v>2938</v>
      </c>
      <c r="F1910" t="s">
        <v>110</v>
      </c>
      <c r="G1910" t="s">
        <v>218</v>
      </c>
      <c r="H1910">
        <v>230.352</v>
      </c>
      <c r="I1910">
        <v>3</v>
      </c>
      <c r="J1910">
        <v>20.155799999999999</v>
      </c>
      <c r="K1910">
        <v>2012</v>
      </c>
      <c r="L1910">
        <v>11</v>
      </c>
      <c r="M1910" t="s">
        <v>70</v>
      </c>
      <c r="N1910">
        <v>14</v>
      </c>
      <c r="O1910">
        <v>5</v>
      </c>
      <c r="P1910">
        <v>8.75</v>
      </c>
      <c r="Q1910">
        <v>76.784000000000006</v>
      </c>
      <c r="R1910" t="s">
        <v>26</v>
      </c>
      <c r="S1910" t="b">
        <v>0</v>
      </c>
      <c r="T1910" t="b">
        <v>1</v>
      </c>
    </row>
    <row r="1911" spans="1:20" x14ac:dyDescent="0.3">
      <c r="A1911" t="s">
        <v>2939</v>
      </c>
      <c r="B1911" s="1">
        <v>41618</v>
      </c>
      <c r="C1911" s="1">
        <v>41621</v>
      </c>
      <c r="D1911" t="s">
        <v>138</v>
      </c>
      <c r="E1911" t="s">
        <v>1210</v>
      </c>
      <c r="F1911" t="s">
        <v>33</v>
      </c>
      <c r="G1911" t="s">
        <v>2940</v>
      </c>
      <c r="H1911">
        <v>273.92</v>
      </c>
      <c r="I1911">
        <v>8</v>
      </c>
      <c r="J1911">
        <v>99.296000000000006</v>
      </c>
      <c r="K1911">
        <v>2013</v>
      </c>
      <c r="L1911">
        <v>12</v>
      </c>
      <c r="M1911" t="s">
        <v>41</v>
      </c>
      <c r="N1911">
        <v>10</v>
      </c>
      <c r="O1911">
        <v>3</v>
      </c>
      <c r="P1911">
        <v>36.25</v>
      </c>
      <c r="Q1911">
        <v>34.24</v>
      </c>
      <c r="R1911" t="s">
        <v>26</v>
      </c>
      <c r="S1911" t="b">
        <v>0</v>
      </c>
      <c r="T1911" t="b">
        <v>1</v>
      </c>
    </row>
    <row r="1912" spans="1:20" x14ac:dyDescent="0.3">
      <c r="A1912" t="s">
        <v>2941</v>
      </c>
      <c r="B1912" s="1">
        <v>41902</v>
      </c>
      <c r="C1912" s="1">
        <v>41907</v>
      </c>
      <c r="D1912" t="s">
        <v>539</v>
      </c>
      <c r="E1912" t="s">
        <v>22</v>
      </c>
      <c r="F1912" t="s">
        <v>61</v>
      </c>
      <c r="G1912" t="s">
        <v>2942</v>
      </c>
      <c r="H1912">
        <v>149.94999999999999</v>
      </c>
      <c r="I1912">
        <v>5</v>
      </c>
      <c r="J1912">
        <v>31.4895</v>
      </c>
      <c r="K1912">
        <v>2014</v>
      </c>
      <c r="L1912">
        <v>9</v>
      </c>
      <c r="M1912" t="s">
        <v>87</v>
      </c>
      <c r="N1912">
        <v>20</v>
      </c>
      <c r="O1912">
        <v>5</v>
      </c>
      <c r="P1912">
        <v>21</v>
      </c>
      <c r="Q1912">
        <v>29.99</v>
      </c>
      <c r="R1912" t="s">
        <v>26</v>
      </c>
      <c r="S1912" t="b">
        <v>0</v>
      </c>
      <c r="T1912" t="b">
        <v>0</v>
      </c>
    </row>
    <row r="1913" spans="1:20" x14ac:dyDescent="0.3">
      <c r="A1913" t="s">
        <v>2941</v>
      </c>
      <c r="B1913" s="1">
        <v>41902</v>
      </c>
      <c r="C1913" s="1">
        <v>41907</v>
      </c>
      <c r="D1913" t="s">
        <v>539</v>
      </c>
      <c r="E1913" t="s">
        <v>22</v>
      </c>
      <c r="F1913" t="s">
        <v>31</v>
      </c>
      <c r="G1913" t="s">
        <v>2943</v>
      </c>
      <c r="H1913">
        <v>23.32</v>
      </c>
      <c r="I1913">
        <v>2</v>
      </c>
      <c r="J1913">
        <v>6.0632000000000001</v>
      </c>
      <c r="K1913">
        <v>2014</v>
      </c>
      <c r="L1913">
        <v>9</v>
      </c>
      <c r="M1913" t="s">
        <v>87</v>
      </c>
      <c r="N1913">
        <v>20</v>
      </c>
      <c r="O1913">
        <v>5</v>
      </c>
      <c r="P1913">
        <v>26</v>
      </c>
      <c r="Q1913">
        <v>11.66</v>
      </c>
      <c r="R1913" t="s">
        <v>26</v>
      </c>
      <c r="S1913" t="b">
        <v>0</v>
      </c>
      <c r="T1913" t="b">
        <v>0</v>
      </c>
    </row>
    <row r="1914" spans="1:20" x14ac:dyDescent="0.3">
      <c r="A1914" t="s">
        <v>2941</v>
      </c>
      <c r="B1914" s="1">
        <v>41902</v>
      </c>
      <c r="C1914" s="1">
        <v>41907</v>
      </c>
      <c r="D1914" t="s">
        <v>539</v>
      </c>
      <c r="E1914" t="s">
        <v>22</v>
      </c>
      <c r="F1914" t="s">
        <v>31</v>
      </c>
      <c r="G1914" t="s">
        <v>2944</v>
      </c>
      <c r="H1914">
        <v>16.739999999999998</v>
      </c>
      <c r="I1914">
        <v>3</v>
      </c>
      <c r="J1914">
        <v>4.8545999999999996</v>
      </c>
      <c r="K1914">
        <v>2014</v>
      </c>
      <c r="L1914">
        <v>9</v>
      </c>
      <c r="M1914" t="s">
        <v>87</v>
      </c>
      <c r="N1914">
        <v>20</v>
      </c>
      <c r="O1914">
        <v>5</v>
      </c>
      <c r="P1914">
        <v>29</v>
      </c>
      <c r="Q1914">
        <v>5.5799999999999992</v>
      </c>
      <c r="R1914" t="s">
        <v>26</v>
      </c>
      <c r="S1914" t="b">
        <v>0</v>
      </c>
      <c r="T1914" t="b">
        <v>0</v>
      </c>
    </row>
    <row r="1915" spans="1:20" x14ac:dyDescent="0.3">
      <c r="A1915" t="s">
        <v>2945</v>
      </c>
      <c r="B1915" s="1">
        <v>41530</v>
      </c>
      <c r="C1915" s="1">
        <v>41534</v>
      </c>
      <c r="D1915" t="s">
        <v>394</v>
      </c>
      <c r="E1915" t="s">
        <v>39</v>
      </c>
      <c r="F1915" t="s">
        <v>119</v>
      </c>
      <c r="G1915" t="s">
        <v>901</v>
      </c>
      <c r="H1915">
        <v>10.47</v>
      </c>
      <c r="I1915">
        <v>3</v>
      </c>
      <c r="J1915">
        <v>4.8162000000000003</v>
      </c>
      <c r="K1915">
        <v>2013</v>
      </c>
      <c r="L1915">
        <v>9</v>
      </c>
      <c r="M1915" t="s">
        <v>87</v>
      </c>
      <c r="N1915">
        <v>13</v>
      </c>
      <c r="O1915">
        <v>4</v>
      </c>
      <c r="P1915">
        <v>46</v>
      </c>
      <c r="Q1915">
        <v>3.49</v>
      </c>
      <c r="R1915" t="s">
        <v>26</v>
      </c>
      <c r="S1915" t="b">
        <v>0</v>
      </c>
      <c r="T1915" t="b">
        <v>0</v>
      </c>
    </row>
    <row r="1916" spans="1:20" x14ac:dyDescent="0.3">
      <c r="A1916" t="s">
        <v>2945</v>
      </c>
      <c r="B1916" s="1">
        <v>41530</v>
      </c>
      <c r="C1916" s="1">
        <v>41534</v>
      </c>
      <c r="D1916" t="s">
        <v>394</v>
      </c>
      <c r="E1916" t="s">
        <v>39</v>
      </c>
      <c r="F1916" t="s">
        <v>23</v>
      </c>
      <c r="G1916" t="s">
        <v>2946</v>
      </c>
      <c r="H1916">
        <v>11.07</v>
      </c>
      <c r="I1916">
        <v>3</v>
      </c>
      <c r="J1916">
        <v>5.2028999999999996</v>
      </c>
      <c r="K1916">
        <v>2013</v>
      </c>
      <c r="L1916">
        <v>9</v>
      </c>
      <c r="M1916" t="s">
        <v>87</v>
      </c>
      <c r="N1916">
        <v>13</v>
      </c>
      <c r="O1916">
        <v>4</v>
      </c>
      <c r="P1916">
        <v>47</v>
      </c>
      <c r="Q1916">
        <v>3.69</v>
      </c>
      <c r="R1916" t="s">
        <v>26</v>
      </c>
      <c r="S1916" t="b">
        <v>0</v>
      </c>
      <c r="T1916" t="b">
        <v>0</v>
      </c>
    </row>
    <row r="1917" spans="1:20" x14ac:dyDescent="0.3">
      <c r="A1917" t="s">
        <v>2945</v>
      </c>
      <c r="B1917" s="1">
        <v>41530</v>
      </c>
      <c r="C1917" s="1">
        <v>41534</v>
      </c>
      <c r="D1917" t="s">
        <v>394</v>
      </c>
      <c r="E1917" t="s">
        <v>39</v>
      </c>
      <c r="F1917" t="s">
        <v>33</v>
      </c>
      <c r="G1917" t="s">
        <v>2947</v>
      </c>
      <c r="H1917">
        <v>20.704000000000001</v>
      </c>
      <c r="I1917">
        <v>4</v>
      </c>
      <c r="J1917">
        <v>7.7640000000000002</v>
      </c>
      <c r="K1917">
        <v>2013</v>
      </c>
      <c r="L1917">
        <v>9</v>
      </c>
      <c r="M1917" t="s">
        <v>87</v>
      </c>
      <c r="N1917">
        <v>13</v>
      </c>
      <c r="O1917">
        <v>4</v>
      </c>
      <c r="P1917">
        <v>37.5</v>
      </c>
      <c r="Q1917">
        <v>5.1760000000000002</v>
      </c>
      <c r="R1917" t="s">
        <v>26</v>
      </c>
      <c r="S1917" t="b">
        <v>0</v>
      </c>
      <c r="T1917" t="b">
        <v>0</v>
      </c>
    </row>
    <row r="1918" spans="1:20" x14ac:dyDescent="0.3">
      <c r="A1918" t="s">
        <v>2948</v>
      </c>
      <c r="B1918" s="1">
        <v>40728</v>
      </c>
      <c r="C1918" s="1">
        <v>40731</v>
      </c>
      <c r="D1918" t="s">
        <v>1987</v>
      </c>
      <c r="E1918" t="s">
        <v>99</v>
      </c>
      <c r="F1918" t="s">
        <v>72</v>
      </c>
      <c r="G1918" t="s">
        <v>2742</v>
      </c>
      <c r="H1918">
        <v>177.536</v>
      </c>
      <c r="I1918">
        <v>4</v>
      </c>
      <c r="J1918">
        <v>62.137599999999999</v>
      </c>
      <c r="K1918">
        <v>2011</v>
      </c>
      <c r="L1918">
        <v>7</v>
      </c>
      <c r="M1918" t="s">
        <v>66</v>
      </c>
      <c r="N1918">
        <v>4</v>
      </c>
      <c r="O1918">
        <v>3</v>
      </c>
      <c r="P1918">
        <v>35</v>
      </c>
      <c r="Q1918">
        <v>44.384</v>
      </c>
      <c r="R1918" t="s">
        <v>26</v>
      </c>
      <c r="S1918" t="b">
        <v>0</v>
      </c>
      <c r="T1918" t="b">
        <v>0</v>
      </c>
    </row>
    <row r="1919" spans="1:20" x14ac:dyDescent="0.3">
      <c r="A1919" t="s">
        <v>2948</v>
      </c>
      <c r="B1919" s="1">
        <v>40728</v>
      </c>
      <c r="C1919" s="1">
        <v>40731</v>
      </c>
      <c r="D1919" t="s">
        <v>1987</v>
      </c>
      <c r="E1919" t="s">
        <v>99</v>
      </c>
      <c r="F1919" t="s">
        <v>35</v>
      </c>
      <c r="G1919" t="s">
        <v>1239</v>
      </c>
      <c r="H1919">
        <v>32.432000000000002</v>
      </c>
      <c r="I1919">
        <v>2</v>
      </c>
      <c r="J1919">
        <v>3.2431999999999999</v>
      </c>
      <c r="K1919">
        <v>2011</v>
      </c>
      <c r="L1919">
        <v>7</v>
      </c>
      <c r="M1919" t="s">
        <v>66</v>
      </c>
      <c r="N1919">
        <v>4</v>
      </c>
      <c r="O1919">
        <v>3</v>
      </c>
      <c r="P1919">
        <v>10</v>
      </c>
      <c r="Q1919">
        <v>16.216000000000001</v>
      </c>
      <c r="R1919" t="s">
        <v>26</v>
      </c>
      <c r="S1919" t="b">
        <v>0</v>
      </c>
      <c r="T1919" t="b">
        <v>0</v>
      </c>
    </row>
    <row r="1920" spans="1:20" x14ac:dyDescent="0.3">
      <c r="A1920" t="s">
        <v>2949</v>
      </c>
      <c r="B1920" s="1">
        <v>41375</v>
      </c>
      <c r="C1920" s="1">
        <v>41382</v>
      </c>
      <c r="D1920" t="s">
        <v>2950</v>
      </c>
      <c r="E1920" t="s">
        <v>51</v>
      </c>
      <c r="F1920" t="s">
        <v>35</v>
      </c>
      <c r="G1920" t="s">
        <v>824</v>
      </c>
      <c r="H1920">
        <v>113.76</v>
      </c>
      <c r="I1920">
        <v>3</v>
      </c>
      <c r="J1920">
        <v>44.366399999999999</v>
      </c>
      <c r="K1920">
        <v>2013</v>
      </c>
      <c r="L1920">
        <v>4</v>
      </c>
      <c r="M1920" t="s">
        <v>236</v>
      </c>
      <c r="N1920">
        <v>11</v>
      </c>
      <c r="O1920">
        <v>7</v>
      </c>
      <c r="P1920">
        <v>39</v>
      </c>
      <c r="Q1920">
        <v>37.92</v>
      </c>
      <c r="R1920" t="s">
        <v>26</v>
      </c>
      <c r="S1920" t="b">
        <v>0</v>
      </c>
      <c r="T1920" t="b">
        <v>0</v>
      </c>
    </row>
    <row r="1921" spans="1:20" x14ac:dyDescent="0.3">
      <c r="A1921" t="s">
        <v>2949</v>
      </c>
      <c r="B1921" s="1">
        <v>41375</v>
      </c>
      <c r="C1921" s="1">
        <v>41382</v>
      </c>
      <c r="D1921" t="s">
        <v>2950</v>
      </c>
      <c r="E1921" t="s">
        <v>51</v>
      </c>
      <c r="F1921" t="s">
        <v>45</v>
      </c>
      <c r="G1921" t="s">
        <v>2671</v>
      </c>
      <c r="H1921">
        <v>150.66</v>
      </c>
      <c r="I1921">
        <v>9</v>
      </c>
      <c r="J1921">
        <v>6.0263999999999998</v>
      </c>
      <c r="K1921">
        <v>2013</v>
      </c>
      <c r="L1921">
        <v>4</v>
      </c>
      <c r="M1921" t="s">
        <v>236</v>
      </c>
      <c r="N1921">
        <v>11</v>
      </c>
      <c r="O1921">
        <v>7</v>
      </c>
      <c r="P1921">
        <v>4</v>
      </c>
      <c r="Q1921">
        <v>16.739999999999998</v>
      </c>
      <c r="R1921" t="s">
        <v>26</v>
      </c>
      <c r="S1921" t="b">
        <v>0</v>
      </c>
      <c r="T1921" t="b">
        <v>0</v>
      </c>
    </row>
    <row r="1922" spans="1:20" x14ac:dyDescent="0.3">
      <c r="A1922" t="s">
        <v>2949</v>
      </c>
      <c r="B1922" s="1">
        <v>41375</v>
      </c>
      <c r="C1922" s="1">
        <v>41382</v>
      </c>
      <c r="D1922" t="s">
        <v>2950</v>
      </c>
      <c r="E1922" t="s">
        <v>51</v>
      </c>
      <c r="F1922" t="s">
        <v>33</v>
      </c>
      <c r="G1922" t="s">
        <v>380</v>
      </c>
      <c r="H1922">
        <v>48.031999999999996</v>
      </c>
      <c r="I1922">
        <v>4</v>
      </c>
      <c r="J1922">
        <v>15.6104</v>
      </c>
      <c r="K1922">
        <v>2013</v>
      </c>
      <c r="L1922">
        <v>4</v>
      </c>
      <c r="M1922" t="s">
        <v>236</v>
      </c>
      <c r="N1922">
        <v>11</v>
      </c>
      <c r="O1922">
        <v>7</v>
      </c>
      <c r="P1922">
        <v>32.5</v>
      </c>
      <c r="Q1922">
        <v>12.007999999999999</v>
      </c>
      <c r="R1922" t="s">
        <v>26</v>
      </c>
      <c r="S1922" t="b">
        <v>0</v>
      </c>
      <c r="T1922" t="b">
        <v>0</v>
      </c>
    </row>
    <row r="1923" spans="1:20" x14ac:dyDescent="0.3">
      <c r="A1923" t="s">
        <v>2951</v>
      </c>
      <c r="B1923" s="1">
        <v>41827</v>
      </c>
      <c r="C1923" s="1">
        <v>41832</v>
      </c>
      <c r="D1923" t="s">
        <v>2851</v>
      </c>
      <c r="E1923" t="s">
        <v>22</v>
      </c>
      <c r="F1923" t="s">
        <v>110</v>
      </c>
      <c r="G1923" t="s">
        <v>111</v>
      </c>
      <c r="H1923">
        <v>122.136</v>
      </c>
      <c r="I1923">
        <v>3</v>
      </c>
      <c r="J1923">
        <v>-13.7403</v>
      </c>
      <c r="K1923">
        <v>2014</v>
      </c>
      <c r="L1923">
        <v>7</v>
      </c>
      <c r="M1923" t="s">
        <v>66</v>
      </c>
      <c r="N1923">
        <v>7</v>
      </c>
      <c r="O1923">
        <v>5</v>
      </c>
      <c r="P1923">
        <v>-11.25</v>
      </c>
      <c r="Q1923">
        <v>40.712000000000003</v>
      </c>
      <c r="R1923" t="s">
        <v>26</v>
      </c>
      <c r="S1923" t="b">
        <v>1</v>
      </c>
      <c r="T1923" t="b">
        <v>0</v>
      </c>
    </row>
    <row r="1924" spans="1:20" x14ac:dyDescent="0.3">
      <c r="A1924" t="s">
        <v>2952</v>
      </c>
      <c r="B1924" s="1">
        <v>41983</v>
      </c>
      <c r="C1924" s="1">
        <v>41987</v>
      </c>
      <c r="D1924" t="s">
        <v>2029</v>
      </c>
      <c r="E1924" t="s">
        <v>105</v>
      </c>
      <c r="F1924" t="s">
        <v>72</v>
      </c>
      <c r="G1924" t="s">
        <v>961</v>
      </c>
      <c r="H1924">
        <v>419.4</v>
      </c>
      <c r="I1924">
        <v>5</v>
      </c>
      <c r="J1924">
        <v>146.79</v>
      </c>
      <c r="K1924">
        <v>2014</v>
      </c>
      <c r="L1924">
        <v>12</v>
      </c>
      <c r="M1924" t="s">
        <v>41</v>
      </c>
      <c r="N1924">
        <v>10</v>
      </c>
      <c r="O1924">
        <v>4</v>
      </c>
      <c r="P1924">
        <v>35</v>
      </c>
      <c r="Q1924">
        <v>83.88</v>
      </c>
      <c r="R1924" t="s">
        <v>26</v>
      </c>
      <c r="S1924" t="b">
        <v>0</v>
      </c>
      <c r="T1924" t="b">
        <v>1</v>
      </c>
    </row>
    <row r="1925" spans="1:20" x14ac:dyDescent="0.3">
      <c r="A1925" t="s">
        <v>2952</v>
      </c>
      <c r="B1925" s="1">
        <v>41983</v>
      </c>
      <c r="C1925" s="1">
        <v>41987</v>
      </c>
      <c r="D1925" t="s">
        <v>2029</v>
      </c>
      <c r="E1925" t="s">
        <v>105</v>
      </c>
      <c r="F1925" t="s">
        <v>33</v>
      </c>
      <c r="G1925" t="s">
        <v>2953</v>
      </c>
      <c r="H1925">
        <v>13.005000000000001</v>
      </c>
      <c r="I1925">
        <v>3</v>
      </c>
      <c r="J1925">
        <v>-9.9704999999999995</v>
      </c>
      <c r="K1925">
        <v>2014</v>
      </c>
      <c r="L1925">
        <v>12</v>
      </c>
      <c r="M1925" t="s">
        <v>41</v>
      </c>
      <c r="N1925">
        <v>10</v>
      </c>
      <c r="O1925">
        <v>4</v>
      </c>
      <c r="P1925">
        <v>-76.67</v>
      </c>
      <c r="Q1925">
        <v>4.335</v>
      </c>
      <c r="R1925" t="s">
        <v>26</v>
      </c>
      <c r="S1925" t="b">
        <v>1</v>
      </c>
      <c r="T1925" t="b">
        <v>0</v>
      </c>
    </row>
    <row r="1926" spans="1:20" x14ac:dyDescent="0.3">
      <c r="A1926" t="s">
        <v>2954</v>
      </c>
      <c r="B1926" s="1">
        <v>41583</v>
      </c>
      <c r="C1926" s="1">
        <v>41587</v>
      </c>
      <c r="D1926" t="s">
        <v>1149</v>
      </c>
      <c r="E1926" t="s">
        <v>22</v>
      </c>
      <c r="F1926" t="s">
        <v>33</v>
      </c>
      <c r="G1926" t="s">
        <v>244</v>
      </c>
      <c r="H1926">
        <v>7.7119999999999997</v>
      </c>
      <c r="I1926">
        <v>2</v>
      </c>
      <c r="J1926">
        <v>2.7955999999999999</v>
      </c>
      <c r="K1926">
        <v>2013</v>
      </c>
      <c r="L1926">
        <v>11</v>
      </c>
      <c r="M1926" t="s">
        <v>70</v>
      </c>
      <c r="N1926">
        <v>5</v>
      </c>
      <c r="O1926">
        <v>4</v>
      </c>
      <c r="P1926">
        <v>36.25</v>
      </c>
      <c r="Q1926">
        <v>3.8559999999999999</v>
      </c>
      <c r="R1926" t="s">
        <v>26</v>
      </c>
      <c r="S1926" t="b">
        <v>0</v>
      </c>
      <c r="T1926" t="b">
        <v>0</v>
      </c>
    </row>
    <row r="1927" spans="1:20" x14ac:dyDescent="0.3">
      <c r="A1927" t="s">
        <v>2954</v>
      </c>
      <c r="B1927" s="1">
        <v>41583</v>
      </c>
      <c r="C1927" s="1">
        <v>41587</v>
      </c>
      <c r="D1927" t="s">
        <v>1149</v>
      </c>
      <c r="E1927" t="s">
        <v>22</v>
      </c>
      <c r="F1927" t="s">
        <v>33</v>
      </c>
      <c r="G1927" t="s">
        <v>2955</v>
      </c>
      <c r="H1927">
        <v>4.1760000000000002</v>
      </c>
      <c r="I1927">
        <v>1</v>
      </c>
      <c r="J1927">
        <v>1.3049999999999999</v>
      </c>
      <c r="K1927">
        <v>2013</v>
      </c>
      <c r="L1927">
        <v>11</v>
      </c>
      <c r="M1927" t="s">
        <v>70</v>
      </c>
      <c r="N1927">
        <v>5</v>
      </c>
      <c r="O1927">
        <v>4</v>
      </c>
      <c r="P1927">
        <v>31.25</v>
      </c>
      <c r="Q1927">
        <v>4.1760000000000002</v>
      </c>
      <c r="R1927" t="s">
        <v>26</v>
      </c>
      <c r="S1927" t="b">
        <v>0</v>
      </c>
      <c r="T1927" t="b">
        <v>0</v>
      </c>
    </row>
    <row r="1928" spans="1:20" x14ac:dyDescent="0.3">
      <c r="A1928" t="s">
        <v>2954</v>
      </c>
      <c r="B1928" s="1">
        <v>41583</v>
      </c>
      <c r="C1928" s="1">
        <v>41587</v>
      </c>
      <c r="D1928" t="s">
        <v>1149</v>
      </c>
      <c r="E1928" t="s">
        <v>22</v>
      </c>
      <c r="F1928" t="s">
        <v>72</v>
      </c>
      <c r="G1928" t="s">
        <v>2956</v>
      </c>
      <c r="H1928">
        <v>38.880000000000003</v>
      </c>
      <c r="I1928">
        <v>6</v>
      </c>
      <c r="J1928">
        <v>18.662400000000002</v>
      </c>
      <c r="K1928">
        <v>2013</v>
      </c>
      <c r="L1928">
        <v>11</v>
      </c>
      <c r="M1928" t="s">
        <v>70</v>
      </c>
      <c r="N1928">
        <v>5</v>
      </c>
      <c r="O1928">
        <v>4</v>
      </c>
      <c r="P1928">
        <v>48</v>
      </c>
      <c r="Q1928">
        <v>6.48</v>
      </c>
      <c r="R1928" t="s">
        <v>26</v>
      </c>
      <c r="S1928" t="b">
        <v>0</v>
      </c>
      <c r="T1928" t="b">
        <v>0</v>
      </c>
    </row>
    <row r="1929" spans="1:20" x14ac:dyDescent="0.3">
      <c r="A1929" t="s">
        <v>2957</v>
      </c>
      <c r="B1929" s="1">
        <v>41595</v>
      </c>
      <c r="C1929" s="1">
        <v>41596</v>
      </c>
      <c r="D1929" t="s">
        <v>2958</v>
      </c>
      <c r="E1929" t="s">
        <v>115</v>
      </c>
      <c r="F1929" t="s">
        <v>33</v>
      </c>
      <c r="G1929" t="s">
        <v>655</v>
      </c>
      <c r="H1929">
        <v>8.32</v>
      </c>
      <c r="I1929">
        <v>5</v>
      </c>
      <c r="J1929">
        <v>2.8079999999999998</v>
      </c>
      <c r="K1929">
        <v>2013</v>
      </c>
      <c r="L1929">
        <v>11</v>
      </c>
      <c r="M1929" t="s">
        <v>70</v>
      </c>
      <c r="N1929">
        <v>17</v>
      </c>
      <c r="O1929">
        <v>1</v>
      </c>
      <c r="P1929">
        <v>33.75</v>
      </c>
      <c r="Q1929">
        <v>1.6639999999999999</v>
      </c>
      <c r="R1929" t="s">
        <v>26</v>
      </c>
      <c r="S1929" t="b">
        <v>0</v>
      </c>
      <c r="T1929" t="b">
        <v>0</v>
      </c>
    </row>
    <row r="1930" spans="1:20" x14ac:dyDescent="0.3">
      <c r="A1930" t="s">
        <v>2959</v>
      </c>
      <c r="B1930" s="1">
        <v>41589</v>
      </c>
      <c r="C1930" s="1">
        <v>41594</v>
      </c>
      <c r="D1930" t="s">
        <v>725</v>
      </c>
      <c r="E1930" t="s">
        <v>1331</v>
      </c>
      <c r="F1930" t="s">
        <v>29</v>
      </c>
      <c r="G1930" t="s">
        <v>2356</v>
      </c>
      <c r="H1930">
        <v>9.98</v>
      </c>
      <c r="I1930">
        <v>1</v>
      </c>
      <c r="J1930">
        <v>2.7944</v>
      </c>
      <c r="K1930">
        <v>2013</v>
      </c>
      <c r="L1930">
        <v>11</v>
      </c>
      <c r="M1930" t="s">
        <v>70</v>
      </c>
      <c r="N1930">
        <v>11</v>
      </c>
      <c r="O1930">
        <v>5</v>
      </c>
      <c r="P1930">
        <v>28</v>
      </c>
      <c r="Q1930">
        <v>9.98</v>
      </c>
      <c r="R1930" t="s">
        <v>26</v>
      </c>
      <c r="S1930" t="b">
        <v>0</v>
      </c>
      <c r="T1930" t="b">
        <v>0</v>
      </c>
    </row>
    <row r="1931" spans="1:20" x14ac:dyDescent="0.3">
      <c r="A1931" t="s">
        <v>2960</v>
      </c>
      <c r="B1931" s="1">
        <v>41634</v>
      </c>
      <c r="C1931" s="1">
        <v>41641</v>
      </c>
      <c r="D1931" t="s">
        <v>1126</v>
      </c>
      <c r="E1931" t="s">
        <v>105</v>
      </c>
      <c r="F1931" t="s">
        <v>174</v>
      </c>
      <c r="G1931" t="s">
        <v>1035</v>
      </c>
      <c r="H1931">
        <v>35.445</v>
      </c>
      <c r="I1931">
        <v>1</v>
      </c>
      <c r="J1931">
        <v>-24.102599999999999</v>
      </c>
      <c r="K1931">
        <v>2013</v>
      </c>
      <c r="L1931">
        <v>12</v>
      </c>
      <c r="M1931" t="s">
        <v>41</v>
      </c>
      <c r="N1931">
        <v>26</v>
      </c>
      <c r="O1931">
        <v>7</v>
      </c>
      <c r="P1931">
        <v>-68</v>
      </c>
      <c r="Q1931">
        <v>35.445</v>
      </c>
      <c r="R1931" t="s">
        <v>26</v>
      </c>
      <c r="S1931" t="b">
        <v>1</v>
      </c>
      <c r="T1931" t="b">
        <v>0</v>
      </c>
    </row>
    <row r="1932" spans="1:20" x14ac:dyDescent="0.3">
      <c r="A1932" t="s">
        <v>2960</v>
      </c>
      <c r="B1932" s="1">
        <v>41634</v>
      </c>
      <c r="C1932" s="1">
        <v>41641</v>
      </c>
      <c r="D1932" t="s">
        <v>1126</v>
      </c>
      <c r="E1932" t="s">
        <v>105</v>
      </c>
      <c r="F1932" t="s">
        <v>793</v>
      </c>
      <c r="G1932" t="s">
        <v>2961</v>
      </c>
      <c r="H1932">
        <v>269.97000000000003</v>
      </c>
      <c r="I1932">
        <v>2</v>
      </c>
      <c r="J1932">
        <v>-386.95699999999999</v>
      </c>
      <c r="K1932">
        <v>2013</v>
      </c>
      <c r="L1932">
        <v>12</v>
      </c>
      <c r="M1932" t="s">
        <v>41</v>
      </c>
      <c r="N1932">
        <v>26</v>
      </c>
      <c r="O1932">
        <v>7</v>
      </c>
      <c r="P1932">
        <v>-143.33000000000001</v>
      </c>
      <c r="Q1932">
        <v>134.98500000000001</v>
      </c>
      <c r="R1932" t="s">
        <v>26</v>
      </c>
      <c r="S1932" t="b">
        <v>1</v>
      </c>
      <c r="T1932" t="b">
        <v>1</v>
      </c>
    </row>
    <row r="1933" spans="1:20" x14ac:dyDescent="0.3">
      <c r="A1933" t="s">
        <v>2960</v>
      </c>
      <c r="B1933" s="1">
        <v>41634</v>
      </c>
      <c r="C1933" s="1">
        <v>41641</v>
      </c>
      <c r="D1933" t="s">
        <v>1126</v>
      </c>
      <c r="E1933" t="s">
        <v>105</v>
      </c>
      <c r="F1933" t="s">
        <v>61</v>
      </c>
      <c r="G1933" t="s">
        <v>1778</v>
      </c>
      <c r="H1933">
        <v>45.12</v>
      </c>
      <c r="I1933">
        <v>3</v>
      </c>
      <c r="J1933">
        <v>-7.8959999999999999</v>
      </c>
      <c r="K1933">
        <v>2013</v>
      </c>
      <c r="L1933">
        <v>12</v>
      </c>
      <c r="M1933" t="s">
        <v>41</v>
      </c>
      <c r="N1933">
        <v>26</v>
      </c>
      <c r="O1933">
        <v>7</v>
      </c>
      <c r="P1933">
        <v>-17.5</v>
      </c>
      <c r="Q1933">
        <v>15.04</v>
      </c>
      <c r="R1933" t="s">
        <v>26</v>
      </c>
      <c r="S1933" t="b">
        <v>1</v>
      </c>
      <c r="T1933" t="b">
        <v>0</v>
      </c>
    </row>
    <row r="1934" spans="1:20" x14ac:dyDescent="0.3">
      <c r="A1934" t="s">
        <v>2960</v>
      </c>
      <c r="B1934" s="1">
        <v>41634</v>
      </c>
      <c r="C1934" s="1">
        <v>41641</v>
      </c>
      <c r="D1934" t="s">
        <v>1126</v>
      </c>
      <c r="E1934" t="s">
        <v>105</v>
      </c>
      <c r="F1934" t="s">
        <v>61</v>
      </c>
      <c r="G1934" t="s">
        <v>2962</v>
      </c>
      <c r="H1934">
        <v>100.8</v>
      </c>
      <c r="I1934">
        <v>2</v>
      </c>
      <c r="J1934">
        <v>21.42</v>
      </c>
      <c r="K1934">
        <v>2013</v>
      </c>
      <c r="L1934">
        <v>12</v>
      </c>
      <c r="M1934" t="s">
        <v>41</v>
      </c>
      <c r="N1934">
        <v>26</v>
      </c>
      <c r="O1934">
        <v>7</v>
      </c>
      <c r="P1934">
        <v>21.25</v>
      </c>
      <c r="Q1934">
        <v>50.4</v>
      </c>
      <c r="R1934" t="s">
        <v>26</v>
      </c>
      <c r="S1934" t="b">
        <v>0</v>
      </c>
      <c r="T1934" t="b">
        <v>0</v>
      </c>
    </row>
    <row r="1935" spans="1:20" x14ac:dyDescent="0.3">
      <c r="A1935" t="s">
        <v>2960</v>
      </c>
      <c r="B1935" s="1">
        <v>41634</v>
      </c>
      <c r="C1935" s="1">
        <v>41641</v>
      </c>
      <c r="D1935" t="s">
        <v>1126</v>
      </c>
      <c r="E1935" t="s">
        <v>105</v>
      </c>
      <c r="F1935" t="s">
        <v>110</v>
      </c>
      <c r="G1935" t="s">
        <v>2963</v>
      </c>
      <c r="H1935">
        <v>47.968000000000004</v>
      </c>
      <c r="I1935">
        <v>2</v>
      </c>
      <c r="J1935">
        <v>4.1971999999999996</v>
      </c>
      <c r="K1935">
        <v>2013</v>
      </c>
      <c r="L1935">
        <v>12</v>
      </c>
      <c r="M1935" t="s">
        <v>41</v>
      </c>
      <c r="N1935">
        <v>26</v>
      </c>
      <c r="O1935">
        <v>7</v>
      </c>
      <c r="P1935">
        <v>8.75</v>
      </c>
      <c r="Q1935">
        <v>23.984000000000002</v>
      </c>
      <c r="R1935" t="s">
        <v>26</v>
      </c>
      <c r="S1935" t="b">
        <v>0</v>
      </c>
      <c r="T1935" t="b">
        <v>0</v>
      </c>
    </row>
    <row r="1936" spans="1:20" x14ac:dyDescent="0.3">
      <c r="A1936" t="s">
        <v>2964</v>
      </c>
      <c r="B1936" s="1">
        <v>40821</v>
      </c>
      <c r="C1936" s="1">
        <v>40822</v>
      </c>
      <c r="D1936" t="s">
        <v>274</v>
      </c>
      <c r="E1936" t="s">
        <v>884</v>
      </c>
      <c r="F1936" t="s">
        <v>61</v>
      </c>
      <c r="G1936" t="s">
        <v>1167</v>
      </c>
      <c r="H1936">
        <v>99.98</v>
      </c>
      <c r="I1936">
        <v>2</v>
      </c>
      <c r="J1936">
        <v>34.993000000000002</v>
      </c>
      <c r="K1936">
        <v>2011</v>
      </c>
      <c r="L1936">
        <v>10</v>
      </c>
      <c r="M1936" t="s">
        <v>82</v>
      </c>
      <c r="N1936">
        <v>5</v>
      </c>
      <c r="O1936">
        <v>1</v>
      </c>
      <c r="P1936">
        <v>35</v>
      </c>
      <c r="Q1936">
        <v>49.99</v>
      </c>
      <c r="R1936" t="s">
        <v>26</v>
      </c>
      <c r="S1936" t="b">
        <v>0</v>
      </c>
      <c r="T1936" t="b">
        <v>0</v>
      </c>
    </row>
    <row r="1937" spans="1:20" x14ac:dyDescent="0.3">
      <c r="A1937" t="s">
        <v>2965</v>
      </c>
      <c r="B1937" s="1">
        <v>41999</v>
      </c>
      <c r="C1937" s="1">
        <v>42003</v>
      </c>
      <c r="D1937" t="s">
        <v>2966</v>
      </c>
      <c r="E1937" t="s">
        <v>2967</v>
      </c>
      <c r="F1937" t="s">
        <v>33</v>
      </c>
      <c r="G1937" t="s">
        <v>244</v>
      </c>
      <c r="H1937">
        <v>3.8559999999999999</v>
      </c>
      <c r="I1937">
        <v>1</v>
      </c>
      <c r="J1937">
        <v>1.3977999999999999</v>
      </c>
      <c r="K1937">
        <v>2014</v>
      </c>
      <c r="L1937">
        <v>12</v>
      </c>
      <c r="M1937" t="s">
        <v>41</v>
      </c>
      <c r="N1937">
        <v>26</v>
      </c>
      <c r="O1937">
        <v>4</v>
      </c>
      <c r="P1937">
        <v>36.25</v>
      </c>
      <c r="Q1937">
        <v>3.8559999999999999</v>
      </c>
      <c r="R1937" t="s">
        <v>26</v>
      </c>
      <c r="S1937" t="b">
        <v>0</v>
      </c>
      <c r="T1937" t="b">
        <v>0</v>
      </c>
    </row>
    <row r="1938" spans="1:20" x14ac:dyDescent="0.3">
      <c r="A1938" t="s">
        <v>2968</v>
      </c>
      <c r="B1938" s="1">
        <v>40711</v>
      </c>
      <c r="C1938" s="1">
        <v>40715</v>
      </c>
      <c r="D1938" t="s">
        <v>893</v>
      </c>
      <c r="E1938" t="s">
        <v>39</v>
      </c>
      <c r="F1938" t="s">
        <v>29</v>
      </c>
      <c r="G1938" t="s">
        <v>310</v>
      </c>
      <c r="H1938">
        <v>6.24</v>
      </c>
      <c r="I1938">
        <v>3</v>
      </c>
      <c r="J1938">
        <v>2.6208</v>
      </c>
      <c r="K1938">
        <v>2011</v>
      </c>
      <c r="L1938">
        <v>6</v>
      </c>
      <c r="M1938" t="s">
        <v>25</v>
      </c>
      <c r="N1938">
        <v>17</v>
      </c>
      <c r="O1938">
        <v>4</v>
      </c>
      <c r="P1938">
        <v>42</v>
      </c>
      <c r="Q1938">
        <v>2.08</v>
      </c>
      <c r="R1938" t="s">
        <v>26</v>
      </c>
      <c r="S1938" t="b">
        <v>0</v>
      </c>
      <c r="T1938" t="b">
        <v>0</v>
      </c>
    </row>
    <row r="1939" spans="1:20" x14ac:dyDescent="0.3">
      <c r="A1939" t="s">
        <v>2968</v>
      </c>
      <c r="B1939" s="1">
        <v>40711</v>
      </c>
      <c r="C1939" s="1">
        <v>40715</v>
      </c>
      <c r="D1939" t="s">
        <v>893</v>
      </c>
      <c r="E1939" t="s">
        <v>39</v>
      </c>
      <c r="F1939" t="s">
        <v>119</v>
      </c>
      <c r="G1939" t="s">
        <v>232</v>
      </c>
      <c r="H1939">
        <v>17.899999999999999</v>
      </c>
      <c r="I1939">
        <v>5</v>
      </c>
      <c r="J1939">
        <v>8.9499999999999993</v>
      </c>
      <c r="K1939">
        <v>2011</v>
      </c>
      <c r="L1939">
        <v>6</v>
      </c>
      <c r="M1939" t="s">
        <v>25</v>
      </c>
      <c r="N1939">
        <v>17</v>
      </c>
      <c r="O1939">
        <v>4</v>
      </c>
      <c r="P1939">
        <v>50</v>
      </c>
      <c r="Q1939">
        <v>3.58</v>
      </c>
      <c r="R1939" t="s">
        <v>26</v>
      </c>
      <c r="S1939" t="b">
        <v>0</v>
      </c>
      <c r="T1939" t="b">
        <v>0</v>
      </c>
    </row>
    <row r="1940" spans="1:20" x14ac:dyDescent="0.3">
      <c r="A1940" t="s">
        <v>2969</v>
      </c>
      <c r="B1940" s="1">
        <v>41946</v>
      </c>
      <c r="C1940" s="1">
        <v>41951</v>
      </c>
      <c r="D1940" t="s">
        <v>1528</v>
      </c>
      <c r="E1940" t="s">
        <v>22</v>
      </c>
      <c r="F1940" t="s">
        <v>35</v>
      </c>
      <c r="G1940" t="s">
        <v>571</v>
      </c>
      <c r="H1940">
        <v>168.1</v>
      </c>
      <c r="I1940">
        <v>5</v>
      </c>
      <c r="J1940">
        <v>43.706000000000003</v>
      </c>
      <c r="K1940">
        <v>2014</v>
      </c>
      <c r="L1940">
        <v>11</v>
      </c>
      <c r="M1940" t="s">
        <v>70</v>
      </c>
      <c r="N1940">
        <v>3</v>
      </c>
      <c r="O1940">
        <v>5</v>
      </c>
      <c r="P1940">
        <v>26</v>
      </c>
      <c r="Q1940">
        <v>33.619999999999997</v>
      </c>
      <c r="R1940" t="s">
        <v>26</v>
      </c>
      <c r="S1940" t="b">
        <v>0</v>
      </c>
      <c r="T1940" t="b">
        <v>0</v>
      </c>
    </row>
    <row r="1941" spans="1:20" x14ac:dyDescent="0.3">
      <c r="A1941" t="s">
        <v>2970</v>
      </c>
      <c r="B1941" s="1">
        <v>41526</v>
      </c>
      <c r="C1941" s="1">
        <v>41526</v>
      </c>
      <c r="D1941" t="s">
        <v>526</v>
      </c>
      <c r="E1941" t="s">
        <v>527</v>
      </c>
      <c r="F1941" t="s">
        <v>174</v>
      </c>
      <c r="G1941" t="s">
        <v>2971</v>
      </c>
      <c r="H1941">
        <v>146.04</v>
      </c>
      <c r="I1941">
        <v>1</v>
      </c>
      <c r="J1941">
        <v>-12.778499999999999</v>
      </c>
      <c r="K1941">
        <v>2013</v>
      </c>
      <c r="L1941">
        <v>9</v>
      </c>
      <c r="M1941" t="s">
        <v>87</v>
      </c>
      <c r="N1941">
        <v>9</v>
      </c>
      <c r="O1941">
        <v>0</v>
      </c>
      <c r="P1941">
        <v>-8.75</v>
      </c>
      <c r="Q1941">
        <v>146.04</v>
      </c>
      <c r="R1941" t="s">
        <v>26</v>
      </c>
      <c r="S1941" t="b">
        <v>1</v>
      </c>
      <c r="T1941" t="b">
        <v>0</v>
      </c>
    </row>
    <row r="1942" spans="1:20" x14ac:dyDescent="0.3">
      <c r="A1942" t="s">
        <v>2972</v>
      </c>
      <c r="B1942" s="1">
        <v>41599</v>
      </c>
      <c r="C1942" s="1">
        <v>41603</v>
      </c>
      <c r="D1942" t="s">
        <v>2973</v>
      </c>
      <c r="E1942" t="s">
        <v>2974</v>
      </c>
      <c r="F1942" t="s">
        <v>61</v>
      </c>
      <c r="G1942" t="s">
        <v>2975</v>
      </c>
      <c r="H1942">
        <v>27.88</v>
      </c>
      <c r="I1942">
        <v>2</v>
      </c>
      <c r="J1942">
        <v>3.9032</v>
      </c>
      <c r="K1942">
        <v>2013</v>
      </c>
      <c r="L1942">
        <v>11</v>
      </c>
      <c r="M1942" t="s">
        <v>70</v>
      </c>
      <c r="N1942">
        <v>21</v>
      </c>
      <c r="O1942">
        <v>4</v>
      </c>
      <c r="P1942">
        <v>14</v>
      </c>
      <c r="Q1942">
        <v>13.94</v>
      </c>
      <c r="R1942" t="s">
        <v>26</v>
      </c>
      <c r="S1942" t="b">
        <v>0</v>
      </c>
      <c r="T1942" t="b">
        <v>0</v>
      </c>
    </row>
    <row r="1943" spans="1:20" x14ac:dyDescent="0.3">
      <c r="A1943" t="s">
        <v>2976</v>
      </c>
      <c r="B1943" s="1">
        <v>41928</v>
      </c>
      <c r="C1943" s="1">
        <v>41933</v>
      </c>
      <c r="D1943" t="s">
        <v>686</v>
      </c>
      <c r="E1943" t="s">
        <v>1335</v>
      </c>
      <c r="F1943" t="s">
        <v>23</v>
      </c>
      <c r="G1943" t="s">
        <v>831</v>
      </c>
      <c r="H1943">
        <v>152.65</v>
      </c>
      <c r="I1943">
        <v>5</v>
      </c>
      <c r="J1943">
        <v>70.218999999999994</v>
      </c>
      <c r="K1943">
        <v>2014</v>
      </c>
      <c r="L1943">
        <v>10</v>
      </c>
      <c r="M1943" t="s">
        <v>82</v>
      </c>
      <c r="N1943">
        <v>16</v>
      </c>
      <c r="O1943">
        <v>5</v>
      </c>
      <c r="P1943">
        <v>46</v>
      </c>
      <c r="Q1943">
        <v>30.53</v>
      </c>
      <c r="R1943" t="s">
        <v>26</v>
      </c>
      <c r="S1943" t="b">
        <v>0</v>
      </c>
      <c r="T1943" t="b">
        <v>0</v>
      </c>
    </row>
    <row r="1944" spans="1:20" x14ac:dyDescent="0.3">
      <c r="A1944" t="s">
        <v>2976</v>
      </c>
      <c r="B1944" s="1">
        <v>41928</v>
      </c>
      <c r="C1944" s="1">
        <v>41933</v>
      </c>
      <c r="D1944" t="s">
        <v>686</v>
      </c>
      <c r="E1944" t="s">
        <v>1335</v>
      </c>
      <c r="F1944" t="s">
        <v>29</v>
      </c>
      <c r="G1944" t="s">
        <v>2977</v>
      </c>
      <c r="H1944">
        <v>22.72</v>
      </c>
      <c r="I1944">
        <v>1</v>
      </c>
      <c r="J1944">
        <v>9.3152000000000008</v>
      </c>
      <c r="K1944">
        <v>2014</v>
      </c>
      <c r="L1944">
        <v>10</v>
      </c>
      <c r="M1944" t="s">
        <v>82</v>
      </c>
      <c r="N1944">
        <v>16</v>
      </c>
      <c r="O1944">
        <v>5</v>
      </c>
      <c r="P1944">
        <v>41</v>
      </c>
      <c r="Q1944">
        <v>22.72</v>
      </c>
      <c r="R1944" t="s">
        <v>26</v>
      </c>
      <c r="S1944" t="b">
        <v>0</v>
      </c>
      <c r="T1944" t="b">
        <v>0</v>
      </c>
    </row>
    <row r="1945" spans="1:20" x14ac:dyDescent="0.3">
      <c r="A1945" t="s">
        <v>2978</v>
      </c>
      <c r="B1945" s="1">
        <v>41676</v>
      </c>
      <c r="C1945" s="1">
        <v>41680</v>
      </c>
      <c r="D1945" t="s">
        <v>2412</v>
      </c>
      <c r="E1945" t="s">
        <v>577</v>
      </c>
      <c r="F1945" t="s">
        <v>54</v>
      </c>
      <c r="G1945" t="s">
        <v>1001</v>
      </c>
      <c r="H1945">
        <v>371.2</v>
      </c>
      <c r="I1945">
        <v>5</v>
      </c>
      <c r="J1945">
        <v>41.76</v>
      </c>
      <c r="K1945">
        <v>2014</v>
      </c>
      <c r="L1945">
        <v>2</v>
      </c>
      <c r="M1945" t="s">
        <v>303</v>
      </c>
      <c r="N1945">
        <v>6</v>
      </c>
      <c r="O1945">
        <v>4</v>
      </c>
      <c r="P1945">
        <v>11.25</v>
      </c>
      <c r="Q1945">
        <v>74.239999999999995</v>
      </c>
      <c r="R1945" t="s">
        <v>26</v>
      </c>
      <c r="S1945" t="b">
        <v>0</v>
      </c>
      <c r="T1945" t="b">
        <v>1</v>
      </c>
    </row>
    <row r="1946" spans="1:20" x14ac:dyDescent="0.3">
      <c r="A1946" t="s">
        <v>2979</v>
      </c>
      <c r="B1946" s="1">
        <v>40730</v>
      </c>
      <c r="C1946" s="1">
        <v>40736</v>
      </c>
      <c r="D1946" t="s">
        <v>1309</v>
      </c>
      <c r="E1946" t="s">
        <v>2980</v>
      </c>
      <c r="F1946" t="s">
        <v>110</v>
      </c>
      <c r="G1946" t="s">
        <v>1090</v>
      </c>
      <c r="H1946">
        <v>478.48</v>
      </c>
      <c r="I1946">
        <v>2</v>
      </c>
      <c r="J1946">
        <v>47.847999999999999</v>
      </c>
      <c r="K1946">
        <v>2011</v>
      </c>
      <c r="L1946">
        <v>7</v>
      </c>
      <c r="M1946" t="s">
        <v>66</v>
      </c>
      <c r="N1946">
        <v>6</v>
      </c>
      <c r="O1946">
        <v>6</v>
      </c>
      <c r="P1946">
        <v>10</v>
      </c>
      <c r="Q1946">
        <v>239.24</v>
      </c>
      <c r="R1946" t="s">
        <v>26</v>
      </c>
      <c r="S1946" t="b">
        <v>0</v>
      </c>
      <c r="T1946" t="b">
        <v>1</v>
      </c>
    </row>
    <row r="1947" spans="1:20" x14ac:dyDescent="0.3">
      <c r="A1947" t="s">
        <v>2981</v>
      </c>
      <c r="B1947" s="1">
        <v>41404</v>
      </c>
      <c r="C1947" s="1">
        <v>41409</v>
      </c>
      <c r="D1947" t="s">
        <v>2982</v>
      </c>
      <c r="E1947" t="s">
        <v>22</v>
      </c>
      <c r="F1947" t="s">
        <v>72</v>
      </c>
      <c r="G1947" t="s">
        <v>2983</v>
      </c>
      <c r="H1947">
        <v>32.04</v>
      </c>
      <c r="I1947">
        <v>4</v>
      </c>
      <c r="J1947">
        <v>14.417999999999999</v>
      </c>
      <c r="K1947">
        <v>2013</v>
      </c>
      <c r="L1947">
        <v>5</v>
      </c>
      <c r="M1947" t="s">
        <v>47</v>
      </c>
      <c r="N1947">
        <v>10</v>
      </c>
      <c r="O1947">
        <v>5</v>
      </c>
      <c r="P1947">
        <v>45</v>
      </c>
      <c r="Q1947">
        <v>8.01</v>
      </c>
      <c r="R1947" t="s">
        <v>26</v>
      </c>
      <c r="S1947" t="b">
        <v>0</v>
      </c>
      <c r="T1947" t="b">
        <v>0</v>
      </c>
    </row>
    <row r="1948" spans="1:20" x14ac:dyDescent="0.3">
      <c r="A1948" t="s">
        <v>2984</v>
      </c>
      <c r="B1948" s="1">
        <v>41474</v>
      </c>
      <c r="C1948" s="1">
        <v>41478</v>
      </c>
      <c r="D1948" t="s">
        <v>2985</v>
      </c>
      <c r="E1948" t="s">
        <v>105</v>
      </c>
      <c r="F1948" t="s">
        <v>54</v>
      </c>
      <c r="G1948" t="s">
        <v>331</v>
      </c>
      <c r="H1948">
        <v>55.991999999999997</v>
      </c>
      <c r="I1948">
        <v>1</v>
      </c>
      <c r="J1948">
        <v>3.4994999999999998</v>
      </c>
      <c r="K1948">
        <v>2013</v>
      </c>
      <c r="L1948">
        <v>7</v>
      </c>
      <c r="M1948" t="s">
        <v>66</v>
      </c>
      <c r="N1948">
        <v>19</v>
      </c>
      <c r="O1948">
        <v>4</v>
      </c>
      <c r="P1948">
        <v>6.25</v>
      </c>
      <c r="Q1948">
        <v>55.991999999999997</v>
      </c>
      <c r="R1948" t="s">
        <v>26</v>
      </c>
      <c r="S1948" t="b">
        <v>0</v>
      </c>
      <c r="T1948" t="b">
        <v>0</v>
      </c>
    </row>
    <row r="1949" spans="1:20" x14ac:dyDescent="0.3">
      <c r="A1949" t="s">
        <v>2986</v>
      </c>
      <c r="B1949" s="1">
        <v>40653</v>
      </c>
      <c r="C1949" s="1">
        <v>40658</v>
      </c>
      <c r="D1949" t="s">
        <v>1067</v>
      </c>
      <c r="E1949" t="s">
        <v>22</v>
      </c>
      <c r="F1949" t="s">
        <v>29</v>
      </c>
      <c r="G1949" t="s">
        <v>2987</v>
      </c>
      <c r="H1949">
        <v>59.92</v>
      </c>
      <c r="I1949">
        <v>4</v>
      </c>
      <c r="J1949">
        <v>27.563199999999998</v>
      </c>
      <c r="K1949">
        <v>2011</v>
      </c>
      <c r="L1949">
        <v>4</v>
      </c>
      <c r="M1949" t="s">
        <v>236</v>
      </c>
      <c r="N1949">
        <v>20</v>
      </c>
      <c r="O1949">
        <v>5</v>
      </c>
      <c r="P1949">
        <v>46</v>
      </c>
      <c r="Q1949">
        <v>14.98</v>
      </c>
      <c r="R1949" t="s">
        <v>26</v>
      </c>
      <c r="S1949" t="b">
        <v>0</v>
      </c>
      <c r="T1949" t="b">
        <v>0</v>
      </c>
    </row>
    <row r="1950" spans="1:20" x14ac:dyDescent="0.3">
      <c r="A1950" t="s">
        <v>2988</v>
      </c>
      <c r="B1950" s="1">
        <v>41747</v>
      </c>
      <c r="C1950" s="1">
        <v>41752</v>
      </c>
      <c r="D1950" t="s">
        <v>987</v>
      </c>
      <c r="E1950" t="s">
        <v>22</v>
      </c>
      <c r="F1950" t="s">
        <v>72</v>
      </c>
      <c r="G1950" t="s">
        <v>2989</v>
      </c>
      <c r="H1950">
        <v>28.14</v>
      </c>
      <c r="I1950">
        <v>3</v>
      </c>
      <c r="J1950">
        <v>13.507199999999999</v>
      </c>
      <c r="K1950">
        <v>2014</v>
      </c>
      <c r="L1950">
        <v>4</v>
      </c>
      <c r="M1950" t="s">
        <v>236</v>
      </c>
      <c r="N1950">
        <v>18</v>
      </c>
      <c r="O1950">
        <v>5</v>
      </c>
      <c r="P1950">
        <v>48</v>
      </c>
      <c r="Q1950">
        <v>9.3800000000000008</v>
      </c>
      <c r="R1950" t="s">
        <v>26</v>
      </c>
      <c r="S1950" t="b">
        <v>0</v>
      </c>
      <c r="T1950" t="b">
        <v>0</v>
      </c>
    </row>
    <row r="1951" spans="1:20" x14ac:dyDescent="0.3">
      <c r="A1951" t="s">
        <v>2988</v>
      </c>
      <c r="B1951" s="1">
        <v>41747</v>
      </c>
      <c r="C1951" s="1">
        <v>41752</v>
      </c>
      <c r="D1951" t="s">
        <v>987</v>
      </c>
      <c r="E1951" t="s">
        <v>22</v>
      </c>
      <c r="F1951" t="s">
        <v>23</v>
      </c>
      <c r="G1951" t="s">
        <v>1436</v>
      </c>
      <c r="H1951">
        <v>7.38</v>
      </c>
      <c r="I1951">
        <v>2</v>
      </c>
      <c r="J1951">
        <v>3.4685999999999999</v>
      </c>
      <c r="K1951">
        <v>2014</v>
      </c>
      <c r="L1951">
        <v>4</v>
      </c>
      <c r="M1951" t="s">
        <v>236</v>
      </c>
      <c r="N1951">
        <v>18</v>
      </c>
      <c r="O1951">
        <v>5</v>
      </c>
      <c r="P1951">
        <v>47</v>
      </c>
      <c r="Q1951">
        <v>3.69</v>
      </c>
      <c r="R1951" t="s">
        <v>26</v>
      </c>
      <c r="S1951" t="b">
        <v>0</v>
      </c>
      <c r="T1951" t="b">
        <v>0</v>
      </c>
    </row>
    <row r="1952" spans="1:20" x14ac:dyDescent="0.3">
      <c r="A1952" t="s">
        <v>2988</v>
      </c>
      <c r="B1952" s="1">
        <v>41747</v>
      </c>
      <c r="C1952" s="1">
        <v>41752</v>
      </c>
      <c r="D1952" t="s">
        <v>987</v>
      </c>
      <c r="E1952" t="s">
        <v>22</v>
      </c>
      <c r="F1952" t="s">
        <v>119</v>
      </c>
      <c r="G1952" t="s">
        <v>692</v>
      </c>
      <c r="H1952">
        <v>10.9</v>
      </c>
      <c r="I1952">
        <v>5</v>
      </c>
      <c r="J1952">
        <v>3.597</v>
      </c>
      <c r="K1952">
        <v>2014</v>
      </c>
      <c r="L1952">
        <v>4</v>
      </c>
      <c r="M1952" t="s">
        <v>236</v>
      </c>
      <c r="N1952">
        <v>18</v>
      </c>
      <c r="O1952">
        <v>5</v>
      </c>
      <c r="P1952">
        <v>33</v>
      </c>
      <c r="Q1952">
        <v>2.1800000000000002</v>
      </c>
      <c r="R1952" t="s">
        <v>26</v>
      </c>
      <c r="S1952" t="b">
        <v>0</v>
      </c>
      <c r="T1952" t="b">
        <v>0</v>
      </c>
    </row>
    <row r="1953" spans="1:20" x14ac:dyDescent="0.3">
      <c r="A1953" t="s">
        <v>2988</v>
      </c>
      <c r="B1953" s="1">
        <v>41747</v>
      </c>
      <c r="C1953" s="1">
        <v>41752</v>
      </c>
      <c r="D1953" t="s">
        <v>987</v>
      </c>
      <c r="E1953" t="s">
        <v>22</v>
      </c>
      <c r="F1953" t="s">
        <v>61</v>
      </c>
      <c r="G1953" t="s">
        <v>483</v>
      </c>
      <c r="H1953">
        <v>274.89</v>
      </c>
      <c r="I1953">
        <v>11</v>
      </c>
      <c r="J1953">
        <v>46.731299999999997</v>
      </c>
      <c r="K1953">
        <v>2014</v>
      </c>
      <c r="L1953">
        <v>4</v>
      </c>
      <c r="M1953" t="s">
        <v>236</v>
      </c>
      <c r="N1953">
        <v>18</v>
      </c>
      <c r="O1953">
        <v>5</v>
      </c>
      <c r="P1953">
        <v>17</v>
      </c>
      <c r="Q1953">
        <v>24.99</v>
      </c>
      <c r="R1953" t="s">
        <v>26</v>
      </c>
      <c r="S1953" t="b">
        <v>0</v>
      </c>
      <c r="T1953" t="b">
        <v>1</v>
      </c>
    </row>
    <row r="1954" spans="1:20" x14ac:dyDescent="0.3">
      <c r="A1954" t="s">
        <v>2988</v>
      </c>
      <c r="B1954" s="1">
        <v>41747</v>
      </c>
      <c r="C1954" s="1">
        <v>41752</v>
      </c>
      <c r="D1954" t="s">
        <v>987</v>
      </c>
      <c r="E1954" t="s">
        <v>22</v>
      </c>
      <c r="F1954" t="s">
        <v>23</v>
      </c>
      <c r="G1954" t="s">
        <v>1741</v>
      </c>
      <c r="H1954">
        <v>23.04</v>
      </c>
      <c r="I1954">
        <v>8</v>
      </c>
      <c r="J1954">
        <v>11.2896</v>
      </c>
      <c r="K1954">
        <v>2014</v>
      </c>
      <c r="L1954">
        <v>4</v>
      </c>
      <c r="M1954" t="s">
        <v>236</v>
      </c>
      <c r="N1954">
        <v>18</v>
      </c>
      <c r="O1954">
        <v>5</v>
      </c>
      <c r="P1954">
        <v>49</v>
      </c>
      <c r="Q1954">
        <v>2.88</v>
      </c>
      <c r="R1954" t="s">
        <v>26</v>
      </c>
      <c r="S1954" t="b">
        <v>0</v>
      </c>
      <c r="T1954" t="b">
        <v>0</v>
      </c>
    </row>
    <row r="1955" spans="1:20" x14ac:dyDescent="0.3">
      <c r="A1955" t="s">
        <v>2988</v>
      </c>
      <c r="B1955" s="1">
        <v>41747</v>
      </c>
      <c r="C1955" s="1">
        <v>41752</v>
      </c>
      <c r="D1955" t="s">
        <v>987</v>
      </c>
      <c r="E1955" t="s">
        <v>22</v>
      </c>
      <c r="F1955" t="s">
        <v>110</v>
      </c>
      <c r="G1955" t="s">
        <v>2990</v>
      </c>
      <c r="H1955">
        <v>218.352</v>
      </c>
      <c r="I1955">
        <v>3</v>
      </c>
      <c r="J1955">
        <v>-19.105799999999999</v>
      </c>
      <c r="K1955">
        <v>2014</v>
      </c>
      <c r="L1955">
        <v>4</v>
      </c>
      <c r="M1955" t="s">
        <v>236</v>
      </c>
      <c r="N1955">
        <v>18</v>
      </c>
      <c r="O1955">
        <v>5</v>
      </c>
      <c r="P1955">
        <v>-8.75</v>
      </c>
      <c r="Q1955">
        <v>72.784000000000006</v>
      </c>
      <c r="R1955" t="s">
        <v>26</v>
      </c>
      <c r="S1955" t="b">
        <v>1</v>
      </c>
      <c r="T1955" t="b">
        <v>1</v>
      </c>
    </row>
    <row r="1956" spans="1:20" x14ac:dyDescent="0.3">
      <c r="A1956" t="s">
        <v>2991</v>
      </c>
      <c r="B1956" s="1">
        <v>41508</v>
      </c>
      <c r="C1956" s="1">
        <v>41515</v>
      </c>
      <c r="D1956" t="s">
        <v>2992</v>
      </c>
      <c r="E1956" t="s">
        <v>22</v>
      </c>
      <c r="F1956" t="s">
        <v>33</v>
      </c>
      <c r="G1956" t="s">
        <v>588</v>
      </c>
      <c r="H1956">
        <v>12.672000000000001</v>
      </c>
      <c r="I1956">
        <v>2</v>
      </c>
      <c r="J1956">
        <v>4.7519999999999998</v>
      </c>
      <c r="K1956">
        <v>2013</v>
      </c>
      <c r="L1956">
        <v>8</v>
      </c>
      <c r="M1956" t="s">
        <v>53</v>
      </c>
      <c r="N1956">
        <v>22</v>
      </c>
      <c r="O1956">
        <v>7</v>
      </c>
      <c r="P1956">
        <v>37.5</v>
      </c>
      <c r="Q1956">
        <v>6.3360000000000003</v>
      </c>
      <c r="R1956" t="s">
        <v>26</v>
      </c>
      <c r="S1956" t="b">
        <v>0</v>
      </c>
      <c r="T1956" t="b">
        <v>0</v>
      </c>
    </row>
    <row r="1957" spans="1:20" x14ac:dyDescent="0.3">
      <c r="A1957" t="s">
        <v>2991</v>
      </c>
      <c r="B1957" s="1">
        <v>41508</v>
      </c>
      <c r="C1957" s="1">
        <v>41515</v>
      </c>
      <c r="D1957" t="s">
        <v>2992</v>
      </c>
      <c r="E1957" t="s">
        <v>22</v>
      </c>
      <c r="F1957" t="s">
        <v>54</v>
      </c>
      <c r="G1957" t="s">
        <v>358</v>
      </c>
      <c r="H1957">
        <v>91.96</v>
      </c>
      <c r="I1957">
        <v>5</v>
      </c>
      <c r="J1957">
        <v>-20.690999999999999</v>
      </c>
      <c r="K1957">
        <v>2013</v>
      </c>
      <c r="L1957">
        <v>8</v>
      </c>
      <c r="M1957" t="s">
        <v>53</v>
      </c>
      <c r="N1957">
        <v>22</v>
      </c>
      <c r="O1957">
        <v>7</v>
      </c>
      <c r="P1957">
        <v>-22.5</v>
      </c>
      <c r="Q1957">
        <v>18.391999999999999</v>
      </c>
      <c r="R1957" t="s">
        <v>26</v>
      </c>
      <c r="S1957" t="b">
        <v>1</v>
      </c>
      <c r="T1957" t="b">
        <v>0</v>
      </c>
    </row>
    <row r="1958" spans="1:20" x14ac:dyDescent="0.3">
      <c r="A1958" t="s">
        <v>2991</v>
      </c>
      <c r="B1958" s="1">
        <v>41508</v>
      </c>
      <c r="C1958" s="1">
        <v>41515</v>
      </c>
      <c r="D1958" t="s">
        <v>2992</v>
      </c>
      <c r="E1958" t="s">
        <v>22</v>
      </c>
      <c r="F1958" t="s">
        <v>61</v>
      </c>
      <c r="G1958" t="s">
        <v>2993</v>
      </c>
      <c r="H1958">
        <v>254.97</v>
      </c>
      <c r="I1958">
        <v>3</v>
      </c>
      <c r="J1958">
        <v>91.789199999999994</v>
      </c>
      <c r="K1958">
        <v>2013</v>
      </c>
      <c r="L1958">
        <v>8</v>
      </c>
      <c r="M1958" t="s">
        <v>53</v>
      </c>
      <c r="N1958">
        <v>22</v>
      </c>
      <c r="O1958">
        <v>7</v>
      </c>
      <c r="P1958">
        <v>36</v>
      </c>
      <c r="Q1958">
        <v>84.99</v>
      </c>
      <c r="R1958" t="s">
        <v>26</v>
      </c>
      <c r="S1958" t="b">
        <v>0</v>
      </c>
      <c r="T1958" t="b">
        <v>1</v>
      </c>
    </row>
    <row r="1959" spans="1:20" x14ac:dyDescent="0.3">
      <c r="A1959" t="s">
        <v>2991</v>
      </c>
      <c r="B1959" s="1">
        <v>41508</v>
      </c>
      <c r="C1959" s="1">
        <v>41515</v>
      </c>
      <c r="D1959" t="s">
        <v>2992</v>
      </c>
      <c r="E1959" t="s">
        <v>22</v>
      </c>
      <c r="F1959" t="s">
        <v>54</v>
      </c>
      <c r="G1959" t="s">
        <v>2994</v>
      </c>
      <c r="H1959">
        <v>31.984000000000002</v>
      </c>
      <c r="I1959">
        <v>2</v>
      </c>
      <c r="J1959">
        <v>-7.9960000000000004</v>
      </c>
      <c r="K1959">
        <v>2013</v>
      </c>
      <c r="L1959">
        <v>8</v>
      </c>
      <c r="M1959" t="s">
        <v>53</v>
      </c>
      <c r="N1959">
        <v>22</v>
      </c>
      <c r="O1959">
        <v>7</v>
      </c>
      <c r="P1959">
        <v>-25</v>
      </c>
      <c r="Q1959">
        <v>15.992000000000001</v>
      </c>
      <c r="R1959" t="s">
        <v>26</v>
      </c>
      <c r="S1959" t="b">
        <v>1</v>
      </c>
      <c r="T1959" t="b">
        <v>0</v>
      </c>
    </row>
    <row r="1960" spans="1:20" x14ac:dyDescent="0.3">
      <c r="A1960" t="s">
        <v>2991</v>
      </c>
      <c r="B1960" s="1">
        <v>41508</v>
      </c>
      <c r="C1960" s="1">
        <v>41515</v>
      </c>
      <c r="D1960" t="s">
        <v>2992</v>
      </c>
      <c r="E1960" t="s">
        <v>22</v>
      </c>
      <c r="F1960" t="s">
        <v>72</v>
      </c>
      <c r="G1960" t="s">
        <v>2995</v>
      </c>
      <c r="H1960">
        <v>12.96</v>
      </c>
      <c r="I1960">
        <v>2</v>
      </c>
      <c r="J1960">
        <v>6.2207999999999997</v>
      </c>
      <c r="K1960">
        <v>2013</v>
      </c>
      <c r="L1960">
        <v>8</v>
      </c>
      <c r="M1960" t="s">
        <v>53</v>
      </c>
      <c r="N1960">
        <v>22</v>
      </c>
      <c r="O1960">
        <v>7</v>
      </c>
      <c r="P1960">
        <v>48</v>
      </c>
      <c r="Q1960">
        <v>6.48</v>
      </c>
      <c r="R1960" t="s">
        <v>26</v>
      </c>
      <c r="S1960" t="b">
        <v>0</v>
      </c>
      <c r="T1960" t="b">
        <v>0</v>
      </c>
    </row>
    <row r="1961" spans="1:20" x14ac:dyDescent="0.3">
      <c r="A1961" t="s">
        <v>2991</v>
      </c>
      <c r="B1961" s="1">
        <v>41508</v>
      </c>
      <c r="C1961" s="1">
        <v>41515</v>
      </c>
      <c r="D1961" t="s">
        <v>2992</v>
      </c>
      <c r="E1961" t="s">
        <v>22</v>
      </c>
      <c r="F1961" t="s">
        <v>72</v>
      </c>
      <c r="G1961" t="s">
        <v>2370</v>
      </c>
      <c r="H1961">
        <v>47.52</v>
      </c>
      <c r="I1961">
        <v>9</v>
      </c>
      <c r="J1961">
        <v>21.384</v>
      </c>
      <c r="K1961">
        <v>2013</v>
      </c>
      <c r="L1961">
        <v>8</v>
      </c>
      <c r="M1961" t="s">
        <v>53</v>
      </c>
      <c r="N1961">
        <v>22</v>
      </c>
      <c r="O1961">
        <v>7</v>
      </c>
      <c r="P1961">
        <v>45</v>
      </c>
      <c r="Q1961">
        <v>5.28</v>
      </c>
      <c r="R1961" t="s">
        <v>26</v>
      </c>
      <c r="S1961" t="b">
        <v>0</v>
      </c>
      <c r="T1961" t="b">
        <v>0</v>
      </c>
    </row>
    <row r="1962" spans="1:20" x14ac:dyDescent="0.3">
      <c r="A1962" t="s">
        <v>2996</v>
      </c>
      <c r="B1962" s="1">
        <v>41259</v>
      </c>
      <c r="C1962" s="1">
        <v>41262</v>
      </c>
      <c r="D1962" t="s">
        <v>1201</v>
      </c>
      <c r="E1962" t="s">
        <v>39</v>
      </c>
      <c r="F1962" t="s">
        <v>72</v>
      </c>
      <c r="G1962" t="s">
        <v>2997</v>
      </c>
      <c r="H1962">
        <v>4.9800000000000004</v>
      </c>
      <c r="I1962">
        <v>1</v>
      </c>
      <c r="J1962">
        <v>2.3405999999999998</v>
      </c>
      <c r="K1962">
        <v>2012</v>
      </c>
      <c r="L1962">
        <v>12</v>
      </c>
      <c r="M1962" t="s">
        <v>41</v>
      </c>
      <c r="N1962">
        <v>16</v>
      </c>
      <c r="O1962">
        <v>3</v>
      </c>
      <c r="P1962">
        <v>47</v>
      </c>
      <c r="Q1962">
        <v>4.9800000000000004</v>
      </c>
      <c r="R1962" t="s">
        <v>26</v>
      </c>
      <c r="S1962" t="b">
        <v>0</v>
      </c>
      <c r="T1962" t="b">
        <v>0</v>
      </c>
    </row>
    <row r="1963" spans="1:20" x14ac:dyDescent="0.3">
      <c r="A1963" t="s">
        <v>2998</v>
      </c>
      <c r="B1963" s="1">
        <v>41244</v>
      </c>
      <c r="C1963" s="1">
        <v>41248</v>
      </c>
      <c r="D1963" t="s">
        <v>132</v>
      </c>
      <c r="E1963" t="s">
        <v>39</v>
      </c>
      <c r="F1963" t="s">
        <v>72</v>
      </c>
      <c r="G1963" t="s">
        <v>2999</v>
      </c>
      <c r="H1963">
        <v>32.4</v>
      </c>
      <c r="I1963">
        <v>5</v>
      </c>
      <c r="J1963">
        <v>15.552</v>
      </c>
      <c r="K1963">
        <v>2012</v>
      </c>
      <c r="L1963">
        <v>12</v>
      </c>
      <c r="M1963" t="s">
        <v>41</v>
      </c>
      <c r="N1963">
        <v>1</v>
      </c>
      <c r="O1963">
        <v>4</v>
      </c>
      <c r="P1963">
        <v>48</v>
      </c>
      <c r="Q1963">
        <v>6.48</v>
      </c>
      <c r="R1963" t="s">
        <v>26</v>
      </c>
      <c r="S1963" t="b">
        <v>0</v>
      </c>
      <c r="T1963" t="b">
        <v>0</v>
      </c>
    </row>
    <row r="1964" spans="1:20" x14ac:dyDescent="0.3">
      <c r="A1964" t="s">
        <v>2998</v>
      </c>
      <c r="B1964" s="1">
        <v>41244</v>
      </c>
      <c r="C1964" s="1">
        <v>41248</v>
      </c>
      <c r="D1964" t="s">
        <v>132</v>
      </c>
      <c r="E1964" t="s">
        <v>39</v>
      </c>
      <c r="F1964" t="s">
        <v>45</v>
      </c>
      <c r="G1964" t="s">
        <v>2540</v>
      </c>
      <c r="H1964">
        <v>146.72999999999999</v>
      </c>
      <c r="I1964">
        <v>3</v>
      </c>
      <c r="J1964">
        <v>2.9346000000000001</v>
      </c>
      <c r="K1964">
        <v>2012</v>
      </c>
      <c r="L1964">
        <v>12</v>
      </c>
      <c r="M1964" t="s">
        <v>41</v>
      </c>
      <c r="N1964">
        <v>1</v>
      </c>
      <c r="O1964">
        <v>4</v>
      </c>
      <c r="P1964">
        <v>2</v>
      </c>
      <c r="Q1964">
        <v>48.91</v>
      </c>
      <c r="R1964" t="s">
        <v>26</v>
      </c>
      <c r="S1964" t="b">
        <v>0</v>
      </c>
      <c r="T1964" t="b">
        <v>0</v>
      </c>
    </row>
    <row r="1965" spans="1:20" x14ac:dyDescent="0.3">
      <c r="A1965" t="s">
        <v>2998</v>
      </c>
      <c r="B1965" s="1">
        <v>41244</v>
      </c>
      <c r="C1965" s="1">
        <v>41248</v>
      </c>
      <c r="D1965" t="s">
        <v>132</v>
      </c>
      <c r="E1965" t="s">
        <v>39</v>
      </c>
      <c r="F1965" t="s">
        <v>72</v>
      </c>
      <c r="G1965" t="s">
        <v>1211</v>
      </c>
      <c r="H1965">
        <v>114.2</v>
      </c>
      <c r="I1965">
        <v>5</v>
      </c>
      <c r="J1965">
        <v>52.531999999999996</v>
      </c>
      <c r="K1965">
        <v>2012</v>
      </c>
      <c r="L1965">
        <v>12</v>
      </c>
      <c r="M1965" t="s">
        <v>41</v>
      </c>
      <c r="N1965">
        <v>1</v>
      </c>
      <c r="O1965">
        <v>4</v>
      </c>
      <c r="P1965">
        <v>46</v>
      </c>
      <c r="Q1965">
        <v>22.84</v>
      </c>
      <c r="R1965" t="s">
        <v>26</v>
      </c>
      <c r="S1965" t="b">
        <v>0</v>
      </c>
      <c r="T1965" t="b">
        <v>0</v>
      </c>
    </row>
    <row r="1966" spans="1:20" x14ac:dyDescent="0.3">
      <c r="A1966" t="s">
        <v>3000</v>
      </c>
      <c r="B1966" s="1">
        <v>41755</v>
      </c>
      <c r="C1966" s="1">
        <v>41762</v>
      </c>
      <c r="D1966" t="s">
        <v>1037</v>
      </c>
      <c r="E1966" t="s">
        <v>22</v>
      </c>
      <c r="F1966" t="s">
        <v>72</v>
      </c>
      <c r="G1966" t="s">
        <v>3001</v>
      </c>
      <c r="H1966">
        <v>19.05</v>
      </c>
      <c r="I1966">
        <v>3</v>
      </c>
      <c r="J1966">
        <v>8.7629999999999999</v>
      </c>
      <c r="K1966">
        <v>2014</v>
      </c>
      <c r="L1966">
        <v>4</v>
      </c>
      <c r="M1966" t="s">
        <v>236</v>
      </c>
      <c r="N1966">
        <v>26</v>
      </c>
      <c r="O1966">
        <v>7</v>
      </c>
      <c r="P1966">
        <v>46</v>
      </c>
      <c r="Q1966">
        <v>6.3500000000000014</v>
      </c>
      <c r="R1966" t="s">
        <v>26</v>
      </c>
      <c r="S1966" t="b">
        <v>0</v>
      </c>
      <c r="T1966" t="b">
        <v>0</v>
      </c>
    </row>
    <row r="1967" spans="1:20" x14ac:dyDescent="0.3">
      <c r="A1967" t="s">
        <v>3000</v>
      </c>
      <c r="B1967" s="1">
        <v>41755</v>
      </c>
      <c r="C1967" s="1">
        <v>41762</v>
      </c>
      <c r="D1967" t="s">
        <v>1037</v>
      </c>
      <c r="E1967" t="s">
        <v>22</v>
      </c>
      <c r="F1967" t="s">
        <v>33</v>
      </c>
      <c r="G1967" t="s">
        <v>3002</v>
      </c>
      <c r="H1967">
        <v>73.343999999999994</v>
      </c>
      <c r="I1967">
        <v>3</v>
      </c>
      <c r="J1967">
        <v>27.504000000000001</v>
      </c>
      <c r="K1967">
        <v>2014</v>
      </c>
      <c r="L1967">
        <v>4</v>
      </c>
      <c r="M1967" t="s">
        <v>236</v>
      </c>
      <c r="N1967">
        <v>26</v>
      </c>
      <c r="O1967">
        <v>7</v>
      </c>
      <c r="P1967">
        <v>37.5</v>
      </c>
      <c r="Q1967">
        <v>24.448</v>
      </c>
      <c r="R1967" t="s">
        <v>26</v>
      </c>
      <c r="S1967" t="b">
        <v>0</v>
      </c>
      <c r="T1967" t="b">
        <v>0</v>
      </c>
    </row>
    <row r="1968" spans="1:20" x14ac:dyDescent="0.3">
      <c r="A1968" t="s">
        <v>3003</v>
      </c>
      <c r="B1968" s="1">
        <v>41980</v>
      </c>
      <c r="C1968" s="1">
        <v>41982</v>
      </c>
      <c r="D1968" t="s">
        <v>3004</v>
      </c>
      <c r="E1968" t="s">
        <v>198</v>
      </c>
      <c r="F1968" t="s">
        <v>45</v>
      </c>
      <c r="G1968" t="s">
        <v>155</v>
      </c>
      <c r="H1968">
        <v>10.68</v>
      </c>
      <c r="I1968">
        <v>1</v>
      </c>
      <c r="J1968">
        <v>2.8835999999999999</v>
      </c>
      <c r="K1968">
        <v>2014</v>
      </c>
      <c r="L1968">
        <v>12</v>
      </c>
      <c r="M1968" t="s">
        <v>41</v>
      </c>
      <c r="N1968">
        <v>7</v>
      </c>
      <c r="O1968">
        <v>2</v>
      </c>
      <c r="P1968">
        <v>27</v>
      </c>
      <c r="Q1968">
        <v>10.68</v>
      </c>
      <c r="R1968" t="s">
        <v>48</v>
      </c>
      <c r="S1968" t="b">
        <v>0</v>
      </c>
      <c r="T1968" t="b">
        <v>0</v>
      </c>
    </row>
    <row r="1969" spans="1:20" x14ac:dyDescent="0.3">
      <c r="A1969" t="s">
        <v>3005</v>
      </c>
      <c r="B1969" s="1">
        <v>41850</v>
      </c>
      <c r="C1969" s="1">
        <v>41854</v>
      </c>
      <c r="D1969" t="s">
        <v>620</v>
      </c>
      <c r="E1969" t="s">
        <v>39</v>
      </c>
      <c r="F1969" t="s">
        <v>317</v>
      </c>
      <c r="G1969" t="s">
        <v>3006</v>
      </c>
      <c r="H1969">
        <v>115.96</v>
      </c>
      <c r="I1969">
        <v>2</v>
      </c>
      <c r="J1969">
        <v>25.511199999999999</v>
      </c>
      <c r="K1969">
        <v>2014</v>
      </c>
      <c r="L1969">
        <v>7</v>
      </c>
      <c r="M1969" t="s">
        <v>66</v>
      </c>
      <c r="N1969">
        <v>30</v>
      </c>
      <c r="O1969">
        <v>4</v>
      </c>
      <c r="P1969">
        <v>22</v>
      </c>
      <c r="Q1969">
        <v>57.98</v>
      </c>
      <c r="R1969" t="s">
        <v>26</v>
      </c>
      <c r="S1969" t="b">
        <v>0</v>
      </c>
      <c r="T1969" t="b">
        <v>0</v>
      </c>
    </row>
    <row r="1970" spans="1:20" x14ac:dyDescent="0.3">
      <c r="A1970" t="s">
        <v>3007</v>
      </c>
      <c r="B1970" s="1">
        <v>41853</v>
      </c>
      <c r="C1970" s="1">
        <v>41857</v>
      </c>
      <c r="D1970" t="s">
        <v>3008</v>
      </c>
      <c r="E1970" t="s">
        <v>51</v>
      </c>
      <c r="F1970" t="s">
        <v>45</v>
      </c>
      <c r="G1970" t="s">
        <v>694</v>
      </c>
      <c r="H1970">
        <v>186.54</v>
      </c>
      <c r="I1970">
        <v>3</v>
      </c>
      <c r="J1970">
        <v>50.3658</v>
      </c>
      <c r="K1970">
        <v>2014</v>
      </c>
      <c r="L1970">
        <v>8</v>
      </c>
      <c r="M1970" t="s">
        <v>53</v>
      </c>
      <c r="N1970">
        <v>2</v>
      </c>
      <c r="O1970">
        <v>4</v>
      </c>
      <c r="P1970">
        <v>27</v>
      </c>
      <c r="Q1970">
        <v>62.18</v>
      </c>
      <c r="R1970" t="s">
        <v>26</v>
      </c>
      <c r="S1970" t="b">
        <v>0</v>
      </c>
      <c r="T1970" t="b">
        <v>0</v>
      </c>
    </row>
    <row r="1971" spans="1:20" x14ac:dyDescent="0.3">
      <c r="A1971" t="s">
        <v>3009</v>
      </c>
      <c r="B1971" s="1">
        <v>41762</v>
      </c>
      <c r="C1971" s="1">
        <v>41765</v>
      </c>
      <c r="D1971" t="s">
        <v>3010</v>
      </c>
      <c r="E1971" t="s">
        <v>22</v>
      </c>
      <c r="F1971" t="s">
        <v>61</v>
      </c>
      <c r="G1971" t="s">
        <v>3011</v>
      </c>
      <c r="H1971">
        <v>159.56</v>
      </c>
      <c r="I1971">
        <v>4</v>
      </c>
      <c r="J1971">
        <v>59.037199999999999</v>
      </c>
      <c r="K1971">
        <v>2014</v>
      </c>
      <c r="L1971">
        <v>5</v>
      </c>
      <c r="M1971" t="s">
        <v>47</v>
      </c>
      <c r="N1971">
        <v>3</v>
      </c>
      <c r="O1971">
        <v>3</v>
      </c>
      <c r="P1971">
        <v>37</v>
      </c>
      <c r="Q1971">
        <v>39.89</v>
      </c>
      <c r="R1971" t="s">
        <v>26</v>
      </c>
      <c r="S1971" t="b">
        <v>0</v>
      </c>
      <c r="T1971" t="b">
        <v>0</v>
      </c>
    </row>
    <row r="1972" spans="1:20" x14ac:dyDescent="0.3">
      <c r="A1972" t="s">
        <v>3012</v>
      </c>
      <c r="B1972" s="1">
        <v>41381</v>
      </c>
      <c r="C1972" s="1">
        <v>41383</v>
      </c>
      <c r="D1972" t="s">
        <v>3013</v>
      </c>
      <c r="E1972" t="s">
        <v>39</v>
      </c>
      <c r="F1972" t="s">
        <v>122</v>
      </c>
      <c r="G1972" t="s">
        <v>1709</v>
      </c>
      <c r="H1972">
        <v>28.8</v>
      </c>
      <c r="I1972">
        <v>3</v>
      </c>
      <c r="J1972">
        <v>0.86399999999999999</v>
      </c>
      <c r="K1972">
        <v>2013</v>
      </c>
      <c r="L1972">
        <v>4</v>
      </c>
      <c r="M1972" t="s">
        <v>236</v>
      </c>
      <c r="N1972">
        <v>17</v>
      </c>
      <c r="O1972">
        <v>2</v>
      </c>
      <c r="P1972">
        <v>3</v>
      </c>
      <c r="Q1972">
        <v>9.6</v>
      </c>
      <c r="R1972" t="s">
        <v>26</v>
      </c>
      <c r="S1972" t="b">
        <v>0</v>
      </c>
      <c r="T1972" t="b">
        <v>0</v>
      </c>
    </row>
    <row r="1973" spans="1:20" x14ac:dyDescent="0.3">
      <c r="A1973" t="s">
        <v>3014</v>
      </c>
      <c r="B1973" s="1">
        <v>41697</v>
      </c>
      <c r="C1973" s="1">
        <v>41701</v>
      </c>
      <c r="D1973" t="s">
        <v>3015</v>
      </c>
      <c r="E1973" t="s">
        <v>2562</v>
      </c>
      <c r="F1973" t="s">
        <v>35</v>
      </c>
      <c r="G1973" t="s">
        <v>435</v>
      </c>
      <c r="H1973">
        <v>356.79</v>
      </c>
      <c r="I1973">
        <v>7</v>
      </c>
      <c r="J1973">
        <v>99.901200000000003</v>
      </c>
      <c r="K1973">
        <v>2014</v>
      </c>
      <c r="L1973">
        <v>2</v>
      </c>
      <c r="M1973" t="s">
        <v>303</v>
      </c>
      <c r="N1973">
        <v>27</v>
      </c>
      <c r="O1973">
        <v>4</v>
      </c>
      <c r="P1973">
        <v>28</v>
      </c>
      <c r="Q1973">
        <v>50.970000000000013</v>
      </c>
      <c r="R1973" t="s">
        <v>26</v>
      </c>
      <c r="S1973" t="b">
        <v>0</v>
      </c>
      <c r="T1973" t="b">
        <v>1</v>
      </c>
    </row>
    <row r="1974" spans="1:20" x14ac:dyDescent="0.3">
      <c r="A1974" t="s">
        <v>3016</v>
      </c>
      <c r="B1974" s="1">
        <v>41484</v>
      </c>
      <c r="C1974" s="1">
        <v>41490</v>
      </c>
      <c r="D1974" t="s">
        <v>2780</v>
      </c>
      <c r="E1974" t="s">
        <v>22</v>
      </c>
      <c r="F1974" t="s">
        <v>23</v>
      </c>
      <c r="G1974" t="s">
        <v>3017</v>
      </c>
      <c r="H1974">
        <v>18.899999999999999</v>
      </c>
      <c r="I1974">
        <v>3</v>
      </c>
      <c r="J1974">
        <v>8.6940000000000008</v>
      </c>
      <c r="K1974">
        <v>2013</v>
      </c>
      <c r="L1974">
        <v>7</v>
      </c>
      <c r="M1974" t="s">
        <v>66</v>
      </c>
      <c r="N1974">
        <v>29</v>
      </c>
      <c r="O1974">
        <v>6</v>
      </c>
      <c r="P1974">
        <v>46</v>
      </c>
      <c r="Q1974">
        <v>6.3</v>
      </c>
      <c r="R1974" t="s">
        <v>26</v>
      </c>
      <c r="S1974" t="b">
        <v>0</v>
      </c>
      <c r="T1974" t="b">
        <v>0</v>
      </c>
    </row>
    <row r="1975" spans="1:20" x14ac:dyDescent="0.3">
      <c r="A1975" t="s">
        <v>3018</v>
      </c>
      <c r="B1975" s="1">
        <v>41449</v>
      </c>
      <c r="C1975" s="1">
        <v>41451</v>
      </c>
      <c r="D1975" t="s">
        <v>153</v>
      </c>
      <c r="E1975" t="s">
        <v>51</v>
      </c>
      <c r="F1975" t="s">
        <v>45</v>
      </c>
      <c r="G1975" t="s">
        <v>1206</v>
      </c>
      <c r="H1975">
        <v>93.68</v>
      </c>
      <c r="I1975">
        <v>4</v>
      </c>
      <c r="J1975">
        <v>25.293600000000001</v>
      </c>
      <c r="K1975">
        <v>2013</v>
      </c>
      <c r="L1975">
        <v>6</v>
      </c>
      <c r="M1975" t="s">
        <v>25</v>
      </c>
      <c r="N1975">
        <v>24</v>
      </c>
      <c r="O1975">
        <v>2</v>
      </c>
      <c r="P1975">
        <v>27</v>
      </c>
      <c r="Q1975">
        <v>23.42</v>
      </c>
      <c r="R1975" t="s">
        <v>26</v>
      </c>
      <c r="S1975" t="b">
        <v>0</v>
      </c>
      <c r="T1975" t="b">
        <v>0</v>
      </c>
    </row>
    <row r="1976" spans="1:20" x14ac:dyDescent="0.3">
      <c r="A1976" t="s">
        <v>3018</v>
      </c>
      <c r="B1976" s="1">
        <v>41449</v>
      </c>
      <c r="C1976" s="1">
        <v>41451</v>
      </c>
      <c r="D1976" t="s">
        <v>153</v>
      </c>
      <c r="E1976" t="s">
        <v>51</v>
      </c>
      <c r="F1976" t="s">
        <v>23</v>
      </c>
      <c r="G1976" t="s">
        <v>2912</v>
      </c>
      <c r="H1976">
        <v>21.93</v>
      </c>
      <c r="I1976">
        <v>3</v>
      </c>
      <c r="J1976">
        <v>10.3071</v>
      </c>
      <c r="K1976">
        <v>2013</v>
      </c>
      <c r="L1976">
        <v>6</v>
      </c>
      <c r="M1976" t="s">
        <v>25</v>
      </c>
      <c r="N1976">
        <v>24</v>
      </c>
      <c r="O1976">
        <v>2</v>
      </c>
      <c r="P1976">
        <v>47</v>
      </c>
      <c r="Q1976">
        <v>7.31</v>
      </c>
      <c r="R1976" t="s">
        <v>26</v>
      </c>
      <c r="S1976" t="b">
        <v>0</v>
      </c>
      <c r="T1976" t="b">
        <v>0</v>
      </c>
    </row>
    <row r="1977" spans="1:20" x14ac:dyDescent="0.3">
      <c r="A1977" t="s">
        <v>3018</v>
      </c>
      <c r="B1977" s="1">
        <v>41449</v>
      </c>
      <c r="C1977" s="1">
        <v>41451</v>
      </c>
      <c r="D1977" t="s">
        <v>153</v>
      </c>
      <c r="E1977" t="s">
        <v>51</v>
      </c>
      <c r="F1977" t="s">
        <v>72</v>
      </c>
      <c r="G1977" t="s">
        <v>3019</v>
      </c>
      <c r="H1977">
        <v>19.98</v>
      </c>
      <c r="I1977">
        <v>1</v>
      </c>
      <c r="J1977">
        <v>9.3905999999999992</v>
      </c>
      <c r="K1977">
        <v>2013</v>
      </c>
      <c r="L1977">
        <v>6</v>
      </c>
      <c r="M1977" t="s">
        <v>25</v>
      </c>
      <c r="N1977">
        <v>24</v>
      </c>
      <c r="O1977">
        <v>2</v>
      </c>
      <c r="P1977">
        <v>47</v>
      </c>
      <c r="Q1977">
        <v>19.98</v>
      </c>
      <c r="R1977" t="s">
        <v>26</v>
      </c>
      <c r="S1977" t="b">
        <v>0</v>
      </c>
      <c r="T1977" t="b">
        <v>0</v>
      </c>
    </row>
    <row r="1978" spans="1:20" x14ac:dyDescent="0.3">
      <c r="A1978" t="s">
        <v>3020</v>
      </c>
      <c r="B1978" s="1">
        <v>41584</v>
      </c>
      <c r="C1978" s="1">
        <v>41588</v>
      </c>
      <c r="D1978" t="s">
        <v>736</v>
      </c>
      <c r="E1978" t="s">
        <v>39</v>
      </c>
      <c r="F1978" t="s">
        <v>61</v>
      </c>
      <c r="G1978" t="s">
        <v>3021</v>
      </c>
      <c r="H1978">
        <v>479.72</v>
      </c>
      <c r="I1978">
        <v>4</v>
      </c>
      <c r="J1978">
        <v>52.769199999999998</v>
      </c>
      <c r="K1978">
        <v>2013</v>
      </c>
      <c r="L1978">
        <v>11</v>
      </c>
      <c r="M1978" t="s">
        <v>70</v>
      </c>
      <c r="N1978">
        <v>6</v>
      </c>
      <c r="O1978">
        <v>4</v>
      </c>
      <c r="P1978">
        <v>11</v>
      </c>
      <c r="Q1978">
        <v>119.93</v>
      </c>
      <c r="R1978" t="s">
        <v>26</v>
      </c>
      <c r="S1978" t="b">
        <v>0</v>
      </c>
      <c r="T1978" t="b">
        <v>1</v>
      </c>
    </row>
    <row r="1979" spans="1:20" x14ac:dyDescent="0.3">
      <c r="A1979" t="s">
        <v>3022</v>
      </c>
      <c r="B1979" s="1">
        <v>41222</v>
      </c>
      <c r="C1979" s="1">
        <v>41226</v>
      </c>
      <c r="D1979" t="s">
        <v>926</v>
      </c>
      <c r="E1979" t="s">
        <v>115</v>
      </c>
      <c r="F1979" t="s">
        <v>119</v>
      </c>
      <c r="G1979" t="s">
        <v>248</v>
      </c>
      <c r="H1979">
        <v>2.48</v>
      </c>
      <c r="I1979">
        <v>2</v>
      </c>
      <c r="J1979">
        <v>1.1656</v>
      </c>
      <c r="K1979">
        <v>2012</v>
      </c>
      <c r="L1979">
        <v>11</v>
      </c>
      <c r="M1979" t="s">
        <v>70</v>
      </c>
      <c r="N1979">
        <v>9</v>
      </c>
      <c r="O1979">
        <v>4</v>
      </c>
      <c r="P1979">
        <v>47</v>
      </c>
      <c r="Q1979">
        <v>1.24</v>
      </c>
      <c r="R1979" t="s">
        <v>26</v>
      </c>
      <c r="S1979" t="b">
        <v>0</v>
      </c>
      <c r="T1979" t="b">
        <v>0</v>
      </c>
    </row>
    <row r="1980" spans="1:20" x14ac:dyDescent="0.3">
      <c r="A1980" t="s">
        <v>3023</v>
      </c>
      <c r="B1980" s="1">
        <v>41184</v>
      </c>
      <c r="C1980" s="1">
        <v>41185</v>
      </c>
      <c r="D1980" t="s">
        <v>3024</v>
      </c>
      <c r="E1980" t="s">
        <v>22</v>
      </c>
      <c r="F1980" t="s">
        <v>33</v>
      </c>
      <c r="G1980" t="s">
        <v>2855</v>
      </c>
      <c r="H1980">
        <v>11.808</v>
      </c>
      <c r="I1980">
        <v>3</v>
      </c>
      <c r="J1980">
        <v>4.1327999999999996</v>
      </c>
      <c r="K1980">
        <v>2012</v>
      </c>
      <c r="L1980">
        <v>10</v>
      </c>
      <c r="M1980" t="s">
        <v>82</v>
      </c>
      <c r="N1980">
        <v>2</v>
      </c>
      <c r="O1980">
        <v>1</v>
      </c>
      <c r="P1980">
        <v>35</v>
      </c>
      <c r="Q1980">
        <v>3.9359999999999999</v>
      </c>
      <c r="R1980" t="s">
        <v>26</v>
      </c>
      <c r="S1980" t="b">
        <v>0</v>
      </c>
      <c r="T1980" t="b">
        <v>0</v>
      </c>
    </row>
    <row r="1981" spans="1:20" x14ac:dyDescent="0.3">
      <c r="A1981" t="s">
        <v>3023</v>
      </c>
      <c r="B1981" s="1">
        <v>41184</v>
      </c>
      <c r="C1981" s="1">
        <v>41185</v>
      </c>
      <c r="D1981" t="s">
        <v>3024</v>
      </c>
      <c r="E1981" t="s">
        <v>22</v>
      </c>
      <c r="F1981" t="s">
        <v>33</v>
      </c>
      <c r="G1981" t="s">
        <v>1988</v>
      </c>
      <c r="H1981">
        <v>53.567999999999998</v>
      </c>
      <c r="I1981">
        <v>4</v>
      </c>
      <c r="J1981">
        <v>19.418399999999998</v>
      </c>
      <c r="K1981">
        <v>2012</v>
      </c>
      <c r="L1981">
        <v>10</v>
      </c>
      <c r="M1981" t="s">
        <v>82</v>
      </c>
      <c r="N1981">
        <v>2</v>
      </c>
      <c r="O1981">
        <v>1</v>
      </c>
      <c r="P1981">
        <v>36.25</v>
      </c>
      <c r="Q1981">
        <v>13.391999999999999</v>
      </c>
      <c r="R1981" t="s">
        <v>26</v>
      </c>
      <c r="S1981" t="b">
        <v>0</v>
      </c>
      <c r="T1981" t="b">
        <v>0</v>
      </c>
    </row>
    <row r="1982" spans="1:20" x14ac:dyDescent="0.3">
      <c r="A1982" t="s">
        <v>3023</v>
      </c>
      <c r="B1982" s="1">
        <v>41184</v>
      </c>
      <c r="C1982" s="1">
        <v>41185</v>
      </c>
      <c r="D1982" t="s">
        <v>3024</v>
      </c>
      <c r="E1982" t="s">
        <v>22</v>
      </c>
      <c r="F1982" t="s">
        <v>54</v>
      </c>
      <c r="G1982" t="s">
        <v>3025</v>
      </c>
      <c r="H1982">
        <v>503.96</v>
      </c>
      <c r="I1982">
        <v>5</v>
      </c>
      <c r="J1982">
        <v>50.396000000000001</v>
      </c>
      <c r="K1982">
        <v>2012</v>
      </c>
      <c r="L1982">
        <v>10</v>
      </c>
      <c r="M1982" t="s">
        <v>82</v>
      </c>
      <c r="N1982">
        <v>2</v>
      </c>
      <c r="O1982">
        <v>1</v>
      </c>
      <c r="P1982">
        <v>10</v>
      </c>
      <c r="Q1982">
        <v>100.792</v>
      </c>
      <c r="R1982" t="s">
        <v>26</v>
      </c>
      <c r="S1982" t="b">
        <v>0</v>
      </c>
      <c r="T1982" t="b">
        <v>1</v>
      </c>
    </row>
    <row r="1983" spans="1:20" x14ac:dyDescent="0.3">
      <c r="A1983" t="s">
        <v>3026</v>
      </c>
      <c r="B1983" s="1">
        <v>41024</v>
      </c>
      <c r="C1983" s="1">
        <v>41031</v>
      </c>
      <c r="D1983" t="s">
        <v>722</v>
      </c>
      <c r="E1983" t="s">
        <v>22</v>
      </c>
      <c r="F1983" t="s">
        <v>128</v>
      </c>
      <c r="G1983" t="s">
        <v>3027</v>
      </c>
      <c r="H1983">
        <v>21.34</v>
      </c>
      <c r="I1983">
        <v>2</v>
      </c>
      <c r="J1983">
        <v>9.8163999999999998</v>
      </c>
      <c r="K1983">
        <v>2012</v>
      </c>
      <c r="L1983">
        <v>4</v>
      </c>
      <c r="M1983" t="s">
        <v>236</v>
      </c>
      <c r="N1983">
        <v>25</v>
      </c>
      <c r="O1983">
        <v>7</v>
      </c>
      <c r="P1983">
        <v>46</v>
      </c>
      <c r="Q1983">
        <v>10.67</v>
      </c>
      <c r="R1983" t="s">
        <v>26</v>
      </c>
      <c r="S1983" t="b">
        <v>0</v>
      </c>
      <c r="T1983" t="b">
        <v>0</v>
      </c>
    </row>
    <row r="1984" spans="1:20" x14ac:dyDescent="0.3">
      <c r="A1984" t="s">
        <v>3028</v>
      </c>
      <c r="B1984" s="1">
        <v>41179</v>
      </c>
      <c r="C1984" s="1">
        <v>41181</v>
      </c>
      <c r="D1984" t="s">
        <v>1266</v>
      </c>
      <c r="E1984" t="s">
        <v>51</v>
      </c>
      <c r="F1984" t="s">
        <v>45</v>
      </c>
      <c r="G1984" t="s">
        <v>183</v>
      </c>
      <c r="H1984">
        <v>15.51</v>
      </c>
      <c r="I1984">
        <v>1</v>
      </c>
      <c r="J1984">
        <v>4.3428000000000004</v>
      </c>
      <c r="K1984">
        <v>2012</v>
      </c>
      <c r="L1984">
        <v>9</v>
      </c>
      <c r="M1984" t="s">
        <v>87</v>
      </c>
      <c r="N1984">
        <v>27</v>
      </c>
      <c r="O1984">
        <v>2</v>
      </c>
      <c r="P1984">
        <v>28</v>
      </c>
      <c r="Q1984">
        <v>15.51</v>
      </c>
      <c r="R1984" t="s">
        <v>26</v>
      </c>
      <c r="S1984" t="b">
        <v>0</v>
      </c>
      <c r="T1984" t="b">
        <v>0</v>
      </c>
    </row>
    <row r="1985" spans="1:20" x14ac:dyDescent="0.3">
      <c r="A1985" t="s">
        <v>3028</v>
      </c>
      <c r="B1985" s="1">
        <v>41179</v>
      </c>
      <c r="C1985" s="1">
        <v>41181</v>
      </c>
      <c r="D1985" t="s">
        <v>1266</v>
      </c>
      <c r="E1985" t="s">
        <v>51</v>
      </c>
      <c r="F1985" t="s">
        <v>72</v>
      </c>
      <c r="G1985" t="s">
        <v>3029</v>
      </c>
      <c r="H1985">
        <v>146.82</v>
      </c>
      <c r="I1985">
        <v>3</v>
      </c>
      <c r="J1985">
        <v>73.41</v>
      </c>
      <c r="K1985">
        <v>2012</v>
      </c>
      <c r="L1985">
        <v>9</v>
      </c>
      <c r="M1985" t="s">
        <v>87</v>
      </c>
      <c r="N1985">
        <v>27</v>
      </c>
      <c r="O1985">
        <v>2</v>
      </c>
      <c r="P1985">
        <v>50</v>
      </c>
      <c r="Q1985">
        <v>48.94</v>
      </c>
      <c r="R1985" t="s">
        <v>26</v>
      </c>
      <c r="S1985" t="b">
        <v>0</v>
      </c>
      <c r="T1985" t="b">
        <v>0</v>
      </c>
    </row>
    <row r="1986" spans="1:20" x14ac:dyDescent="0.3">
      <c r="A1986" t="s">
        <v>3028</v>
      </c>
      <c r="B1986" s="1">
        <v>41179</v>
      </c>
      <c r="C1986" s="1">
        <v>41181</v>
      </c>
      <c r="D1986" t="s">
        <v>1266</v>
      </c>
      <c r="E1986" t="s">
        <v>51</v>
      </c>
      <c r="F1986" t="s">
        <v>72</v>
      </c>
      <c r="G1986" t="s">
        <v>376</v>
      </c>
      <c r="H1986">
        <v>12.96</v>
      </c>
      <c r="I1986">
        <v>2</v>
      </c>
      <c r="J1986">
        <v>6.2207999999999997</v>
      </c>
      <c r="K1986">
        <v>2012</v>
      </c>
      <c r="L1986">
        <v>9</v>
      </c>
      <c r="M1986" t="s">
        <v>87</v>
      </c>
      <c r="N1986">
        <v>27</v>
      </c>
      <c r="O1986">
        <v>2</v>
      </c>
      <c r="P1986">
        <v>48</v>
      </c>
      <c r="Q1986">
        <v>6.48</v>
      </c>
      <c r="R1986" t="s">
        <v>26</v>
      </c>
      <c r="S1986" t="b">
        <v>0</v>
      </c>
      <c r="T1986" t="b">
        <v>0</v>
      </c>
    </row>
    <row r="1987" spans="1:20" x14ac:dyDescent="0.3">
      <c r="A1987" t="s">
        <v>3030</v>
      </c>
      <c r="B1987" s="1">
        <v>41954</v>
      </c>
      <c r="C1987" s="1">
        <v>41954</v>
      </c>
      <c r="D1987" t="s">
        <v>3031</v>
      </c>
      <c r="E1987" t="s">
        <v>569</v>
      </c>
      <c r="F1987" t="s">
        <v>31</v>
      </c>
      <c r="G1987" t="s">
        <v>3032</v>
      </c>
      <c r="H1987">
        <v>7.8</v>
      </c>
      <c r="I1987">
        <v>3</v>
      </c>
      <c r="J1987">
        <v>2.1059999999999999</v>
      </c>
      <c r="K1987">
        <v>2014</v>
      </c>
      <c r="L1987">
        <v>11</v>
      </c>
      <c r="M1987" t="s">
        <v>70</v>
      </c>
      <c r="N1987">
        <v>11</v>
      </c>
      <c r="O1987">
        <v>0</v>
      </c>
      <c r="P1987">
        <v>27</v>
      </c>
      <c r="Q1987">
        <v>2.6</v>
      </c>
      <c r="R1987" t="s">
        <v>26</v>
      </c>
      <c r="S1987" t="b">
        <v>0</v>
      </c>
      <c r="T1987" t="b">
        <v>0</v>
      </c>
    </row>
    <row r="1988" spans="1:20" x14ac:dyDescent="0.3">
      <c r="A1988" t="s">
        <v>3033</v>
      </c>
      <c r="B1988" s="1">
        <v>41284</v>
      </c>
      <c r="C1988" s="1">
        <v>41287</v>
      </c>
      <c r="D1988" t="s">
        <v>2594</v>
      </c>
      <c r="E1988" t="s">
        <v>2795</v>
      </c>
      <c r="F1988" t="s">
        <v>29</v>
      </c>
      <c r="G1988" t="s">
        <v>875</v>
      </c>
      <c r="H1988">
        <v>24.85</v>
      </c>
      <c r="I1988">
        <v>5</v>
      </c>
      <c r="J1988">
        <v>7.7035</v>
      </c>
      <c r="K1988">
        <v>2013</v>
      </c>
      <c r="L1988">
        <v>1</v>
      </c>
      <c r="M1988" t="s">
        <v>60</v>
      </c>
      <c r="N1988">
        <v>10</v>
      </c>
      <c r="O1988">
        <v>3</v>
      </c>
      <c r="P1988">
        <v>31</v>
      </c>
      <c r="Q1988">
        <v>4.9700000000000006</v>
      </c>
      <c r="R1988" t="s">
        <v>26</v>
      </c>
      <c r="S1988" t="b">
        <v>0</v>
      </c>
      <c r="T1988" t="b">
        <v>0</v>
      </c>
    </row>
    <row r="1989" spans="1:20" x14ac:dyDescent="0.3">
      <c r="A1989" t="s">
        <v>3034</v>
      </c>
      <c r="B1989" s="1">
        <v>41902</v>
      </c>
      <c r="C1989" s="1">
        <v>41908</v>
      </c>
      <c r="D1989" t="s">
        <v>815</v>
      </c>
      <c r="E1989" t="s">
        <v>105</v>
      </c>
      <c r="F1989" t="s">
        <v>45</v>
      </c>
      <c r="G1989" t="s">
        <v>2483</v>
      </c>
      <c r="H1989">
        <v>12.624000000000001</v>
      </c>
      <c r="I1989">
        <v>2</v>
      </c>
      <c r="J1989">
        <v>-2.5247999999999999</v>
      </c>
      <c r="K1989">
        <v>2014</v>
      </c>
      <c r="L1989">
        <v>9</v>
      </c>
      <c r="M1989" t="s">
        <v>87</v>
      </c>
      <c r="N1989">
        <v>20</v>
      </c>
      <c r="O1989">
        <v>6</v>
      </c>
      <c r="P1989">
        <v>-20</v>
      </c>
      <c r="Q1989">
        <v>6.3120000000000003</v>
      </c>
      <c r="R1989" t="s">
        <v>26</v>
      </c>
      <c r="S1989" t="b">
        <v>1</v>
      </c>
      <c r="T1989" t="b">
        <v>0</v>
      </c>
    </row>
    <row r="1990" spans="1:20" x14ac:dyDescent="0.3">
      <c r="A1990" t="s">
        <v>3034</v>
      </c>
      <c r="B1990" s="1">
        <v>41902</v>
      </c>
      <c r="C1990" s="1">
        <v>41908</v>
      </c>
      <c r="D1990" t="s">
        <v>815</v>
      </c>
      <c r="E1990" t="s">
        <v>105</v>
      </c>
      <c r="F1990" t="s">
        <v>61</v>
      </c>
      <c r="G1990" t="s">
        <v>531</v>
      </c>
      <c r="H1990">
        <v>89.584000000000003</v>
      </c>
      <c r="I1990">
        <v>2</v>
      </c>
      <c r="J1990">
        <v>4.4791999999999996</v>
      </c>
      <c r="K1990">
        <v>2014</v>
      </c>
      <c r="L1990">
        <v>9</v>
      </c>
      <c r="M1990" t="s">
        <v>87</v>
      </c>
      <c r="N1990">
        <v>20</v>
      </c>
      <c r="O1990">
        <v>6</v>
      </c>
      <c r="P1990">
        <v>5</v>
      </c>
      <c r="Q1990">
        <v>44.792000000000002</v>
      </c>
      <c r="R1990" t="s">
        <v>26</v>
      </c>
      <c r="S1990" t="b">
        <v>0</v>
      </c>
      <c r="T1990" t="b">
        <v>0</v>
      </c>
    </row>
    <row r="1991" spans="1:20" x14ac:dyDescent="0.3">
      <c r="A1991" t="s">
        <v>3034</v>
      </c>
      <c r="B1991" s="1">
        <v>41902</v>
      </c>
      <c r="C1991" s="1">
        <v>41908</v>
      </c>
      <c r="D1991" t="s">
        <v>815</v>
      </c>
      <c r="E1991" t="s">
        <v>105</v>
      </c>
      <c r="F1991" t="s">
        <v>54</v>
      </c>
      <c r="G1991" t="s">
        <v>3035</v>
      </c>
      <c r="H1991">
        <v>471.92</v>
      </c>
      <c r="I1991">
        <v>2</v>
      </c>
      <c r="J1991">
        <v>29.495000000000001</v>
      </c>
      <c r="K1991">
        <v>2014</v>
      </c>
      <c r="L1991">
        <v>9</v>
      </c>
      <c r="M1991" t="s">
        <v>87</v>
      </c>
      <c r="N1991">
        <v>20</v>
      </c>
      <c r="O1991">
        <v>6</v>
      </c>
      <c r="P1991">
        <v>6.25</v>
      </c>
      <c r="Q1991">
        <v>235.96</v>
      </c>
      <c r="R1991" t="s">
        <v>26</v>
      </c>
      <c r="S1991" t="b">
        <v>0</v>
      </c>
      <c r="T1991" t="b">
        <v>1</v>
      </c>
    </row>
    <row r="1992" spans="1:20" x14ac:dyDescent="0.3">
      <c r="A1992" t="s">
        <v>3034</v>
      </c>
      <c r="B1992" s="1">
        <v>41902</v>
      </c>
      <c r="C1992" s="1">
        <v>41908</v>
      </c>
      <c r="D1992" t="s">
        <v>815</v>
      </c>
      <c r="E1992" t="s">
        <v>105</v>
      </c>
      <c r="F1992" t="s">
        <v>33</v>
      </c>
      <c r="G1992" t="s">
        <v>2835</v>
      </c>
      <c r="H1992">
        <v>18.18</v>
      </c>
      <c r="I1992">
        <v>4</v>
      </c>
      <c r="J1992">
        <v>-13.938000000000001</v>
      </c>
      <c r="K1992">
        <v>2014</v>
      </c>
      <c r="L1992">
        <v>9</v>
      </c>
      <c r="M1992" t="s">
        <v>87</v>
      </c>
      <c r="N1992">
        <v>20</v>
      </c>
      <c r="O1992">
        <v>6</v>
      </c>
      <c r="P1992">
        <v>-76.67</v>
      </c>
      <c r="Q1992">
        <v>4.5449999999999999</v>
      </c>
      <c r="R1992" t="s">
        <v>26</v>
      </c>
      <c r="S1992" t="b">
        <v>1</v>
      </c>
      <c r="T1992" t="b">
        <v>0</v>
      </c>
    </row>
    <row r="1993" spans="1:20" x14ac:dyDescent="0.3">
      <c r="A1993" t="s">
        <v>3036</v>
      </c>
      <c r="B1993" s="1">
        <v>41088</v>
      </c>
      <c r="C1993" s="1">
        <v>41092</v>
      </c>
      <c r="D1993" t="s">
        <v>662</v>
      </c>
      <c r="E1993" t="s">
        <v>77</v>
      </c>
      <c r="F1993" t="s">
        <v>23</v>
      </c>
      <c r="G1993" t="s">
        <v>1038</v>
      </c>
      <c r="H1993">
        <v>5.9039999999999999</v>
      </c>
      <c r="I1993">
        <v>2</v>
      </c>
      <c r="J1993">
        <v>1.9925999999999999</v>
      </c>
      <c r="K1993">
        <v>2012</v>
      </c>
      <c r="L1993">
        <v>6</v>
      </c>
      <c r="M1993" t="s">
        <v>25</v>
      </c>
      <c r="N1993">
        <v>28</v>
      </c>
      <c r="O1993">
        <v>4</v>
      </c>
      <c r="P1993">
        <v>33.75</v>
      </c>
      <c r="Q1993">
        <v>2.952</v>
      </c>
      <c r="R1993" t="s">
        <v>26</v>
      </c>
      <c r="S1993" t="b">
        <v>0</v>
      </c>
      <c r="T1993" t="b">
        <v>0</v>
      </c>
    </row>
    <row r="1994" spans="1:20" x14ac:dyDescent="0.3">
      <c r="A1994" t="s">
        <v>3037</v>
      </c>
      <c r="B1994" s="1">
        <v>41654</v>
      </c>
      <c r="C1994" s="1">
        <v>41659</v>
      </c>
      <c r="D1994" t="s">
        <v>3038</v>
      </c>
      <c r="E1994" t="s">
        <v>22</v>
      </c>
      <c r="F1994" t="s">
        <v>72</v>
      </c>
      <c r="G1994" t="s">
        <v>2228</v>
      </c>
      <c r="H1994">
        <v>154.9</v>
      </c>
      <c r="I1994">
        <v>5</v>
      </c>
      <c r="J1994">
        <v>69.704999999999998</v>
      </c>
      <c r="K1994">
        <v>2014</v>
      </c>
      <c r="L1994">
        <v>1</v>
      </c>
      <c r="M1994" t="s">
        <v>60</v>
      </c>
      <c r="N1994">
        <v>15</v>
      </c>
      <c r="O1994">
        <v>5</v>
      </c>
      <c r="P1994">
        <v>45</v>
      </c>
      <c r="Q1994">
        <v>30.98</v>
      </c>
      <c r="R1994" t="s">
        <v>26</v>
      </c>
      <c r="S1994" t="b">
        <v>0</v>
      </c>
      <c r="T1994" t="b">
        <v>0</v>
      </c>
    </row>
    <row r="1995" spans="1:20" x14ac:dyDescent="0.3">
      <c r="A1995" t="s">
        <v>3039</v>
      </c>
      <c r="B1995" s="1">
        <v>41232</v>
      </c>
      <c r="C1995" s="1">
        <v>41239</v>
      </c>
      <c r="D1995" t="s">
        <v>1428</v>
      </c>
      <c r="E1995" t="s">
        <v>271</v>
      </c>
      <c r="F1995" t="s">
        <v>35</v>
      </c>
      <c r="G1995" t="s">
        <v>2666</v>
      </c>
      <c r="H1995">
        <v>31.08</v>
      </c>
      <c r="I1995">
        <v>4</v>
      </c>
      <c r="J1995">
        <v>8.3916000000000004</v>
      </c>
      <c r="K1995">
        <v>2012</v>
      </c>
      <c r="L1995">
        <v>11</v>
      </c>
      <c r="M1995" t="s">
        <v>70</v>
      </c>
      <c r="N1995">
        <v>19</v>
      </c>
      <c r="O1995">
        <v>7</v>
      </c>
      <c r="P1995">
        <v>27</v>
      </c>
      <c r="Q1995">
        <v>7.77</v>
      </c>
      <c r="R1995" t="s">
        <v>26</v>
      </c>
      <c r="S1995" t="b">
        <v>0</v>
      </c>
      <c r="T1995" t="b">
        <v>0</v>
      </c>
    </row>
    <row r="1996" spans="1:20" x14ac:dyDescent="0.3">
      <c r="A1996" t="s">
        <v>3040</v>
      </c>
      <c r="B1996" s="1">
        <v>41534</v>
      </c>
      <c r="C1996" s="1">
        <v>41540</v>
      </c>
      <c r="D1996" t="s">
        <v>1309</v>
      </c>
      <c r="E1996" t="s">
        <v>904</v>
      </c>
      <c r="F1996" t="s">
        <v>72</v>
      </c>
      <c r="G1996" t="s">
        <v>1852</v>
      </c>
      <c r="H1996">
        <v>12.96</v>
      </c>
      <c r="I1996">
        <v>2</v>
      </c>
      <c r="J1996">
        <v>6.3503999999999996</v>
      </c>
      <c r="K1996">
        <v>2013</v>
      </c>
      <c r="L1996">
        <v>9</v>
      </c>
      <c r="M1996" t="s">
        <v>87</v>
      </c>
      <c r="N1996">
        <v>17</v>
      </c>
      <c r="O1996">
        <v>6</v>
      </c>
      <c r="P1996">
        <v>49</v>
      </c>
      <c r="Q1996">
        <v>6.48</v>
      </c>
      <c r="R1996" t="s">
        <v>26</v>
      </c>
      <c r="S1996" t="b">
        <v>0</v>
      </c>
      <c r="T1996" t="b">
        <v>0</v>
      </c>
    </row>
    <row r="1997" spans="1:20" x14ac:dyDescent="0.3">
      <c r="A1997" t="s">
        <v>3041</v>
      </c>
      <c r="B1997" s="1">
        <v>40774</v>
      </c>
      <c r="C1997" s="1">
        <v>40776</v>
      </c>
      <c r="D1997" t="s">
        <v>2056</v>
      </c>
      <c r="E1997" t="s">
        <v>22</v>
      </c>
      <c r="F1997" t="s">
        <v>29</v>
      </c>
      <c r="G1997" t="s">
        <v>2194</v>
      </c>
      <c r="H1997">
        <v>289.24</v>
      </c>
      <c r="I1997">
        <v>7</v>
      </c>
      <c r="J1997">
        <v>26.031600000000001</v>
      </c>
      <c r="K1997">
        <v>2011</v>
      </c>
      <c r="L1997">
        <v>8</v>
      </c>
      <c r="M1997" t="s">
        <v>53</v>
      </c>
      <c r="N1997">
        <v>19</v>
      </c>
      <c r="O1997">
        <v>2</v>
      </c>
      <c r="P1997">
        <v>9</v>
      </c>
      <c r="Q1997">
        <v>41.32</v>
      </c>
      <c r="R1997" t="s">
        <v>26</v>
      </c>
      <c r="S1997" t="b">
        <v>0</v>
      </c>
      <c r="T1997" t="b">
        <v>1</v>
      </c>
    </row>
    <row r="1998" spans="1:20" x14ac:dyDescent="0.3">
      <c r="A1998" t="s">
        <v>3041</v>
      </c>
      <c r="B1998" s="1">
        <v>40774</v>
      </c>
      <c r="C1998" s="1">
        <v>40776</v>
      </c>
      <c r="D1998" t="s">
        <v>2056</v>
      </c>
      <c r="E1998" t="s">
        <v>22</v>
      </c>
      <c r="F1998" t="s">
        <v>33</v>
      </c>
      <c r="G1998" t="s">
        <v>1324</v>
      </c>
      <c r="H1998">
        <v>69.456000000000003</v>
      </c>
      <c r="I1998">
        <v>2</v>
      </c>
      <c r="J1998">
        <v>22.5732</v>
      </c>
      <c r="K1998">
        <v>2011</v>
      </c>
      <c r="L1998">
        <v>8</v>
      </c>
      <c r="M1998" t="s">
        <v>53</v>
      </c>
      <c r="N1998">
        <v>19</v>
      </c>
      <c r="O1998">
        <v>2</v>
      </c>
      <c r="P1998">
        <v>32.5</v>
      </c>
      <c r="Q1998">
        <v>34.728000000000002</v>
      </c>
      <c r="R1998" t="s">
        <v>26</v>
      </c>
      <c r="S1998" t="b">
        <v>0</v>
      </c>
      <c r="T1998" t="b">
        <v>0</v>
      </c>
    </row>
    <row r="1999" spans="1:20" x14ac:dyDescent="0.3">
      <c r="A1999" t="s">
        <v>3042</v>
      </c>
      <c r="B1999" s="1">
        <v>41983</v>
      </c>
      <c r="C1999" s="1">
        <v>41985</v>
      </c>
      <c r="D1999" t="s">
        <v>3043</v>
      </c>
      <c r="E1999" t="s">
        <v>540</v>
      </c>
      <c r="F1999" t="s">
        <v>317</v>
      </c>
      <c r="G1999" t="s">
        <v>2034</v>
      </c>
      <c r="H1999">
        <v>148.25700000000001</v>
      </c>
      <c r="I1999">
        <v>3</v>
      </c>
      <c r="J1999">
        <v>15.697800000000001</v>
      </c>
      <c r="K1999">
        <v>2014</v>
      </c>
      <c r="L1999">
        <v>12</v>
      </c>
      <c r="M1999" t="s">
        <v>41</v>
      </c>
      <c r="N1999">
        <v>10</v>
      </c>
      <c r="O1999">
        <v>2</v>
      </c>
      <c r="P1999">
        <v>10.59</v>
      </c>
      <c r="Q1999">
        <v>49.418999999999997</v>
      </c>
      <c r="R1999" t="s">
        <v>26</v>
      </c>
      <c r="S1999" t="b">
        <v>0</v>
      </c>
      <c r="T1999" t="b">
        <v>0</v>
      </c>
    </row>
    <row r="2000" spans="1:20" x14ac:dyDescent="0.3">
      <c r="A2000" t="s">
        <v>3044</v>
      </c>
      <c r="B2000" s="1">
        <v>40778</v>
      </c>
      <c r="C2000" s="1">
        <v>40782</v>
      </c>
      <c r="D2000" t="s">
        <v>691</v>
      </c>
      <c r="E2000" t="s">
        <v>173</v>
      </c>
      <c r="F2000" t="s">
        <v>72</v>
      </c>
      <c r="G2000" t="s">
        <v>3045</v>
      </c>
      <c r="H2000">
        <v>15.552</v>
      </c>
      <c r="I2000">
        <v>3</v>
      </c>
      <c r="J2000">
        <v>5.4432</v>
      </c>
      <c r="K2000">
        <v>2011</v>
      </c>
      <c r="L2000">
        <v>8</v>
      </c>
      <c r="M2000" t="s">
        <v>53</v>
      </c>
      <c r="N2000">
        <v>23</v>
      </c>
      <c r="O2000">
        <v>4</v>
      </c>
      <c r="P2000">
        <v>35</v>
      </c>
      <c r="Q2000">
        <v>5.1840000000000002</v>
      </c>
      <c r="R2000" t="s">
        <v>26</v>
      </c>
      <c r="S2000" t="b">
        <v>0</v>
      </c>
      <c r="T2000" t="b">
        <v>0</v>
      </c>
    </row>
    <row r="2001" spans="1:20" x14ac:dyDescent="0.3">
      <c r="A2001" t="s">
        <v>3044</v>
      </c>
      <c r="B2001" s="1">
        <v>40778</v>
      </c>
      <c r="C2001" s="1">
        <v>40782</v>
      </c>
      <c r="D2001" t="s">
        <v>691</v>
      </c>
      <c r="E2001" t="s">
        <v>173</v>
      </c>
      <c r="F2001" t="s">
        <v>122</v>
      </c>
      <c r="G2001" t="s">
        <v>3046</v>
      </c>
      <c r="H2001">
        <v>6.8</v>
      </c>
      <c r="I2001">
        <v>1</v>
      </c>
      <c r="J2001">
        <v>0.51</v>
      </c>
      <c r="K2001">
        <v>2011</v>
      </c>
      <c r="L2001">
        <v>8</v>
      </c>
      <c r="M2001" t="s">
        <v>53</v>
      </c>
      <c r="N2001">
        <v>23</v>
      </c>
      <c r="O2001">
        <v>4</v>
      </c>
      <c r="P2001">
        <v>7.5</v>
      </c>
      <c r="Q2001">
        <v>6.8</v>
      </c>
      <c r="R2001" t="s">
        <v>26</v>
      </c>
      <c r="S2001" t="b">
        <v>0</v>
      </c>
      <c r="T2001" t="b">
        <v>0</v>
      </c>
    </row>
    <row r="2002" spans="1:20" x14ac:dyDescent="0.3">
      <c r="A2002" t="s">
        <v>3044</v>
      </c>
      <c r="B2002" s="1">
        <v>40778</v>
      </c>
      <c r="C2002" s="1">
        <v>40782</v>
      </c>
      <c r="D2002" t="s">
        <v>691</v>
      </c>
      <c r="E2002" t="s">
        <v>173</v>
      </c>
      <c r="F2002" t="s">
        <v>29</v>
      </c>
      <c r="G2002" t="s">
        <v>203</v>
      </c>
      <c r="H2002">
        <v>4.2240000000000002</v>
      </c>
      <c r="I2002">
        <v>3</v>
      </c>
      <c r="J2002">
        <v>1.2672000000000001</v>
      </c>
      <c r="K2002">
        <v>2011</v>
      </c>
      <c r="L2002">
        <v>8</v>
      </c>
      <c r="M2002" t="s">
        <v>53</v>
      </c>
      <c r="N2002">
        <v>23</v>
      </c>
      <c r="O2002">
        <v>4</v>
      </c>
      <c r="P2002">
        <v>30</v>
      </c>
      <c r="Q2002">
        <v>1.4079999999999999</v>
      </c>
      <c r="R2002" t="s">
        <v>26</v>
      </c>
      <c r="S2002" t="b">
        <v>0</v>
      </c>
      <c r="T2002" t="b">
        <v>0</v>
      </c>
    </row>
    <row r="2003" spans="1:20" x14ac:dyDescent="0.3">
      <c r="A2003" t="s">
        <v>3044</v>
      </c>
      <c r="B2003" s="1">
        <v>40778</v>
      </c>
      <c r="C2003" s="1">
        <v>40782</v>
      </c>
      <c r="D2003" t="s">
        <v>691</v>
      </c>
      <c r="E2003" t="s">
        <v>173</v>
      </c>
      <c r="F2003" t="s">
        <v>54</v>
      </c>
      <c r="G2003" t="s">
        <v>324</v>
      </c>
      <c r="H2003">
        <v>143.63999999999999</v>
      </c>
      <c r="I2003">
        <v>9</v>
      </c>
      <c r="J2003">
        <v>10.773</v>
      </c>
      <c r="K2003">
        <v>2011</v>
      </c>
      <c r="L2003">
        <v>8</v>
      </c>
      <c r="M2003" t="s">
        <v>53</v>
      </c>
      <c r="N2003">
        <v>23</v>
      </c>
      <c r="O2003">
        <v>4</v>
      </c>
      <c r="P2003">
        <v>7.5</v>
      </c>
      <c r="Q2003">
        <v>15.96</v>
      </c>
      <c r="R2003" t="s">
        <v>26</v>
      </c>
      <c r="S2003" t="b">
        <v>0</v>
      </c>
      <c r="T2003" t="b">
        <v>0</v>
      </c>
    </row>
    <row r="2004" spans="1:20" x14ac:dyDescent="0.3">
      <c r="A2004" t="s">
        <v>3044</v>
      </c>
      <c r="B2004" s="1">
        <v>40778</v>
      </c>
      <c r="C2004" s="1">
        <v>40782</v>
      </c>
      <c r="D2004" t="s">
        <v>691</v>
      </c>
      <c r="E2004" t="s">
        <v>173</v>
      </c>
      <c r="F2004" t="s">
        <v>72</v>
      </c>
      <c r="G2004" t="s">
        <v>563</v>
      </c>
      <c r="H2004">
        <v>31.103999999999999</v>
      </c>
      <c r="I2004">
        <v>6</v>
      </c>
      <c r="J2004">
        <v>10.8864</v>
      </c>
      <c r="K2004">
        <v>2011</v>
      </c>
      <c r="L2004">
        <v>8</v>
      </c>
      <c r="M2004" t="s">
        <v>53</v>
      </c>
      <c r="N2004">
        <v>23</v>
      </c>
      <c r="O2004">
        <v>4</v>
      </c>
      <c r="P2004">
        <v>35</v>
      </c>
      <c r="Q2004">
        <v>5.1840000000000002</v>
      </c>
      <c r="R2004" t="s">
        <v>26</v>
      </c>
      <c r="S2004" t="b">
        <v>0</v>
      </c>
      <c r="T2004" t="b">
        <v>0</v>
      </c>
    </row>
    <row r="2005" spans="1:20" x14ac:dyDescent="0.3">
      <c r="A2005" t="s">
        <v>3044</v>
      </c>
      <c r="B2005" s="1">
        <v>40778</v>
      </c>
      <c r="C2005" s="1">
        <v>40782</v>
      </c>
      <c r="D2005" t="s">
        <v>691</v>
      </c>
      <c r="E2005" t="s">
        <v>173</v>
      </c>
      <c r="F2005" t="s">
        <v>72</v>
      </c>
      <c r="G2005" t="s">
        <v>1243</v>
      </c>
      <c r="H2005">
        <v>223.05600000000001</v>
      </c>
      <c r="I2005">
        <v>9</v>
      </c>
      <c r="J2005">
        <v>69.704999999999998</v>
      </c>
      <c r="K2005">
        <v>2011</v>
      </c>
      <c r="L2005">
        <v>8</v>
      </c>
      <c r="M2005" t="s">
        <v>53</v>
      </c>
      <c r="N2005">
        <v>23</v>
      </c>
      <c r="O2005">
        <v>4</v>
      </c>
      <c r="P2005">
        <v>31.25</v>
      </c>
      <c r="Q2005">
        <v>24.783999999999999</v>
      </c>
      <c r="R2005" t="s">
        <v>26</v>
      </c>
      <c r="S2005" t="b">
        <v>0</v>
      </c>
      <c r="T2005" t="b">
        <v>1</v>
      </c>
    </row>
    <row r="2006" spans="1:20" x14ac:dyDescent="0.3">
      <c r="A2006" t="s">
        <v>3047</v>
      </c>
      <c r="B2006" s="1">
        <v>40641</v>
      </c>
      <c r="C2006" s="1">
        <v>40645</v>
      </c>
      <c r="D2006" t="s">
        <v>3048</v>
      </c>
      <c r="E2006" t="s">
        <v>301</v>
      </c>
      <c r="F2006" t="s">
        <v>174</v>
      </c>
      <c r="G2006" t="s">
        <v>1536</v>
      </c>
      <c r="H2006">
        <v>99.591999999999999</v>
      </c>
      <c r="I2006">
        <v>1</v>
      </c>
      <c r="J2006">
        <v>2.4897999999999998</v>
      </c>
      <c r="K2006">
        <v>2011</v>
      </c>
      <c r="L2006">
        <v>4</v>
      </c>
      <c r="M2006" t="s">
        <v>236</v>
      </c>
      <c r="N2006">
        <v>8</v>
      </c>
      <c r="O2006">
        <v>4</v>
      </c>
      <c r="P2006">
        <v>2.5</v>
      </c>
      <c r="Q2006">
        <v>99.591999999999999</v>
      </c>
      <c r="R2006" t="s">
        <v>26</v>
      </c>
      <c r="S2006" t="b">
        <v>0</v>
      </c>
      <c r="T2006" t="b">
        <v>0</v>
      </c>
    </row>
    <row r="2007" spans="1:20" x14ac:dyDescent="0.3">
      <c r="A2007" t="s">
        <v>3047</v>
      </c>
      <c r="B2007" s="1">
        <v>40641</v>
      </c>
      <c r="C2007" s="1">
        <v>40645</v>
      </c>
      <c r="D2007" t="s">
        <v>3048</v>
      </c>
      <c r="E2007" t="s">
        <v>301</v>
      </c>
      <c r="F2007" t="s">
        <v>61</v>
      </c>
      <c r="G2007" t="s">
        <v>237</v>
      </c>
      <c r="H2007">
        <v>399.96</v>
      </c>
      <c r="I2007">
        <v>4</v>
      </c>
      <c r="J2007">
        <v>139.98599999999999</v>
      </c>
      <c r="K2007">
        <v>2011</v>
      </c>
      <c r="L2007">
        <v>4</v>
      </c>
      <c r="M2007" t="s">
        <v>236</v>
      </c>
      <c r="N2007">
        <v>8</v>
      </c>
      <c r="O2007">
        <v>4</v>
      </c>
      <c r="P2007">
        <v>35</v>
      </c>
      <c r="Q2007">
        <v>99.99</v>
      </c>
      <c r="R2007" t="s">
        <v>26</v>
      </c>
      <c r="S2007" t="b">
        <v>0</v>
      </c>
      <c r="T2007" t="b">
        <v>1</v>
      </c>
    </row>
    <row r="2008" spans="1:20" x14ac:dyDescent="0.3">
      <c r="A2008" t="s">
        <v>3049</v>
      </c>
      <c r="B2008" s="1">
        <v>40811</v>
      </c>
      <c r="C2008" s="1">
        <v>40816</v>
      </c>
      <c r="D2008" t="s">
        <v>1273</v>
      </c>
      <c r="E2008" t="s">
        <v>99</v>
      </c>
      <c r="F2008" t="s">
        <v>31</v>
      </c>
      <c r="G2008" t="s">
        <v>1894</v>
      </c>
      <c r="H2008">
        <v>14.576000000000001</v>
      </c>
      <c r="I2008">
        <v>2</v>
      </c>
      <c r="J2008">
        <v>2.3685999999999998</v>
      </c>
      <c r="K2008">
        <v>2011</v>
      </c>
      <c r="L2008">
        <v>9</v>
      </c>
      <c r="M2008" t="s">
        <v>87</v>
      </c>
      <c r="N2008">
        <v>25</v>
      </c>
      <c r="O2008">
        <v>5</v>
      </c>
      <c r="P2008">
        <v>16.25</v>
      </c>
      <c r="Q2008">
        <v>7.2880000000000003</v>
      </c>
      <c r="R2008" t="s">
        <v>26</v>
      </c>
      <c r="S2008" t="b">
        <v>0</v>
      </c>
      <c r="T2008" t="b">
        <v>0</v>
      </c>
    </row>
    <row r="2009" spans="1:20" x14ac:dyDescent="0.3">
      <c r="A2009" t="s">
        <v>3050</v>
      </c>
      <c r="B2009" s="1">
        <v>41620</v>
      </c>
      <c r="C2009" s="1">
        <v>41620</v>
      </c>
      <c r="D2009" t="s">
        <v>1216</v>
      </c>
      <c r="E2009" t="s">
        <v>1538</v>
      </c>
      <c r="F2009" t="s">
        <v>33</v>
      </c>
      <c r="G2009" t="s">
        <v>220</v>
      </c>
      <c r="H2009">
        <v>209.6</v>
      </c>
      <c r="I2009">
        <v>5</v>
      </c>
      <c r="J2009">
        <v>68.12</v>
      </c>
      <c r="K2009">
        <v>2013</v>
      </c>
      <c r="L2009">
        <v>12</v>
      </c>
      <c r="M2009" t="s">
        <v>41</v>
      </c>
      <c r="N2009">
        <v>12</v>
      </c>
      <c r="O2009">
        <v>0</v>
      </c>
      <c r="P2009">
        <v>32.5</v>
      </c>
      <c r="Q2009">
        <v>41.92</v>
      </c>
      <c r="R2009" t="s">
        <v>26</v>
      </c>
      <c r="S2009" t="b">
        <v>0</v>
      </c>
      <c r="T2009" t="b">
        <v>0</v>
      </c>
    </row>
    <row r="2010" spans="1:20" x14ac:dyDescent="0.3">
      <c r="A2010" t="s">
        <v>3050</v>
      </c>
      <c r="B2010" s="1">
        <v>41620</v>
      </c>
      <c r="C2010" s="1">
        <v>41620</v>
      </c>
      <c r="D2010" t="s">
        <v>1216</v>
      </c>
      <c r="E2010" t="s">
        <v>1538</v>
      </c>
      <c r="F2010" t="s">
        <v>31</v>
      </c>
      <c r="G2010" t="s">
        <v>2943</v>
      </c>
      <c r="H2010">
        <v>23.32</v>
      </c>
      <c r="I2010">
        <v>2</v>
      </c>
      <c r="J2010">
        <v>6.0632000000000001</v>
      </c>
      <c r="K2010">
        <v>2013</v>
      </c>
      <c r="L2010">
        <v>12</v>
      </c>
      <c r="M2010" t="s">
        <v>41</v>
      </c>
      <c r="N2010">
        <v>12</v>
      </c>
      <c r="O2010">
        <v>0</v>
      </c>
      <c r="P2010">
        <v>26</v>
      </c>
      <c r="Q2010">
        <v>11.66</v>
      </c>
      <c r="R2010" t="s">
        <v>26</v>
      </c>
      <c r="S2010" t="b">
        <v>0</v>
      </c>
      <c r="T2010" t="b">
        <v>0</v>
      </c>
    </row>
    <row r="2011" spans="1:20" x14ac:dyDescent="0.3">
      <c r="A2011" t="s">
        <v>3050</v>
      </c>
      <c r="B2011" s="1">
        <v>41620</v>
      </c>
      <c r="C2011" s="1">
        <v>41620</v>
      </c>
      <c r="D2011" t="s">
        <v>1216</v>
      </c>
      <c r="E2011" t="s">
        <v>1538</v>
      </c>
      <c r="F2011" t="s">
        <v>72</v>
      </c>
      <c r="G2011" t="s">
        <v>1083</v>
      </c>
      <c r="H2011">
        <v>30.98</v>
      </c>
      <c r="I2011">
        <v>1</v>
      </c>
      <c r="J2011">
        <v>13.941000000000001</v>
      </c>
      <c r="K2011">
        <v>2013</v>
      </c>
      <c r="L2011">
        <v>12</v>
      </c>
      <c r="M2011" t="s">
        <v>41</v>
      </c>
      <c r="N2011">
        <v>12</v>
      </c>
      <c r="O2011">
        <v>0</v>
      </c>
      <c r="P2011">
        <v>45</v>
      </c>
      <c r="Q2011">
        <v>30.98</v>
      </c>
      <c r="R2011" t="s">
        <v>26</v>
      </c>
      <c r="S2011" t="b">
        <v>0</v>
      </c>
      <c r="T2011" t="b">
        <v>0</v>
      </c>
    </row>
    <row r="2012" spans="1:20" x14ac:dyDescent="0.3">
      <c r="A2012" t="s">
        <v>3050</v>
      </c>
      <c r="B2012" s="1">
        <v>41620</v>
      </c>
      <c r="C2012" s="1">
        <v>41620</v>
      </c>
      <c r="D2012" t="s">
        <v>1216</v>
      </c>
      <c r="E2012" t="s">
        <v>1538</v>
      </c>
      <c r="F2012" t="s">
        <v>61</v>
      </c>
      <c r="G2012" t="s">
        <v>2942</v>
      </c>
      <c r="H2012">
        <v>119.96</v>
      </c>
      <c r="I2012">
        <v>4</v>
      </c>
      <c r="J2012">
        <v>25.191600000000001</v>
      </c>
      <c r="K2012">
        <v>2013</v>
      </c>
      <c r="L2012">
        <v>12</v>
      </c>
      <c r="M2012" t="s">
        <v>41</v>
      </c>
      <c r="N2012">
        <v>12</v>
      </c>
      <c r="O2012">
        <v>0</v>
      </c>
      <c r="P2012">
        <v>21</v>
      </c>
      <c r="Q2012">
        <v>29.99</v>
      </c>
      <c r="R2012" t="s">
        <v>26</v>
      </c>
      <c r="S2012" t="b">
        <v>0</v>
      </c>
      <c r="T2012" t="b">
        <v>0</v>
      </c>
    </row>
    <row r="2013" spans="1:20" x14ac:dyDescent="0.3">
      <c r="A2013" t="s">
        <v>3050</v>
      </c>
      <c r="B2013" s="1">
        <v>41620</v>
      </c>
      <c r="C2013" s="1">
        <v>41620</v>
      </c>
      <c r="D2013" t="s">
        <v>1216</v>
      </c>
      <c r="E2013" t="s">
        <v>1538</v>
      </c>
      <c r="F2013" t="s">
        <v>110</v>
      </c>
      <c r="G2013" t="s">
        <v>2990</v>
      </c>
      <c r="H2013">
        <v>363.92</v>
      </c>
      <c r="I2013">
        <v>5</v>
      </c>
      <c r="J2013">
        <v>-31.843</v>
      </c>
      <c r="K2013">
        <v>2013</v>
      </c>
      <c r="L2013">
        <v>12</v>
      </c>
      <c r="M2013" t="s">
        <v>41</v>
      </c>
      <c r="N2013">
        <v>12</v>
      </c>
      <c r="O2013">
        <v>0</v>
      </c>
      <c r="P2013">
        <v>-8.75</v>
      </c>
      <c r="Q2013">
        <v>72.784000000000006</v>
      </c>
      <c r="R2013" t="s">
        <v>26</v>
      </c>
      <c r="S2013" t="b">
        <v>1</v>
      </c>
      <c r="T2013" t="b">
        <v>1</v>
      </c>
    </row>
    <row r="2014" spans="1:20" x14ac:dyDescent="0.3">
      <c r="A2014" t="s">
        <v>3050</v>
      </c>
      <c r="B2014" s="1">
        <v>41620</v>
      </c>
      <c r="C2014" s="1">
        <v>41620</v>
      </c>
      <c r="D2014" t="s">
        <v>1216</v>
      </c>
      <c r="E2014" t="s">
        <v>1538</v>
      </c>
      <c r="F2014" t="s">
        <v>33</v>
      </c>
      <c r="G2014" t="s">
        <v>3051</v>
      </c>
      <c r="H2014">
        <v>35.808</v>
      </c>
      <c r="I2014">
        <v>3</v>
      </c>
      <c r="J2014">
        <v>11.19</v>
      </c>
      <c r="K2014">
        <v>2013</v>
      </c>
      <c r="L2014">
        <v>12</v>
      </c>
      <c r="M2014" t="s">
        <v>41</v>
      </c>
      <c r="N2014">
        <v>12</v>
      </c>
      <c r="O2014">
        <v>0</v>
      </c>
      <c r="P2014">
        <v>31.25</v>
      </c>
      <c r="Q2014">
        <v>11.936</v>
      </c>
      <c r="R2014" t="s">
        <v>26</v>
      </c>
      <c r="S2014" t="b">
        <v>0</v>
      </c>
      <c r="T2014" t="b">
        <v>0</v>
      </c>
    </row>
    <row r="2015" spans="1:20" x14ac:dyDescent="0.3">
      <c r="A2015" t="s">
        <v>3050</v>
      </c>
      <c r="B2015" s="1">
        <v>41620</v>
      </c>
      <c r="C2015" s="1">
        <v>41620</v>
      </c>
      <c r="D2015" t="s">
        <v>1216</v>
      </c>
      <c r="E2015" t="s">
        <v>1538</v>
      </c>
      <c r="F2015" t="s">
        <v>33</v>
      </c>
      <c r="G2015" t="s">
        <v>1790</v>
      </c>
      <c r="H2015">
        <v>122.688</v>
      </c>
      <c r="I2015">
        <v>9</v>
      </c>
      <c r="J2015">
        <v>39.873600000000003</v>
      </c>
      <c r="K2015">
        <v>2013</v>
      </c>
      <c r="L2015">
        <v>12</v>
      </c>
      <c r="M2015" t="s">
        <v>41</v>
      </c>
      <c r="N2015">
        <v>12</v>
      </c>
      <c r="O2015">
        <v>0</v>
      </c>
      <c r="P2015">
        <v>32.5</v>
      </c>
      <c r="Q2015">
        <v>13.632</v>
      </c>
      <c r="R2015" t="s">
        <v>26</v>
      </c>
      <c r="S2015" t="b">
        <v>0</v>
      </c>
      <c r="T2015" t="b">
        <v>0</v>
      </c>
    </row>
    <row r="2016" spans="1:20" x14ac:dyDescent="0.3">
      <c r="A2016" t="s">
        <v>3050</v>
      </c>
      <c r="B2016" s="1">
        <v>41620</v>
      </c>
      <c r="C2016" s="1">
        <v>41620</v>
      </c>
      <c r="D2016" t="s">
        <v>1216</v>
      </c>
      <c r="E2016" t="s">
        <v>1538</v>
      </c>
      <c r="F2016" t="s">
        <v>45</v>
      </c>
      <c r="G2016" t="s">
        <v>2671</v>
      </c>
      <c r="H2016">
        <v>50.22</v>
      </c>
      <c r="I2016">
        <v>3</v>
      </c>
      <c r="J2016">
        <v>2.0087999999999999</v>
      </c>
      <c r="K2016">
        <v>2013</v>
      </c>
      <c r="L2016">
        <v>12</v>
      </c>
      <c r="M2016" t="s">
        <v>41</v>
      </c>
      <c r="N2016">
        <v>12</v>
      </c>
      <c r="O2016">
        <v>0</v>
      </c>
      <c r="P2016">
        <v>4</v>
      </c>
      <c r="Q2016">
        <v>16.739999999999998</v>
      </c>
      <c r="R2016" t="s">
        <v>26</v>
      </c>
      <c r="S2016" t="b">
        <v>0</v>
      </c>
      <c r="T2016" t="b">
        <v>0</v>
      </c>
    </row>
    <row r="2017" spans="1:20" x14ac:dyDescent="0.3">
      <c r="A2017" t="s">
        <v>3050</v>
      </c>
      <c r="B2017" s="1">
        <v>41620</v>
      </c>
      <c r="C2017" s="1">
        <v>41620</v>
      </c>
      <c r="D2017" t="s">
        <v>1216</v>
      </c>
      <c r="E2017" t="s">
        <v>1538</v>
      </c>
      <c r="F2017" t="s">
        <v>35</v>
      </c>
      <c r="G2017" t="s">
        <v>2919</v>
      </c>
      <c r="H2017">
        <v>83.42</v>
      </c>
      <c r="I2017">
        <v>2</v>
      </c>
      <c r="J2017">
        <v>24.191800000000001</v>
      </c>
      <c r="K2017">
        <v>2013</v>
      </c>
      <c r="L2017">
        <v>12</v>
      </c>
      <c r="M2017" t="s">
        <v>41</v>
      </c>
      <c r="N2017">
        <v>12</v>
      </c>
      <c r="O2017">
        <v>0</v>
      </c>
      <c r="P2017">
        <v>29</v>
      </c>
      <c r="Q2017">
        <v>41.71</v>
      </c>
      <c r="R2017" t="s">
        <v>26</v>
      </c>
      <c r="S2017" t="b">
        <v>0</v>
      </c>
      <c r="T2017" t="b">
        <v>0</v>
      </c>
    </row>
    <row r="2018" spans="1:20" x14ac:dyDescent="0.3">
      <c r="A2018" t="s">
        <v>3050</v>
      </c>
      <c r="B2018" s="1">
        <v>41620</v>
      </c>
      <c r="C2018" s="1">
        <v>41620</v>
      </c>
      <c r="D2018" t="s">
        <v>1216</v>
      </c>
      <c r="E2018" t="s">
        <v>1538</v>
      </c>
      <c r="F2018" t="s">
        <v>33</v>
      </c>
      <c r="G2018" t="s">
        <v>3052</v>
      </c>
      <c r="H2018">
        <v>5.8719999999999999</v>
      </c>
      <c r="I2018">
        <v>2</v>
      </c>
      <c r="J2018">
        <v>2.1286</v>
      </c>
      <c r="K2018">
        <v>2013</v>
      </c>
      <c r="L2018">
        <v>12</v>
      </c>
      <c r="M2018" t="s">
        <v>41</v>
      </c>
      <c r="N2018">
        <v>12</v>
      </c>
      <c r="O2018">
        <v>0</v>
      </c>
      <c r="P2018">
        <v>36.25</v>
      </c>
      <c r="Q2018">
        <v>2.9359999999999999</v>
      </c>
      <c r="R2018" t="s">
        <v>26</v>
      </c>
      <c r="S2018" t="b">
        <v>0</v>
      </c>
      <c r="T2018" t="b">
        <v>0</v>
      </c>
    </row>
    <row r="2019" spans="1:20" x14ac:dyDescent="0.3">
      <c r="A2019" t="s">
        <v>3053</v>
      </c>
      <c r="B2019" s="1">
        <v>40942</v>
      </c>
      <c r="C2019" s="1">
        <v>40944</v>
      </c>
      <c r="D2019" t="s">
        <v>1565</v>
      </c>
      <c r="E2019" t="s">
        <v>808</v>
      </c>
      <c r="F2019" t="s">
        <v>33</v>
      </c>
      <c r="G2019" t="s">
        <v>2394</v>
      </c>
      <c r="H2019">
        <v>12.144</v>
      </c>
      <c r="I2019">
        <v>3</v>
      </c>
      <c r="J2019">
        <v>4.0986000000000002</v>
      </c>
      <c r="K2019">
        <v>2012</v>
      </c>
      <c r="L2019">
        <v>2</v>
      </c>
      <c r="M2019" t="s">
        <v>303</v>
      </c>
      <c r="N2019">
        <v>3</v>
      </c>
      <c r="O2019">
        <v>2</v>
      </c>
      <c r="P2019">
        <v>33.75</v>
      </c>
      <c r="Q2019">
        <v>4.048</v>
      </c>
      <c r="R2019" t="s">
        <v>26</v>
      </c>
      <c r="S2019" t="b">
        <v>0</v>
      </c>
      <c r="T2019" t="b">
        <v>0</v>
      </c>
    </row>
    <row r="2020" spans="1:20" x14ac:dyDescent="0.3">
      <c r="A2020" t="s">
        <v>3054</v>
      </c>
      <c r="B2020" s="1">
        <v>41638</v>
      </c>
      <c r="C2020" s="1">
        <v>41640</v>
      </c>
      <c r="D2020" t="s">
        <v>246</v>
      </c>
      <c r="E2020" t="s">
        <v>1088</v>
      </c>
      <c r="F2020" t="s">
        <v>128</v>
      </c>
      <c r="G2020" t="s">
        <v>2418</v>
      </c>
      <c r="H2020">
        <v>27.792000000000002</v>
      </c>
      <c r="I2020">
        <v>3</v>
      </c>
      <c r="J2020">
        <v>10.422000000000001</v>
      </c>
      <c r="K2020">
        <v>2013</v>
      </c>
      <c r="L2020">
        <v>12</v>
      </c>
      <c r="M2020" t="s">
        <v>41</v>
      </c>
      <c r="N2020">
        <v>30</v>
      </c>
      <c r="O2020">
        <v>2</v>
      </c>
      <c r="P2020">
        <v>37.5</v>
      </c>
      <c r="Q2020">
        <v>9.2640000000000011</v>
      </c>
      <c r="R2020" t="s">
        <v>26</v>
      </c>
      <c r="S2020" t="b">
        <v>0</v>
      </c>
      <c r="T2020" t="b">
        <v>0</v>
      </c>
    </row>
    <row r="2021" spans="1:20" x14ac:dyDescent="0.3">
      <c r="A2021" t="s">
        <v>3055</v>
      </c>
      <c r="B2021" s="1">
        <v>41883</v>
      </c>
      <c r="C2021" s="1">
        <v>41888</v>
      </c>
      <c r="D2021" t="s">
        <v>1422</v>
      </c>
      <c r="E2021" t="s">
        <v>412</v>
      </c>
      <c r="F2021" t="s">
        <v>122</v>
      </c>
      <c r="G2021" t="s">
        <v>1853</v>
      </c>
      <c r="H2021">
        <v>6.2080000000000002</v>
      </c>
      <c r="I2021">
        <v>2</v>
      </c>
      <c r="J2021">
        <v>0.69840000000000002</v>
      </c>
      <c r="K2021">
        <v>2014</v>
      </c>
      <c r="L2021">
        <v>9</v>
      </c>
      <c r="M2021" t="s">
        <v>87</v>
      </c>
      <c r="N2021">
        <v>1</v>
      </c>
      <c r="O2021">
        <v>5</v>
      </c>
      <c r="P2021">
        <v>11.25</v>
      </c>
      <c r="Q2021">
        <v>3.1040000000000001</v>
      </c>
      <c r="R2021" t="s">
        <v>26</v>
      </c>
      <c r="S2021" t="b">
        <v>0</v>
      </c>
      <c r="T2021" t="b">
        <v>0</v>
      </c>
    </row>
    <row r="2022" spans="1:20" x14ac:dyDescent="0.3">
      <c r="A2022" t="s">
        <v>3056</v>
      </c>
      <c r="B2022" s="1">
        <v>41425</v>
      </c>
      <c r="C2022" s="1">
        <v>41429</v>
      </c>
      <c r="D2022" t="s">
        <v>1454</v>
      </c>
      <c r="E2022" t="s">
        <v>22</v>
      </c>
      <c r="F2022" t="s">
        <v>72</v>
      </c>
      <c r="G2022" t="s">
        <v>1532</v>
      </c>
      <c r="H2022">
        <v>38.880000000000003</v>
      </c>
      <c r="I2022">
        <v>6</v>
      </c>
      <c r="J2022">
        <v>18.662400000000002</v>
      </c>
      <c r="K2022">
        <v>2013</v>
      </c>
      <c r="L2022">
        <v>5</v>
      </c>
      <c r="M2022" t="s">
        <v>47</v>
      </c>
      <c r="N2022">
        <v>31</v>
      </c>
      <c r="O2022">
        <v>4</v>
      </c>
      <c r="P2022">
        <v>48</v>
      </c>
      <c r="Q2022">
        <v>6.48</v>
      </c>
      <c r="R2022" t="s">
        <v>26</v>
      </c>
      <c r="S2022" t="b">
        <v>0</v>
      </c>
      <c r="T2022" t="b">
        <v>0</v>
      </c>
    </row>
    <row r="2023" spans="1:20" x14ac:dyDescent="0.3">
      <c r="A2023" t="s">
        <v>3057</v>
      </c>
      <c r="B2023" s="1">
        <v>40764</v>
      </c>
      <c r="C2023" s="1">
        <v>40769</v>
      </c>
      <c r="D2023" t="s">
        <v>1142</v>
      </c>
      <c r="E2023" t="s">
        <v>737</v>
      </c>
      <c r="F2023" t="s">
        <v>72</v>
      </c>
      <c r="G2023" t="s">
        <v>356</v>
      </c>
      <c r="H2023">
        <v>5.98</v>
      </c>
      <c r="I2023">
        <v>1</v>
      </c>
      <c r="J2023">
        <v>2.6909999999999998</v>
      </c>
      <c r="K2023">
        <v>2011</v>
      </c>
      <c r="L2023">
        <v>8</v>
      </c>
      <c r="M2023" t="s">
        <v>53</v>
      </c>
      <c r="N2023">
        <v>9</v>
      </c>
      <c r="O2023">
        <v>5</v>
      </c>
      <c r="P2023">
        <v>45</v>
      </c>
      <c r="Q2023">
        <v>5.98</v>
      </c>
      <c r="R2023" t="s">
        <v>26</v>
      </c>
      <c r="S2023" t="b">
        <v>0</v>
      </c>
      <c r="T2023" t="b">
        <v>0</v>
      </c>
    </row>
    <row r="2024" spans="1:20" x14ac:dyDescent="0.3">
      <c r="A2024" t="s">
        <v>3058</v>
      </c>
      <c r="B2024" s="1">
        <v>41407</v>
      </c>
      <c r="C2024" s="1">
        <v>41412</v>
      </c>
      <c r="D2024" t="s">
        <v>2384</v>
      </c>
      <c r="E2024" t="s">
        <v>39</v>
      </c>
      <c r="F2024" t="s">
        <v>128</v>
      </c>
      <c r="G2024" t="s">
        <v>1869</v>
      </c>
      <c r="H2024">
        <v>54.9</v>
      </c>
      <c r="I2024">
        <v>5</v>
      </c>
      <c r="J2024">
        <v>26.901</v>
      </c>
      <c r="K2024">
        <v>2013</v>
      </c>
      <c r="L2024">
        <v>5</v>
      </c>
      <c r="M2024" t="s">
        <v>47</v>
      </c>
      <c r="N2024">
        <v>13</v>
      </c>
      <c r="O2024">
        <v>5</v>
      </c>
      <c r="P2024">
        <v>49</v>
      </c>
      <c r="Q2024">
        <v>10.98</v>
      </c>
      <c r="R2024" t="s">
        <v>26</v>
      </c>
      <c r="S2024" t="b">
        <v>0</v>
      </c>
      <c r="T2024" t="b">
        <v>0</v>
      </c>
    </row>
    <row r="2025" spans="1:20" x14ac:dyDescent="0.3">
      <c r="A2025" t="s">
        <v>3059</v>
      </c>
      <c r="B2025" s="1">
        <v>41842</v>
      </c>
      <c r="C2025" s="1">
        <v>41846</v>
      </c>
      <c r="D2025" t="s">
        <v>449</v>
      </c>
      <c r="E2025" t="s">
        <v>301</v>
      </c>
      <c r="F2025" t="s">
        <v>31</v>
      </c>
      <c r="G2025" t="s">
        <v>2183</v>
      </c>
      <c r="H2025">
        <v>3.52</v>
      </c>
      <c r="I2025">
        <v>2</v>
      </c>
      <c r="J2025">
        <v>1.6896</v>
      </c>
      <c r="K2025">
        <v>2014</v>
      </c>
      <c r="L2025">
        <v>7</v>
      </c>
      <c r="M2025" t="s">
        <v>66</v>
      </c>
      <c r="N2025">
        <v>22</v>
      </c>
      <c r="O2025">
        <v>4</v>
      </c>
      <c r="P2025">
        <v>48</v>
      </c>
      <c r="Q2025">
        <v>1.76</v>
      </c>
      <c r="R2025" t="s">
        <v>26</v>
      </c>
      <c r="S2025" t="b">
        <v>0</v>
      </c>
      <c r="T2025" t="b">
        <v>0</v>
      </c>
    </row>
    <row r="2026" spans="1:20" x14ac:dyDescent="0.3">
      <c r="A2026" t="s">
        <v>3060</v>
      </c>
      <c r="B2026" s="1">
        <v>41855</v>
      </c>
      <c r="C2026" s="1">
        <v>41858</v>
      </c>
      <c r="D2026" t="s">
        <v>1502</v>
      </c>
      <c r="E2026" t="s">
        <v>22</v>
      </c>
      <c r="F2026" t="s">
        <v>45</v>
      </c>
      <c r="G2026" t="s">
        <v>1296</v>
      </c>
      <c r="H2026">
        <v>99.87</v>
      </c>
      <c r="I2026">
        <v>3</v>
      </c>
      <c r="J2026">
        <v>23.968800000000002</v>
      </c>
      <c r="K2026">
        <v>2014</v>
      </c>
      <c r="L2026">
        <v>8</v>
      </c>
      <c r="M2026" t="s">
        <v>53</v>
      </c>
      <c r="N2026">
        <v>4</v>
      </c>
      <c r="O2026">
        <v>3</v>
      </c>
      <c r="P2026">
        <v>24</v>
      </c>
      <c r="Q2026">
        <v>33.29</v>
      </c>
      <c r="R2026" t="s">
        <v>26</v>
      </c>
      <c r="S2026" t="b">
        <v>0</v>
      </c>
      <c r="T2026" t="b">
        <v>0</v>
      </c>
    </row>
    <row r="2027" spans="1:20" x14ac:dyDescent="0.3">
      <c r="A2027" t="s">
        <v>3061</v>
      </c>
      <c r="B2027" s="1">
        <v>41207</v>
      </c>
      <c r="C2027" s="1">
        <v>41209</v>
      </c>
      <c r="D2027" t="s">
        <v>2803</v>
      </c>
      <c r="E2027" t="s">
        <v>2525</v>
      </c>
      <c r="F2027" t="s">
        <v>31</v>
      </c>
      <c r="G2027" t="s">
        <v>1311</v>
      </c>
      <c r="H2027">
        <v>79.36</v>
      </c>
      <c r="I2027">
        <v>4</v>
      </c>
      <c r="J2027">
        <v>23.808</v>
      </c>
      <c r="K2027">
        <v>2012</v>
      </c>
      <c r="L2027">
        <v>10</v>
      </c>
      <c r="M2027" t="s">
        <v>82</v>
      </c>
      <c r="N2027">
        <v>25</v>
      </c>
      <c r="O2027">
        <v>2</v>
      </c>
      <c r="P2027">
        <v>30</v>
      </c>
      <c r="Q2027">
        <v>19.84</v>
      </c>
      <c r="R2027" t="s">
        <v>26</v>
      </c>
      <c r="S2027" t="b">
        <v>0</v>
      </c>
      <c r="T2027" t="b">
        <v>0</v>
      </c>
    </row>
    <row r="2028" spans="1:20" x14ac:dyDescent="0.3">
      <c r="A2028" t="s">
        <v>3062</v>
      </c>
      <c r="B2028" s="1">
        <v>41806</v>
      </c>
      <c r="C2028" s="1">
        <v>41810</v>
      </c>
      <c r="D2028" t="s">
        <v>323</v>
      </c>
      <c r="E2028" t="s">
        <v>22</v>
      </c>
      <c r="F2028" t="s">
        <v>54</v>
      </c>
      <c r="G2028" t="s">
        <v>3063</v>
      </c>
      <c r="H2028">
        <v>119.96</v>
      </c>
      <c r="I2028">
        <v>1</v>
      </c>
      <c r="J2028">
        <v>7.4974999999999996</v>
      </c>
      <c r="K2028">
        <v>2014</v>
      </c>
      <c r="L2028">
        <v>6</v>
      </c>
      <c r="M2028" t="s">
        <v>25</v>
      </c>
      <c r="N2028">
        <v>16</v>
      </c>
      <c r="O2028">
        <v>4</v>
      </c>
      <c r="P2028">
        <v>6.25</v>
      </c>
      <c r="Q2028">
        <v>119.96</v>
      </c>
      <c r="R2028" t="s">
        <v>26</v>
      </c>
      <c r="S2028" t="b">
        <v>0</v>
      </c>
      <c r="T2028" t="b">
        <v>0</v>
      </c>
    </row>
    <row r="2029" spans="1:20" x14ac:dyDescent="0.3">
      <c r="A2029" t="s">
        <v>3064</v>
      </c>
      <c r="B2029" s="1">
        <v>40870</v>
      </c>
      <c r="C2029" s="1">
        <v>40875</v>
      </c>
      <c r="D2029" t="s">
        <v>3065</v>
      </c>
      <c r="E2029" t="s">
        <v>133</v>
      </c>
      <c r="F2029" t="s">
        <v>128</v>
      </c>
      <c r="G2029" t="s">
        <v>155</v>
      </c>
      <c r="H2029">
        <v>23.472000000000001</v>
      </c>
      <c r="I2029">
        <v>3</v>
      </c>
      <c r="J2029">
        <v>8.8019999999999996</v>
      </c>
      <c r="K2029">
        <v>2011</v>
      </c>
      <c r="L2029">
        <v>11</v>
      </c>
      <c r="M2029" t="s">
        <v>70</v>
      </c>
      <c r="N2029">
        <v>23</v>
      </c>
      <c r="O2029">
        <v>5</v>
      </c>
      <c r="P2029">
        <v>37.5</v>
      </c>
      <c r="Q2029">
        <v>7.8240000000000007</v>
      </c>
      <c r="R2029" t="s">
        <v>48</v>
      </c>
      <c r="S2029" t="b">
        <v>0</v>
      </c>
      <c r="T2029" t="b">
        <v>0</v>
      </c>
    </row>
    <row r="2030" spans="1:20" x14ac:dyDescent="0.3">
      <c r="A2030" t="s">
        <v>3066</v>
      </c>
      <c r="B2030" s="1">
        <v>41887</v>
      </c>
      <c r="C2030" s="1">
        <v>41891</v>
      </c>
      <c r="D2030" t="s">
        <v>2446</v>
      </c>
      <c r="E2030" t="s">
        <v>527</v>
      </c>
      <c r="F2030" t="s">
        <v>45</v>
      </c>
      <c r="G2030" t="s">
        <v>3067</v>
      </c>
      <c r="H2030">
        <v>421.1</v>
      </c>
      <c r="I2030">
        <v>2</v>
      </c>
      <c r="J2030">
        <v>105.27500000000001</v>
      </c>
      <c r="K2030">
        <v>2014</v>
      </c>
      <c r="L2030">
        <v>9</v>
      </c>
      <c r="M2030" t="s">
        <v>87</v>
      </c>
      <c r="N2030">
        <v>5</v>
      </c>
      <c r="O2030">
        <v>4</v>
      </c>
      <c r="P2030">
        <v>25</v>
      </c>
      <c r="Q2030">
        <v>210.55</v>
      </c>
      <c r="R2030" t="s">
        <v>26</v>
      </c>
      <c r="S2030" t="b">
        <v>0</v>
      </c>
      <c r="T2030" t="b">
        <v>1</v>
      </c>
    </row>
    <row r="2031" spans="1:20" x14ac:dyDescent="0.3">
      <c r="A2031" t="s">
        <v>3068</v>
      </c>
      <c r="B2031" s="1">
        <v>41400</v>
      </c>
      <c r="C2031" s="1">
        <v>41401</v>
      </c>
      <c r="D2031" t="s">
        <v>595</v>
      </c>
      <c r="E2031" t="s">
        <v>1059</v>
      </c>
      <c r="F2031" t="s">
        <v>33</v>
      </c>
      <c r="G2031" t="s">
        <v>3069</v>
      </c>
      <c r="H2031">
        <v>5.7279999999999998</v>
      </c>
      <c r="I2031">
        <v>2</v>
      </c>
      <c r="J2031">
        <v>2.0047999999999999</v>
      </c>
      <c r="K2031">
        <v>2013</v>
      </c>
      <c r="L2031">
        <v>5</v>
      </c>
      <c r="M2031" t="s">
        <v>47</v>
      </c>
      <c r="N2031">
        <v>6</v>
      </c>
      <c r="O2031">
        <v>1</v>
      </c>
      <c r="P2031">
        <v>35</v>
      </c>
      <c r="Q2031">
        <v>2.8639999999999999</v>
      </c>
      <c r="R2031" t="s">
        <v>26</v>
      </c>
      <c r="S2031" t="b">
        <v>0</v>
      </c>
      <c r="T2031" t="b">
        <v>0</v>
      </c>
    </row>
    <row r="2032" spans="1:20" x14ac:dyDescent="0.3">
      <c r="A2032" t="s">
        <v>3070</v>
      </c>
      <c r="B2032" s="1">
        <v>40834</v>
      </c>
      <c r="C2032" s="1">
        <v>40839</v>
      </c>
      <c r="D2032" t="s">
        <v>910</v>
      </c>
      <c r="E2032" t="s">
        <v>39</v>
      </c>
      <c r="F2032" t="s">
        <v>72</v>
      </c>
      <c r="G2032" t="s">
        <v>2548</v>
      </c>
      <c r="H2032">
        <v>61.96</v>
      </c>
      <c r="I2032">
        <v>2</v>
      </c>
      <c r="J2032">
        <v>27.882000000000001</v>
      </c>
      <c r="K2032">
        <v>2011</v>
      </c>
      <c r="L2032">
        <v>10</v>
      </c>
      <c r="M2032" t="s">
        <v>82</v>
      </c>
      <c r="N2032">
        <v>18</v>
      </c>
      <c r="O2032">
        <v>5</v>
      </c>
      <c r="P2032">
        <v>45</v>
      </c>
      <c r="Q2032">
        <v>30.98</v>
      </c>
      <c r="R2032" t="s">
        <v>26</v>
      </c>
      <c r="S2032" t="b">
        <v>0</v>
      </c>
      <c r="T2032" t="b">
        <v>0</v>
      </c>
    </row>
    <row r="2033" spans="1:20" x14ac:dyDescent="0.3">
      <c r="A2033" t="s">
        <v>3070</v>
      </c>
      <c r="B2033" s="1">
        <v>40834</v>
      </c>
      <c r="C2033" s="1">
        <v>40839</v>
      </c>
      <c r="D2033" t="s">
        <v>910</v>
      </c>
      <c r="E2033" t="s">
        <v>39</v>
      </c>
      <c r="F2033" t="s">
        <v>33</v>
      </c>
      <c r="G2033" t="s">
        <v>1535</v>
      </c>
      <c r="H2033">
        <v>1.3440000000000001</v>
      </c>
      <c r="I2033">
        <v>1</v>
      </c>
      <c r="J2033">
        <v>0.47039999999999998</v>
      </c>
      <c r="K2033">
        <v>2011</v>
      </c>
      <c r="L2033">
        <v>10</v>
      </c>
      <c r="M2033" t="s">
        <v>82</v>
      </c>
      <c r="N2033">
        <v>18</v>
      </c>
      <c r="O2033">
        <v>5</v>
      </c>
      <c r="P2033">
        <v>35</v>
      </c>
      <c r="Q2033">
        <v>1.3440000000000001</v>
      </c>
      <c r="R2033" t="s">
        <v>26</v>
      </c>
      <c r="S2033" t="b">
        <v>0</v>
      </c>
      <c r="T2033" t="b">
        <v>0</v>
      </c>
    </row>
    <row r="2034" spans="1:20" x14ac:dyDescent="0.3">
      <c r="A2034" t="s">
        <v>3071</v>
      </c>
      <c r="B2034" s="1">
        <v>41961</v>
      </c>
      <c r="C2034" s="1">
        <v>41968</v>
      </c>
      <c r="D2034" t="s">
        <v>688</v>
      </c>
      <c r="E2034" t="s">
        <v>39</v>
      </c>
      <c r="F2034" t="s">
        <v>33</v>
      </c>
      <c r="G2034" t="s">
        <v>757</v>
      </c>
      <c r="H2034">
        <v>13.904</v>
      </c>
      <c r="I2034">
        <v>2</v>
      </c>
      <c r="J2034">
        <v>4.5187999999999997</v>
      </c>
      <c r="K2034">
        <v>2014</v>
      </c>
      <c r="L2034">
        <v>11</v>
      </c>
      <c r="M2034" t="s">
        <v>70</v>
      </c>
      <c r="N2034">
        <v>18</v>
      </c>
      <c r="O2034">
        <v>7</v>
      </c>
      <c r="P2034">
        <v>32.5</v>
      </c>
      <c r="Q2034">
        <v>6.952</v>
      </c>
      <c r="R2034" t="s">
        <v>26</v>
      </c>
      <c r="S2034" t="b">
        <v>0</v>
      </c>
      <c r="T2034" t="b">
        <v>0</v>
      </c>
    </row>
    <row r="2035" spans="1:20" x14ac:dyDescent="0.3">
      <c r="A2035" t="s">
        <v>3072</v>
      </c>
      <c r="B2035" s="1">
        <v>41975</v>
      </c>
      <c r="C2035" s="1">
        <v>41982</v>
      </c>
      <c r="D2035" t="s">
        <v>3038</v>
      </c>
      <c r="E2035" t="s">
        <v>39</v>
      </c>
      <c r="F2035" t="s">
        <v>72</v>
      </c>
      <c r="G2035" t="s">
        <v>2769</v>
      </c>
      <c r="H2035">
        <v>41.86</v>
      </c>
      <c r="I2035">
        <v>7</v>
      </c>
      <c r="J2035">
        <v>18.837</v>
      </c>
      <c r="K2035">
        <v>2014</v>
      </c>
      <c r="L2035">
        <v>12</v>
      </c>
      <c r="M2035" t="s">
        <v>41</v>
      </c>
      <c r="N2035">
        <v>2</v>
      </c>
      <c r="O2035">
        <v>7</v>
      </c>
      <c r="P2035">
        <v>45</v>
      </c>
      <c r="Q2035">
        <v>5.98</v>
      </c>
      <c r="R2035" t="s">
        <v>26</v>
      </c>
      <c r="S2035" t="b">
        <v>0</v>
      </c>
      <c r="T2035" t="b">
        <v>0</v>
      </c>
    </row>
    <row r="2036" spans="1:20" x14ac:dyDescent="0.3">
      <c r="A2036" t="s">
        <v>3072</v>
      </c>
      <c r="B2036" s="1">
        <v>41975</v>
      </c>
      <c r="C2036" s="1">
        <v>41982</v>
      </c>
      <c r="D2036" t="s">
        <v>3038</v>
      </c>
      <c r="E2036" t="s">
        <v>39</v>
      </c>
      <c r="F2036" t="s">
        <v>317</v>
      </c>
      <c r="G2036" t="s">
        <v>1762</v>
      </c>
      <c r="H2036">
        <v>141.96</v>
      </c>
      <c r="I2036">
        <v>2</v>
      </c>
      <c r="J2036">
        <v>41.168399999999998</v>
      </c>
      <c r="K2036">
        <v>2014</v>
      </c>
      <c r="L2036">
        <v>12</v>
      </c>
      <c r="M2036" t="s">
        <v>41</v>
      </c>
      <c r="N2036">
        <v>2</v>
      </c>
      <c r="O2036">
        <v>7</v>
      </c>
      <c r="P2036">
        <v>29</v>
      </c>
      <c r="Q2036">
        <v>70.98</v>
      </c>
      <c r="R2036" t="s">
        <v>26</v>
      </c>
      <c r="S2036" t="b">
        <v>0</v>
      </c>
      <c r="T2036" t="b">
        <v>0</v>
      </c>
    </row>
    <row r="2037" spans="1:20" x14ac:dyDescent="0.3">
      <c r="A2037" t="s">
        <v>3073</v>
      </c>
      <c r="B2037" s="1">
        <v>41996</v>
      </c>
      <c r="C2037" s="1">
        <v>41999</v>
      </c>
      <c r="D2037" t="s">
        <v>2091</v>
      </c>
      <c r="E2037" t="s">
        <v>368</v>
      </c>
      <c r="F2037" t="s">
        <v>174</v>
      </c>
      <c r="G2037" t="s">
        <v>2971</v>
      </c>
      <c r="H2037">
        <v>182.55</v>
      </c>
      <c r="I2037">
        <v>2</v>
      </c>
      <c r="J2037">
        <v>-135.08699999999999</v>
      </c>
      <c r="K2037">
        <v>2014</v>
      </c>
      <c r="L2037">
        <v>12</v>
      </c>
      <c r="M2037" t="s">
        <v>41</v>
      </c>
      <c r="N2037">
        <v>23</v>
      </c>
      <c r="O2037">
        <v>3</v>
      </c>
      <c r="P2037">
        <v>-74</v>
      </c>
      <c r="Q2037">
        <v>91.275000000000006</v>
      </c>
      <c r="R2037" t="s">
        <v>26</v>
      </c>
      <c r="S2037" t="b">
        <v>1</v>
      </c>
      <c r="T2037" t="b">
        <v>0</v>
      </c>
    </row>
    <row r="2038" spans="1:20" x14ac:dyDescent="0.3">
      <c r="A2038" t="s">
        <v>3074</v>
      </c>
      <c r="B2038" s="1">
        <v>41362</v>
      </c>
      <c r="C2038" s="1">
        <v>41365</v>
      </c>
      <c r="D2038" t="s">
        <v>1721</v>
      </c>
      <c r="E2038" t="s">
        <v>22</v>
      </c>
      <c r="F2038" t="s">
        <v>45</v>
      </c>
      <c r="G2038" t="s">
        <v>2787</v>
      </c>
      <c r="H2038">
        <v>87.92</v>
      </c>
      <c r="I2038">
        <v>4</v>
      </c>
      <c r="J2038">
        <v>0.87919999999999998</v>
      </c>
      <c r="K2038">
        <v>2013</v>
      </c>
      <c r="L2038">
        <v>3</v>
      </c>
      <c r="M2038" t="s">
        <v>135</v>
      </c>
      <c r="N2038">
        <v>29</v>
      </c>
      <c r="O2038">
        <v>3</v>
      </c>
      <c r="P2038">
        <v>1</v>
      </c>
      <c r="Q2038">
        <v>21.98</v>
      </c>
      <c r="R2038" t="s">
        <v>26</v>
      </c>
      <c r="S2038" t="b">
        <v>0</v>
      </c>
      <c r="T2038" t="b">
        <v>0</v>
      </c>
    </row>
    <row r="2039" spans="1:20" x14ac:dyDescent="0.3">
      <c r="A2039" t="s">
        <v>3074</v>
      </c>
      <c r="B2039" s="1">
        <v>41362</v>
      </c>
      <c r="C2039" s="1">
        <v>41365</v>
      </c>
      <c r="D2039" t="s">
        <v>1721</v>
      </c>
      <c r="E2039" t="s">
        <v>22</v>
      </c>
      <c r="F2039" t="s">
        <v>72</v>
      </c>
      <c r="G2039" t="s">
        <v>3075</v>
      </c>
      <c r="H2039">
        <v>5.98</v>
      </c>
      <c r="I2039">
        <v>1</v>
      </c>
      <c r="J2039">
        <v>2.9302000000000001</v>
      </c>
      <c r="K2039">
        <v>2013</v>
      </c>
      <c r="L2039">
        <v>3</v>
      </c>
      <c r="M2039" t="s">
        <v>135</v>
      </c>
      <c r="N2039">
        <v>29</v>
      </c>
      <c r="O2039">
        <v>3</v>
      </c>
      <c r="P2039">
        <v>49</v>
      </c>
      <c r="Q2039">
        <v>5.98</v>
      </c>
      <c r="R2039" t="s">
        <v>26</v>
      </c>
      <c r="S2039" t="b">
        <v>0</v>
      </c>
      <c r="T2039" t="b">
        <v>0</v>
      </c>
    </row>
    <row r="2040" spans="1:20" x14ac:dyDescent="0.3">
      <c r="A2040" t="s">
        <v>3076</v>
      </c>
      <c r="B2040" s="1">
        <v>40746</v>
      </c>
      <c r="C2040" s="1">
        <v>40748</v>
      </c>
      <c r="D2040" t="s">
        <v>667</v>
      </c>
      <c r="E2040" t="s">
        <v>51</v>
      </c>
      <c r="F2040" t="s">
        <v>31</v>
      </c>
      <c r="G2040" t="s">
        <v>522</v>
      </c>
      <c r="H2040">
        <v>11.52</v>
      </c>
      <c r="I2040">
        <v>4</v>
      </c>
      <c r="J2040">
        <v>3.2256</v>
      </c>
      <c r="K2040">
        <v>2011</v>
      </c>
      <c r="L2040">
        <v>7</v>
      </c>
      <c r="M2040" t="s">
        <v>66</v>
      </c>
      <c r="N2040">
        <v>22</v>
      </c>
      <c r="O2040">
        <v>2</v>
      </c>
      <c r="P2040">
        <v>28</v>
      </c>
      <c r="Q2040">
        <v>2.88</v>
      </c>
      <c r="R2040" t="s">
        <v>26</v>
      </c>
      <c r="S2040" t="b">
        <v>0</v>
      </c>
      <c r="T2040" t="b">
        <v>0</v>
      </c>
    </row>
    <row r="2041" spans="1:20" x14ac:dyDescent="0.3">
      <c r="A2041" t="s">
        <v>3076</v>
      </c>
      <c r="B2041" s="1">
        <v>40746</v>
      </c>
      <c r="C2041" s="1">
        <v>40748</v>
      </c>
      <c r="D2041" t="s">
        <v>667</v>
      </c>
      <c r="E2041" t="s">
        <v>51</v>
      </c>
      <c r="F2041" t="s">
        <v>45</v>
      </c>
      <c r="G2041" t="s">
        <v>3077</v>
      </c>
      <c r="H2041">
        <v>236.5</v>
      </c>
      <c r="I2041">
        <v>10</v>
      </c>
      <c r="J2041">
        <v>68.584999999999994</v>
      </c>
      <c r="K2041">
        <v>2011</v>
      </c>
      <c r="L2041">
        <v>7</v>
      </c>
      <c r="M2041" t="s">
        <v>66</v>
      </c>
      <c r="N2041">
        <v>22</v>
      </c>
      <c r="O2041">
        <v>2</v>
      </c>
      <c r="P2041">
        <v>29</v>
      </c>
      <c r="Q2041">
        <v>23.65</v>
      </c>
      <c r="R2041" t="s">
        <v>26</v>
      </c>
      <c r="S2041" t="b">
        <v>0</v>
      </c>
      <c r="T2041" t="b">
        <v>1</v>
      </c>
    </row>
    <row r="2042" spans="1:20" x14ac:dyDescent="0.3">
      <c r="A2042" t="s">
        <v>3076</v>
      </c>
      <c r="B2042" s="1">
        <v>40746</v>
      </c>
      <c r="C2042" s="1">
        <v>40748</v>
      </c>
      <c r="D2042" t="s">
        <v>667</v>
      </c>
      <c r="E2042" t="s">
        <v>51</v>
      </c>
      <c r="F2042" t="s">
        <v>174</v>
      </c>
      <c r="G2042" t="s">
        <v>1069</v>
      </c>
      <c r="H2042">
        <v>170.352</v>
      </c>
      <c r="I2042">
        <v>3</v>
      </c>
      <c r="J2042">
        <v>19.1646</v>
      </c>
      <c r="K2042">
        <v>2011</v>
      </c>
      <c r="L2042">
        <v>7</v>
      </c>
      <c r="M2042" t="s">
        <v>66</v>
      </c>
      <c r="N2042">
        <v>22</v>
      </c>
      <c r="O2042">
        <v>2</v>
      </c>
      <c r="P2042">
        <v>11.25</v>
      </c>
      <c r="Q2042">
        <v>56.783999999999999</v>
      </c>
      <c r="R2042" t="s">
        <v>26</v>
      </c>
      <c r="S2042" t="b">
        <v>0</v>
      </c>
      <c r="T2042" t="b">
        <v>0</v>
      </c>
    </row>
    <row r="2043" spans="1:20" x14ac:dyDescent="0.3">
      <c r="A2043" t="s">
        <v>3078</v>
      </c>
      <c r="B2043" s="1">
        <v>41755</v>
      </c>
      <c r="C2043" s="1">
        <v>41757</v>
      </c>
      <c r="D2043" t="s">
        <v>3079</v>
      </c>
      <c r="E2043" t="s">
        <v>51</v>
      </c>
      <c r="F2043" t="s">
        <v>61</v>
      </c>
      <c r="G2043" t="s">
        <v>275</v>
      </c>
      <c r="H2043">
        <v>107.97</v>
      </c>
      <c r="I2043">
        <v>3</v>
      </c>
      <c r="J2043">
        <v>22.6737</v>
      </c>
      <c r="K2043">
        <v>2014</v>
      </c>
      <c r="L2043">
        <v>4</v>
      </c>
      <c r="M2043" t="s">
        <v>236</v>
      </c>
      <c r="N2043">
        <v>26</v>
      </c>
      <c r="O2043">
        <v>2</v>
      </c>
      <c r="P2043">
        <v>21</v>
      </c>
      <c r="Q2043">
        <v>35.99</v>
      </c>
      <c r="R2043" t="s">
        <v>48</v>
      </c>
      <c r="S2043" t="b">
        <v>0</v>
      </c>
      <c r="T2043" t="b">
        <v>0</v>
      </c>
    </row>
    <row r="2044" spans="1:20" x14ac:dyDescent="0.3">
      <c r="A2044" t="s">
        <v>3080</v>
      </c>
      <c r="B2044" s="1">
        <v>41760</v>
      </c>
      <c r="C2044" s="1">
        <v>41764</v>
      </c>
      <c r="D2044" t="s">
        <v>493</v>
      </c>
      <c r="E2044" t="s">
        <v>22</v>
      </c>
      <c r="F2044" t="s">
        <v>33</v>
      </c>
      <c r="G2044" t="s">
        <v>550</v>
      </c>
      <c r="H2044">
        <v>23.24</v>
      </c>
      <c r="I2044">
        <v>5</v>
      </c>
      <c r="J2044">
        <v>7.5529999999999999</v>
      </c>
      <c r="K2044">
        <v>2014</v>
      </c>
      <c r="L2044">
        <v>5</v>
      </c>
      <c r="M2044" t="s">
        <v>47</v>
      </c>
      <c r="N2044">
        <v>1</v>
      </c>
      <c r="O2044">
        <v>4</v>
      </c>
      <c r="P2044">
        <v>32.5</v>
      </c>
      <c r="Q2044">
        <v>4.6479999999999997</v>
      </c>
      <c r="R2044" t="s">
        <v>26</v>
      </c>
      <c r="S2044" t="b">
        <v>0</v>
      </c>
      <c r="T2044" t="b">
        <v>0</v>
      </c>
    </row>
    <row r="2045" spans="1:20" x14ac:dyDescent="0.3">
      <c r="A2045" t="s">
        <v>3081</v>
      </c>
      <c r="B2045" s="1">
        <v>41591</v>
      </c>
      <c r="C2045" s="1">
        <v>41594</v>
      </c>
      <c r="D2045" t="s">
        <v>1221</v>
      </c>
      <c r="E2045" t="s">
        <v>194</v>
      </c>
      <c r="F2045" t="s">
        <v>54</v>
      </c>
      <c r="G2045" t="s">
        <v>2849</v>
      </c>
      <c r="H2045">
        <v>203.976</v>
      </c>
      <c r="I2045">
        <v>3</v>
      </c>
      <c r="J2045">
        <v>25.497</v>
      </c>
      <c r="K2045">
        <v>2013</v>
      </c>
      <c r="L2045">
        <v>11</v>
      </c>
      <c r="M2045" t="s">
        <v>70</v>
      </c>
      <c r="N2045">
        <v>13</v>
      </c>
      <c r="O2045">
        <v>3</v>
      </c>
      <c r="P2045">
        <v>12.5</v>
      </c>
      <c r="Q2045">
        <v>67.992000000000004</v>
      </c>
      <c r="R2045" t="s">
        <v>26</v>
      </c>
      <c r="S2045" t="b">
        <v>0</v>
      </c>
      <c r="T2045" t="b">
        <v>0</v>
      </c>
    </row>
    <row r="2046" spans="1:20" x14ac:dyDescent="0.3">
      <c r="A2046" t="s">
        <v>3082</v>
      </c>
      <c r="B2046" s="1">
        <v>41592</v>
      </c>
      <c r="C2046" s="1">
        <v>41596</v>
      </c>
      <c r="D2046" t="s">
        <v>1601</v>
      </c>
      <c r="E2046" t="s">
        <v>39</v>
      </c>
      <c r="F2046" t="s">
        <v>29</v>
      </c>
      <c r="G2046" t="s">
        <v>3083</v>
      </c>
      <c r="H2046">
        <v>19.54</v>
      </c>
      <c r="I2046">
        <v>2</v>
      </c>
      <c r="J2046">
        <v>7.2298</v>
      </c>
      <c r="K2046">
        <v>2013</v>
      </c>
      <c r="L2046">
        <v>11</v>
      </c>
      <c r="M2046" t="s">
        <v>70</v>
      </c>
      <c r="N2046">
        <v>14</v>
      </c>
      <c r="O2046">
        <v>4</v>
      </c>
      <c r="P2046">
        <v>37</v>
      </c>
      <c r="Q2046">
        <v>9.77</v>
      </c>
      <c r="R2046" t="s">
        <v>26</v>
      </c>
      <c r="S2046" t="b">
        <v>0</v>
      </c>
      <c r="T2046" t="b">
        <v>0</v>
      </c>
    </row>
    <row r="2047" spans="1:20" x14ac:dyDescent="0.3">
      <c r="A2047" t="s">
        <v>3084</v>
      </c>
      <c r="B2047" s="1">
        <v>40659</v>
      </c>
      <c r="C2047" s="1">
        <v>40663</v>
      </c>
      <c r="D2047" t="s">
        <v>3085</v>
      </c>
      <c r="E2047" t="s">
        <v>22</v>
      </c>
      <c r="F2047" t="s">
        <v>31</v>
      </c>
      <c r="G2047" t="s">
        <v>2373</v>
      </c>
      <c r="H2047">
        <v>21.4</v>
      </c>
      <c r="I2047">
        <v>5</v>
      </c>
      <c r="J2047">
        <v>6.2060000000000004</v>
      </c>
      <c r="K2047">
        <v>2011</v>
      </c>
      <c r="L2047">
        <v>4</v>
      </c>
      <c r="M2047" t="s">
        <v>236</v>
      </c>
      <c r="N2047">
        <v>26</v>
      </c>
      <c r="O2047">
        <v>4</v>
      </c>
      <c r="P2047">
        <v>29</v>
      </c>
      <c r="Q2047">
        <v>4.2799999999999994</v>
      </c>
      <c r="R2047" t="s">
        <v>26</v>
      </c>
      <c r="S2047" t="b">
        <v>0</v>
      </c>
      <c r="T2047" t="b">
        <v>0</v>
      </c>
    </row>
    <row r="2048" spans="1:20" x14ac:dyDescent="0.3">
      <c r="A2048" t="s">
        <v>3084</v>
      </c>
      <c r="B2048" s="1">
        <v>40659</v>
      </c>
      <c r="C2048" s="1">
        <v>40663</v>
      </c>
      <c r="D2048" t="s">
        <v>3085</v>
      </c>
      <c r="E2048" t="s">
        <v>22</v>
      </c>
      <c r="F2048" t="s">
        <v>23</v>
      </c>
      <c r="G2048" t="s">
        <v>3017</v>
      </c>
      <c r="H2048">
        <v>12.6</v>
      </c>
      <c r="I2048">
        <v>2</v>
      </c>
      <c r="J2048">
        <v>5.7960000000000003</v>
      </c>
      <c r="K2048">
        <v>2011</v>
      </c>
      <c r="L2048">
        <v>4</v>
      </c>
      <c r="M2048" t="s">
        <v>236</v>
      </c>
      <c r="N2048">
        <v>26</v>
      </c>
      <c r="O2048">
        <v>4</v>
      </c>
      <c r="P2048">
        <v>46</v>
      </c>
      <c r="Q2048">
        <v>6.3</v>
      </c>
      <c r="R2048" t="s">
        <v>26</v>
      </c>
      <c r="S2048" t="b">
        <v>0</v>
      </c>
      <c r="T2048" t="b">
        <v>0</v>
      </c>
    </row>
    <row r="2049" spans="1:20" x14ac:dyDescent="0.3">
      <c r="A2049" t="s">
        <v>3086</v>
      </c>
      <c r="B2049" s="1">
        <v>41915</v>
      </c>
      <c r="C2049" s="1">
        <v>41919</v>
      </c>
      <c r="D2049" t="s">
        <v>3087</v>
      </c>
      <c r="E2049" t="s">
        <v>51</v>
      </c>
      <c r="F2049" t="s">
        <v>29</v>
      </c>
      <c r="G2049" t="s">
        <v>729</v>
      </c>
      <c r="H2049">
        <v>17.46</v>
      </c>
      <c r="I2049">
        <v>2</v>
      </c>
      <c r="J2049">
        <v>5.9363999999999999</v>
      </c>
      <c r="K2049">
        <v>2014</v>
      </c>
      <c r="L2049">
        <v>10</v>
      </c>
      <c r="M2049" t="s">
        <v>82</v>
      </c>
      <c r="N2049">
        <v>3</v>
      </c>
      <c r="O2049">
        <v>4</v>
      </c>
      <c r="P2049">
        <v>34</v>
      </c>
      <c r="Q2049">
        <v>8.73</v>
      </c>
      <c r="R2049" t="s">
        <v>26</v>
      </c>
      <c r="S2049" t="b">
        <v>0</v>
      </c>
      <c r="T2049" t="b">
        <v>0</v>
      </c>
    </row>
    <row r="2050" spans="1:20" x14ac:dyDescent="0.3">
      <c r="A2050" t="s">
        <v>3086</v>
      </c>
      <c r="B2050" s="1">
        <v>41915</v>
      </c>
      <c r="C2050" s="1">
        <v>41919</v>
      </c>
      <c r="D2050" t="s">
        <v>3087</v>
      </c>
      <c r="E2050" t="s">
        <v>51</v>
      </c>
      <c r="F2050" t="s">
        <v>793</v>
      </c>
      <c r="G2050" t="s">
        <v>3088</v>
      </c>
      <c r="H2050">
        <v>369.16</v>
      </c>
      <c r="I2050">
        <v>11</v>
      </c>
      <c r="J2050">
        <v>32.301499999999997</v>
      </c>
      <c r="K2050">
        <v>2014</v>
      </c>
      <c r="L2050">
        <v>10</v>
      </c>
      <c r="M2050" t="s">
        <v>82</v>
      </c>
      <c r="N2050">
        <v>3</v>
      </c>
      <c r="O2050">
        <v>4</v>
      </c>
      <c r="P2050">
        <v>8.75</v>
      </c>
      <c r="Q2050">
        <v>33.56</v>
      </c>
      <c r="R2050" t="s">
        <v>26</v>
      </c>
      <c r="S2050" t="b">
        <v>0</v>
      </c>
      <c r="T2050" t="b">
        <v>1</v>
      </c>
    </row>
    <row r="2051" spans="1:20" x14ac:dyDescent="0.3">
      <c r="A2051" t="s">
        <v>3089</v>
      </c>
      <c r="B2051" s="1">
        <v>41529</v>
      </c>
      <c r="C2051" s="1">
        <v>41531</v>
      </c>
      <c r="D2051" t="s">
        <v>1991</v>
      </c>
      <c r="E2051" t="s">
        <v>105</v>
      </c>
      <c r="F2051" t="s">
        <v>31</v>
      </c>
      <c r="G2051" t="s">
        <v>697</v>
      </c>
      <c r="H2051">
        <v>2.9119999999999999</v>
      </c>
      <c r="I2051">
        <v>2</v>
      </c>
      <c r="J2051">
        <v>0.91</v>
      </c>
      <c r="K2051">
        <v>2013</v>
      </c>
      <c r="L2051">
        <v>9</v>
      </c>
      <c r="M2051" t="s">
        <v>87</v>
      </c>
      <c r="N2051">
        <v>12</v>
      </c>
      <c r="O2051">
        <v>2</v>
      </c>
      <c r="P2051">
        <v>31.25</v>
      </c>
      <c r="Q2051">
        <v>1.456</v>
      </c>
      <c r="R2051" t="s">
        <v>26</v>
      </c>
      <c r="S2051" t="b">
        <v>0</v>
      </c>
      <c r="T2051" t="b">
        <v>0</v>
      </c>
    </row>
    <row r="2052" spans="1:20" x14ac:dyDescent="0.3">
      <c r="A2052" t="s">
        <v>3089</v>
      </c>
      <c r="B2052" s="1">
        <v>41529</v>
      </c>
      <c r="C2052" s="1">
        <v>41531</v>
      </c>
      <c r="D2052" t="s">
        <v>1991</v>
      </c>
      <c r="E2052" t="s">
        <v>105</v>
      </c>
      <c r="F2052" t="s">
        <v>72</v>
      </c>
      <c r="G2052" t="s">
        <v>3045</v>
      </c>
      <c r="H2052">
        <v>20.736000000000001</v>
      </c>
      <c r="I2052">
        <v>4</v>
      </c>
      <c r="J2052">
        <v>7.2576000000000001</v>
      </c>
      <c r="K2052">
        <v>2013</v>
      </c>
      <c r="L2052">
        <v>9</v>
      </c>
      <c r="M2052" t="s">
        <v>87</v>
      </c>
      <c r="N2052">
        <v>12</v>
      </c>
      <c r="O2052">
        <v>2</v>
      </c>
      <c r="P2052">
        <v>35</v>
      </c>
      <c r="Q2052">
        <v>5.1840000000000002</v>
      </c>
      <c r="R2052" t="s">
        <v>26</v>
      </c>
      <c r="S2052" t="b">
        <v>0</v>
      </c>
      <c r="T2052" t="b">
        <v>0</v>
      </c>
    </row>
    <row r="2053" spans="1:20" x14ac:dyDescent="0.3">
      <c r="A2053" t="s">
        <v>3089</v>
      </c>
      <c r="B2053" s="1">
        <v>41529</v>
      </c>
      <c r="C2053" s="1">
        <v>41531</v>
      </c>
      <c r="D2053" t="s">
        <v>1991</v>
      </c>
      <c r="E2053" t="s">
        <v>105</v>
      </c>
      <c r="F2053" t="s">
        <v>72</v>
      </c>
      <c r="G2053" t="s">
        <v>356</v>
      </c>
      <c r="H2053">
        <v>9.5679999999999996</v>
      </c>
      <c r="I2053">
        <v>2</v>
      </c>
      <c r="J2053">
        <v>2.99</v>
      </c>
      <c r="K2053">
        <v>2013</v>
      </c>
      <c r="L2053">
        <v>9</v>
      </c>
      <c r="M2053" t="s">
        <v>87</v>
      </c>
      <c r="N2053">
        <v>12</v>
      </c>
      <c r="O2053">
        <v>2</v>
      </c>
      <c r="P2053">
        <v>31.25</v>
      </c>
      <c r="Q2053">
        <v>4.7839999999999998</v>
      </c>
      <c r="R2053" t="s">
        <v>26</v>
      </c>
      <c r="S2053" t="b">
        <v>0</v>
      </c>
      <c r="T2053" t="b">
        <v>0</v>
      </c>
    </row>
    <row r="2054" spans="1:20" x14ac:dyDescent="0.3">
      <c r="A2054" t="s">
        <v>3090</v>
      </c>
      <c r="B2054" s="1">
        <v>41428</v>
      </c>
      <c r="C2054" s="1">
        <v>41432</v>
      </c>
      <c r="D2054" t="s">
        <v>2294</v>
      </c>
      <c r="E2054" t="s">
        <v>39</v>
      </c>
      <c r="F2054" t="s">
        <v>72</v>
      </c>
      <c r="G2054" t="s">
        <v>1930</v>
      </c>
      <c r="H2054">
        <v>30.18</v>
      </c>
      <c r="I2054">
        <v>3</v>
      </c>
      <c r="J2054">
        <v>13.8828</v>
      </c>
      <c r="K2054">
        <v>2013</v>
      </c>
      <c r="L2054">
        <v>6</v>
      </c>
      <c r="M2054" t="s">
        <v>25</v>
      </c>
      <c r="N2054">
        <v>3</v>
      </c>
      <c r="O2054">
        <v>4</v>
      </c>
      <c r="P2054">
        <v>46</v>
      </c>
      <c r="Q2054">
        <v>10.06</v>
      </c>
      <c r="R2054" t="s">
        <v>26</v>
      </c>
      <c r="S2054" t="b">
        <v>0</v>
      </c>
      <c r="T2054" t="b">
        <v>0</v>
      </c>
    </row>
    <row r="2055" spans="1:20" x14ac:dyDescent="0.3">
      <c r="A2055" t="s">
        <v>3090</v>
      </c>
      <c r="B2055" s="1">
        <v>41428</v>
      </c>
      <c r="C2055" s="1">
        <v>41432</v>
      </c>
      <c r="D2055" t="s">
        <v>2294</v>
      </c>
      <c r="E2055" t="s">
        <v>39</v>
      </c>
      <c r="F2055" t="s">
        <v>33</v>
      </c>
      <c r="G2055" t="s">
        <v>71</v>
      </c>
      <c r="H2055">
        <v>51.648000000000003</v>
      </c>
      <c r="I2055">
        <v>12</v>
      </c>
      <c r="J2055">
        <v>18.7224</v>
      </c>
      <c r="K2055">
        <v>2013</v>
      </c>
      <c r="L2055">
        <v>6</v>
      </c>
      <c r="M2055" t="s">
        <v>25</v>
      </c>
      <c r="N2055">
        <v>3</v>
      </c>
      <c r="O2055">
        <v>4</v>
      </c>
      <c r="P2055">
        <v>36.25</v>
      </c>
      <c r="Q2055">
        <v>4.3040000000000003</v>
      </c>
      <c r="R2055" t="s">
        <v>26</v>
      </c>
      <c r="S2055" t="b">
        <v>0</v>
      </c>
      <c r="T2055" t="b">
        <v>0</v>
      </c>
    </row>
    <row r="2056" spans="1:20" x14ac:dyDescent="0.3">
      <c r="A2056" t="s">
        <v>3090</v>
      </c>
      <c r="B2056" s="1">
        <v>41428</v>
      </c>
      <c r="C2056" s="1">
        <v>41432</v>
      </c>
      <c r="D2056" t="s">
        <v>2294</v>
      </c>
      <c r="E2056" t="s">
        <v>39</v>
      </c>
      <c r="F2056" t="s">
        <v>33</v>
      </c>
      <c r="G2056" t="s">
        <v>480</v>
      </c>
      <c r="H2056">
        <v>11.231999999999999</v>
      </c>
      <c r="I2056">
        <v>3</v>
      </c>
      <c r="J2056">
        <v>3.9312</v>
      </c>
      <c r="K2056">
        <v>2013</v>
      </c>
      <c r="L2056">
        <v>6</v>
      </c>
      <c r="M2056" t="s">
        <v>25</v>
      </c>
      <c r="N2056">
        <v>3</v>
      </c>
      <c r="O2056">
        <v>4</v>
      </c>
      <c r="P2056">
        <v>35</v>
      </c>
      <c r="Q2056">
        <v>3.7440000000000002</v>
      </c>
      <c r="R2056" t="s">
        <v>26</v>
      </c>
      <c r="S2056" t="b">
        <v>0</v>
      </c>
      <c r="T2056" t="b">
        <v>0</v>
      </c>
    </row>
    <row r="2057" spans="1:20" x14ac:dyDescent="0.3">
      <c r="A2057" t="s">
        <v>3091</v>
      </c>
      <c r="B2057" s="1">
        <v>41928</v>
      </c>
      <c r="C2057" s="1">
        <v>41932</v>
      </c>
      <c r="D2057" t="s">
        <v>1145</v>
      </c>
      <c r="E2057" t="s">
        <v>3092</v>
      </c>
      <c r="F2057" t="s">
        <v>23</v>
      </c>
      <c r="G2057" t="s">
        <v>1602</v>
      </c>
      <c r="H2057">
        <v>14.73</v>
      </c>
      <c r="I2057">
        <v>3</v>
      </c>
      <c r="J2057">
        <v>7.2176999999999998</v>
      </c>
      <c r="K2057">
        <v>2014</v>
      </c>
      <c r="L2057">
        <v>10</v>
      </c>
      <c r="M2057" t="s">
        <v>82</v>
      </c>
      <c r="N2057">
        <v>16</v>
      </c>
      <c r="O2057">
        <v>4</v>
      </c>
      <c r="P2057">
        <v>49</v>
      </c>
      <c r="Q2057">
        <v>4.91</v>
      </c>
      <c r="R2057" t="s">
        <v>26</v>
      </c>
      <c r="S2057" t="b">
        <v>0</v>
      </c>
      <c r="T2057" t="b">
        <v>0</v>
      </c>
    </row>
    <row r="2058" spans="1:20" x14ac:dyDescent="0.3">
      <c r="A2058" t="s">
        <v>3093</v>
      </c>
      <c r="B2058" s="1">
        <v>41032</v>
      </c>
      <c r="C2058" s="1">
        <v>41035</v>
      </c>
      <c r="D2058" t="s">
        <v>98</v>
      </c>
      <c r="E2058" t="s">
        <v>51</v>
      </c>
      <c r="F2058" t="s">
        <v>31</v>
      </c>
      <c r="G2058" t="s">
        <v>351</v>
      </c>
      <c r="H2058">
        <v>8.82</v>
      </c>
      <c r="I2058">
        <v>3</v>
      </c>
      <c r="J2058">
        <v>2.5577999999999999</v>
      </c>
      <c r="K2058">
        <v>2012</v>
      </c>
      <c r="L2058">
        <v>5</v>
      </c>
      <c r="M2058" t="s">
        <v>47</v>
      </c>
      <c r="N2058">
        <v>3</v>
      </c>
      <c r="O2058">
        <v>3</v>
      </c>
      <c r="P2058">
        <v>29</v>
      </c>
      <c r="Q2058">
        <v>2.94</v>
      </c>
      <c r="R2058" t="s">
        <v>26</v>
      </c>
      <c r="S2058" t="b">
        <v>0</v>
      </c>
      <c r="T2058" t="b">
        <v>0</v>
      </c>
    </row>
    <row r="2059" spans="1:20" x14ac:dyDescent="0.3">
      <c r="A2059" t="s">
        <v>3093</v>
      </c>
      <c r="B2059" s="1">
        <v>41032</v>
      </c>
      <c r="C2059" s="1">
        <v>41035</v>
      </c>
      <c r="D2059" t="s">
        <v>98</v>
      </c>
      <c r="E2059" t="s">
        <v>51</v>
      </c>
      <c r="F2059" t="s">
        <v>33</v>
      </c>
      <c r="G2059" t="s">
        <v>3094</v>
      </c>
      <c r="H2059">
        <v>62.496000000000002</v>
      </c>
      <c r="I2059">
        <v>2</v>
      </c>
      <c r="J2059">
        <v>21.8736</v>
      </c>
      <c r="K2059">
        <v>2012</v>
      </c>
      <c r="L2059">
        <v>5</v>
      </c>
      <c r="M2059" t="s">
        <v>47</v>
      </c>
      <c r="N2059">
        <v>3</v>
      </c>
      <c r="O2059">
        <v>3</v>
      </c>
      <c r="P2059">
        <v>35</v>
      </c>
      <c r="Q2059">
        <v>31.248000000000001</v>
      </c>
      <c r="R2059" t="s">
        <v>26</v>
      </c>
      <c r="S2059" t="b">
        <v>0</v>
      </c>
      <c r="T2059" t="b">
        <v>0</v>
      </c>
    </row>
    <row r="2060" spans="1:20" x14ac:dyDescent="0.3">
      <c r="A2060" t="s">
        <v>3093</v>
      </c>
      <c r="B2060" s="1">
        <v>41032</v>
      </c>
      <c r="C2060" s="1">
        <v>41035</v>
      </c>
      <c r="D2060" t="s">
        <v>98</v>
      </c>
      <c r="E2060" t="s">
        <v>51</v>
      </c>
      <c r="F2060" t="s">
        <v>61</v>
      </c>
      <c r="G2060" t="s">
        <v>2993</v>
      </c>
      <c r="H2060">
        <v>339.96</v>
      </c>
      <c r="I2060">
        <v>4</v>
      </c>
      <c r="J2060">
        <v>122.3856</v>
      </c>
      <c r="K2060">
        <v>2012</v>
      </c>
      <c r="L2060">
        <v>5</v>
      </c>
      <c r="M2060" t="s">
        <v>47</v>
      </c>
      <c r="N2060">
        <v>3</v>
      </c>
      <c r="O2060">
        <v>3</v>
      </c>
      <c r="P2060">
        <v>36</v>
      </c>
      <c r="Q2060">
        <v>84.99</v>
      </c>
      <c r="R2060" t="s">
        <v>26</v>
      </c>
      <c r="S2060" t="b">
        <v>0</v>
      </c>
      <c r="T2060" t="b">
        <v>1</v>
      </c>
    </row>
    <row r="2061" spans="1:20" x14ac:dyDescent="0.3">
      <c r="A2061" t="s">
        <v>3093</v>
      </c>
      <c r="B2061" s="1">
        <v>41032</v>
      </c>
      <c r="C2061" s="1">
        <v>41035</v>
      </c>
      <c r="D2061" t="s">
        <v>98</v>
      </c>
      <c r="E2061" t="s">
        <v>51</v>
      </c>
      <c r="F2061" t="s">
        <v>33</v>
      </c>
      <c r="G2061" t="s">
        <v>2924</v>
      </c>
      <c r="H2061">
        <v>49.567999999999998</v>
      </c>
      <c r="I2061">
        <v>2</v>
      </c>
      <c r="J2061">
        <v>17.348800000000001</v>
      </c>
      <c r="K2061">
        <v>2012</v>
      </c>
      <c r="L2061">
        <v>5</v>
      </c>
      <c r="M2061" t="s">
        <v>47</v>
      </c>
      <c r="N2061">
        <v>3</v>
      </c>
      <c r="O2061">
        <v>3</v>
      </c>
      <c r="P2061">
        <v>35</v>
      </c>
      <c r="Q2061">
        <v>24.783999999999999</v>
      </c>
      <c r="R2061" t="s">
        <v>26</v>
      </c>
      <c r="S2061" t="b">
        <v>0</v>
      </c>
      <c r="T2061" t="b">
        <v>0</v>
      </c>
    </row>
    <row r="2062" spans="1:20" x14ac:dyDescent="0.3">
      <c r="A2062" t="s">
        <v>3095</v>
      </c>
      <c r="B2062" s="1">
        <v>41470</v>
      </c>
      <c r="C2062" s="1">
        <v>41474</v>
      </c>
      <c r="D2062" t="s">
        <v>3096</v>
      </c>
      <c r="E2062" t="s">
        <v>51</v>
      </c>
      <c r="F2062" t="s">
        <v>54</v>
      </c>
      <c r="G2062" t="s">
        <v>88</v>
      </c>
      <c r="H2062">
        <v>110.376</v>
      </c>
      <c r="I2062">
        <v>3</v>
      </c>
      <c r="J2062">
        <v>12.417299999999999</v>
      </c>
      <c r="K2062">
        <v>2013</v>
      </c>
      <c r="L2062">
        <v>7</v>
      </c>
      <c r="M2062" t="s">
        <v>66</v>
      </c>
      <c r="N2062">
        <v>15</v>
      </c>
      <c r="O2062">
        <v>4</v>
      </c>
      <c r="P2062">
        <v>11.25</v>
      </c>
      <c r="Q2062">
        <v>36.792000000000002</v>
      </c>
      <c r="R2062" t="s">
        <v>26</v>
      </c>
      <c r="S2062" t="b">
        <v>0</v>
      </c>
      <c r="T2062" t="b">
        <v>0</v>
      </c>
    </row>
    <row r="2063" spans="1:20" x14ac:dyDescent="0.3">
      <c r="A2063" t="s">
        <v>3095</v>
      </c>
      <c r="B2063" s="1">
        <v>41470</v>
      </c>
      <c r="C2063" s="1">
        <v>41474</v>
      </c>
      <c r="D2063" t="s">
        <v>3096</v>
      </c>
      <c r="E2063" t="s">
        <v>51</v>
      </c>
      <c r="F2063" t="s">
        <v>35</v>
      </c>
      <c r="G2063" t="s">
        <v>2126</v>
      </c>
      <c r="H2063">
        <v>151.62</v>
      </c>
      <c r="I2063">
        <v>7</v>
      </c>
      <c r="J2063">
        <v>50.034599999999998</v>
      </c>
      <c r="K2063">
        <v>2013</v>
      </c>
      <c r="L2063">
        <v>7</v>
      </c>
      <c r="M2063" t="s">
        <v>66</v>
      </c>
      <c r="N2063">
        <v>15</v>
      </c>
      <c r="O2063">
        <v>4</v>
      </c>
      <c r="P2063">
        <v>33</v>
      </c>
      <c r="Q2063">
        <v>21.66</v>
      </c>
      <c r="R2063" t="s">
        <v>26</v>
      </c>
      <c r="S2063" t="b">
        <v>0</v>
      </c>
      <c r="T2063" t="b">
        <v>0</v>
      </c>
    </row>
    <row r="2064" spans="1:20" x14ac:dyDescent="0.3">
      <c r="A2064" t="s">
        <v>3095</v>
      </c>
      <c r="B2064" s="1">
        <v>41470</v>
      </c>
      <c r="C2064" s="1">
        <v>41474</v>
      </c>
      <c r="D2064" t="s">
        <v>3096</v>
      </c>
      <c r="E2064" t="s">
        <v>51</v>
      </c>
      <c r="F2064" t="s">
        <v>29</v>
      </c>
      <c r="G2064" t="s">
        <v>340</v>
      </c>
      <c r="H2064">
        <v>30.8</v>
      </c>
      <c r="I2064">
        <v>4</v>
      </c>
      <c r="J2064">
        <v>10.164</v>
      </c>
      <c r="K2064">
        <v>2013</v>
      </c>
      <c r="L2064">
        <v>7</v>
      </c>
      <c r="M2064" t="s">
        <v>66</v>
      </c>
      <c r="N2064">
        <v>15</v>
      </c>
      <c r="O2064">
        <v>4</v>
      </c>
      <c r="P2064">
        <v>33</v>
      </c>
      <c r="Q2064">
        <v>7.7</v>
      </c>
      <c r="R2064" t="s">
        <v>26</v>
      </c>
      <c r="S2064" t="b">
        <v>0</v>
      </c>
      <c r="T2064" t="b">
        <v>0</v>
      </c>
    </row>
    <row r="2065" spans="1:20" x14ac:dyDescent="0.3">
      <c r="A2065" t="s">
        <v>3097</v>
      </c>
      <c r="B2065" s="1">
        <v>40744</v>
      </c>
      <c r="C2065" s="1">
        <v>40746</v>
      </c>
      <c r="D2065" t="s">
        <v>2892</v>
      </c>
      <c r="E2065" t="s">
        <v>51</v>
      </c>
      <c r="F2065" t="s">
        <v>33</v>
      </c>
      <c r="G2065" t="s">
        <v>337</v>
      </c>
      <c r="H2065">
        <v>89.712000000000003</v>
      </c>
      <c r="I2065">
        <v>6</v>
      </c>
      <c r="J2065">
        <v>30.277799999999999</v>
      </c>
      <c r="K2065">
        <v>2011</v>
      </c>
      <c r="L2065">
        <v>7</v>
      </c>
      <c r="M2065" t="s">
        <v>66</v>
      </c>
      <c r="N2065">
        <v>20</v>
      </c>
      <c r="O2065">
        <v>2</v>
      </c>
      <c r="P2065">
        <v>33.75</v>
      </c>
      <c r="Q2065">
        <v>14.952</v>
      </c>
      <c r="R2065" t="s">
        <v>26</v>
      </c>
      <c r="S2065" t="b">
        <v>0</v>
      </c>
      <c r="T2065" t="b">
        <v>0</v>
      </c>
    </row>
    <row r="2066" spans="1:20" x14ac:dyDescent="0.3">
      <c r="A2066" t="s">
        <v>3097</v>
      </c>
      <c r="B2066" s="1">
        <v>40744</v>
      </c>
      <c r="C2066" s="1">
        <v>40746</v>
      </c>
      <c r="D2066" t="s">
        <v>2892</v>
      </c>
      <c r="E2066" t="s">
        <v>51</v>
      </c>
      <c r="F2066" t="s">
        <v>72</v>
      </c>
      <c r="G2066" t="s">
        <v>195</v>
      </c>
      <c r="H2066">
        <v>22.83</v>
      </c>
      <c r="I2066">
        <v>3</v>
      </c>
      <c r="J2066">
        <v>10.7301</v>
      </c>
      <c r="K2066">
        <v>2011</v>
      </c>
      <c r="L2066">
        <v>7</v>
      </c>
      <c r="M2066" t="s">
        <v>66</v>
      </c>
      <c r="N2066">
        <v>20</v>
      </c>
      <c r="O2066">
        <v>2</v>
      </c>
      <c r="P2066">
        <v>47</v>
      </c>
      <c r="Q2066">
        <v>7.6099999999999994</v>
      </c>
      <c r="R2066" t="s">
        <v>26</v>
      </c>
      <c r="S2066" t="b">
        <v>0</v>
      </c>
      <c r="T2066" t="b">
        <v>0</v>
      </c>
    </row>
    <row r="2067" spans="1:20" x14ac:dyDescent="0.3">
      <c r="A2067" t="s">
        <v>3098</v>
      </c>
      <c r="B2067" s="1">
        <v>40884</v>
      </c>
      <c r="C2067" s="1">
        <v>40887</v>
      </c>
      <c r="D2067" t="s">
        <v>385</v>
      </c>
      <c r="E2067" t="s">
        <v>22</v>
      </c>
      <c r="F2067" t="s">
        <v>31</v>
      </c>
      <c r="G2067" t="s">
        <v>522</v>
      </c>
      <c r="H2067">
        <v>8.64</v>
      </c>
      <c r="I2067">
        <v>3</v>
      </c>
      <c r="J2067">
        <v>2.4192</v>
      </c>
      <c r="K2067">
        <v>2011</v>
      </c>
      <c r="L2067">
        <v>12</v>
      </c>
      <c r="M2067" t="s">
        <v>41</v>
      </c>
      <c r="N2067">
        <v>7</v>
      </c>
      <c r="O2067">
        <v>3</v>
      </c>
      <c r="P2067">
        <v>28</v>
      </c>
      <c r="Q2067">
        <v>2.88</v>
      </c>
      <c r="R2067" t="s">
        <v>26</v>
      </c>
      <c r="S2067" t="b">
        <v>0</v>
      </c>
      <c r="T2067" t="b">
        <v>0</v>
      </c>
    </row>
    <row r="2068" spans="1:20" x14ac:dyDescent="0.3">
      <c r="A2068" t="s">
        <v>3099</v>
      </c>
      <c r="B2068" s="1">
        <v>41633</v>
      </c>
      <c r="C2068" s="1">
        <v>41639</v>
      </c>
      <c r="D2068" t="s">
        <v>3100</v>
      </c>
      <c r="E2068" t="s">
        <v>139</v>
      </c>
      <c r="F2068" t="s">
        <v>29</v>
      </c>
      <c r="G2068" t="s">
        <v>2709</v>
      </c>
      <c r="H2068">
        <v>43.96</v>
      </c>
      <c r="I2068">
        <v>7</v>
      </c>
      <c r="J2068">
        <v>18.463200000000001</v>
      </c>
      <c r="K2068">
        <v>2013</v>
      </c>
      <c r="L2068">
        <v>12</v>
      </c>
      <c r="M2068" t="s">
        <v>41</v>
      </c>
      <c r="N2068">
        <v>25</v>
      </c>
      <c r="O2068">
        <v>6</v>
      </c>
      <c r="P2068">
        <v>42</v>
      </c>
      <c r="Q2068">
        <v>6.28</v>
      </c>
      <c r="R2068" t="s">
        <v>26</v>
      </c>
      <c r="S2068" t="b">
        <v>0</v>
      </c>
      <c r="T2068" t="b">
        <v>0</v>
      </c>
    </row>
    <row r="2069" spans="1:20" x14ac:dyDescent="0.3">
      <c r="A2069" t="s">
        <v>3099</v>
      </c>
      <c r="B2069" s="1">
        <v>41633</v>
      </c>
      <c r="C2069" s="1">
        <v>41639</v>
      </c>
      <c r="D2069" t="s">
        <v>3100</v>
      </c>
      <c r="E2069" t="s">
        <v>139</v>
      </c>
      <c r="F2069" t="s">
        <v>128</v>
      </c>
      <c r="G2069" t="s">
        <v>155</v>
      </c>
      <c r="H2069">
        <v>39.76</v>
      </c>
      <c r="I2069">
        <v>7</v>
      </c>
      <c r="J2069">
        <v>18.687200000000001</v>
      </c>
      <c r="K2069">
        <v>2013</v>
      </c>
      <c r="L2069">
        <v>12</v>
      </c>
      <c r="M2069" t="s">
        <v>41</v>
      </c>
      <c r="N2069">
        <v>25</v>
      </c>
      <c r="O2069">
        <v>6</v>
      </c>
      <c r="P2069">
        <v>47</v>
      </c>
      <c r="Q2069">
        <v>5.68</v>
      </c>
      <c r="R2069" t="s">
        <v>26</v>
      </c>
      <c r="S2069" t="b">
        <v>0</v>
      </c>
      <c r="T2069" t="b">
        <v>0</v>
      </c>
    </row>
    <row r="2070" spans="1:20" x14ac:dyDescent="0.3">
      <c r="A2070" t="s">
        <v>3101</v>
      </c>
      <c r="B2070" s="1">
        <v>41753</v>
      </c>
      <c r="C2070" s="1">
        <v>41755</v>
      </c>
      <c r="D2070" t="s">
        <v>1916</v>
      </c>
      <c r="E2070" t="s">
        <v>763</v>
      </c>
      <c r="F2070" t="s">
        <v>29</v>
      </c>
      <c r="G2070" t="s">
        <v>1605</v>
      </c>
      <c r="H2070">
        <v>66.36</v>
      </c>
      <c r="I2070">
        <v>7</v>
      </c>
      <c r="J2070">
        <v>26.544</v>
      </c>
      <c r="K2070">
        <v>2014</v>
      </c>
      <c r="L2070">
        <v>4</v>
      </c>
      <c r="M2070" t="s">
        <v>236</v>
      </c>
      <c r="N2070">
        <v>24</v>
      </c>
      <c r="O2070">
        <v>2</v>
      </c>
      <c r="P2070">
        <v>40</v>
      </c>
      <c r="Q2070">
        <v>9.48</v>
      </c>
      <c r="R2070" t="s">
        <v>26</v>
      </c>
      <c r="S2070" t="b">
        <v>0</v>
      </c>
      <c r="T2070" t="b">
        <v>0</v>
      </c>
    </row>
    <row r="2071" spans="1:20" x14ac:dyDescent="0.3">
      <c r="A2071" t="s">
        <v>3101</v>
      </c>
      <c r="B2071" s="1">
        <v>41753</v>
      </c>
      <c r="C2071" s="1">
        <v>41755</v>
      </c>
      <c r="D2071" t="s">
        <v>1916</v>
      </c>
      <c r="E2071" t="s">
        <v>763</v>
      </c>
      <c r="F2071" t="s">
        <v>33</v>
      </c>
      <c r="G2071" t="s">
        <v>1948</v>
      </c>
      <c r="H2071">
        <v>92.88</v>
      </c>
      <c r="I2071">
        <v>6</v>
      </c>
      <c r="J2071">
        <v>30.186</v>
      </c>
      <c r="K2071">
        <v>2014</v>
      </c>
      <c r="L2071">
        <v>4</v>
      </c>
      <c r="M2071" t="s">
        <v>236</v>
      </c>
      <c r="N2071">
        <v>24</v>
      </c>
      <c r="O2071">
        <v>2</v>
      </c>
      <c r="P2071">
        <v>32.5</v>
      </c>
      <c r="Q2071">
        <v>15.48</v>
      </c>
      <c r="R2071" t="s">
        <v>26</v>
      </c>
      <c r="S2071" t="b">
        <v>0</v>
      </c>
      <c r="T2071" t="b">
        <v>0</v>
      </c>
    </row>
    <row r="2072" spans="1:20" x14ac:dyDescent="0.3">
      <c r="A2072" t="s">
        <v>3101</v>
      </c>
      <c r="B2072" s="1">
        <v>41753</v>
      </c>
      <c r="C2072" s="1">
        <v>41755</v>
      </c>
      <c r="D2072" t="s">
        <v>1916</v>
      </c>
      <c r="E2072" t="s">
        <v>763</v>
      </c>
      <c r="F2072" t="s">
        <v>29</v>
      </c>
      <c r="G2072" t="s">
        <v>3102</v>
      </c>
      <c r="H2072">
        <v>24.14</v>
      </c>
      <c r="I2072">
        <v>2</v>
      </c>
      <c r="J2072">
        <v>7.9661999999999997</v>
      </c>
      <c r="K2072">
        <v>2014</v>
      </c>
      <c r="L2072">
        <v>4</v>
      </c>
      <c r="M2072" t="s">
        <v>236</v>
      </c>
      <c r="N2072">
        <v>24</v>
      </c>
      <c r="O2072">
        <v>2</v>
      </c>
      <c r="P2072">
        <v>33</v>
      </c>
      <c r="Q2072">
        <v>12.07</v>
      </c>
      <c r="R2072" t="s">
        <v>26</v>
      </c>
      <c r="S2072" t="b">
        <v>0</v>
      </c>
      <c r="T2072" t="b">
        <v>0</v>
      </c>
    </row>
    <row r="2073" spans="1:20" x14ac:dyDescent="0.3">
      <c r="A2073" t="s">
        <v>3103</v>
      </c>
      <c r="B2073" s="1">
        <v>41782</v>
      </c>
      <c r="C2073" s="1">
        <v>41785</v>
      </c>
      <c r="D2073" t="s">
        <v>3104</v>
      </c>
      <c r="E2073" t="s">
        <v>22</v>
      </c>
      <c r="F2073" t="s">
        <v>31</v>
      </c>
      <c r="G2073" t="s">
        <v>2105</v>
      </c>
      <c r="H2073">
        <v>49.56</v>
      </c>
      <c r="I2073">
        <v>7</v>
      </c>
      <c r="J2073">
        <v>18.832799999999999</v>
      </c>
      <c r="K2073">
        <v>2014</v>
      </c>
      <c r="L2073">
        <v>5</v>
      </c>
      <c r="M2073" t="s">
        <v>47</v>
      </c>
      <c r="N2073">
        <v>23</v>
      </c>
      <c r="O2073">
        <v>3</v>
      </c>
      <c r="P2073">
        <v>38</v>
      </c>
      <c r="Q2073">
        <v>7.08</v>
      </c>
      <c r="R2073" t="s">
        <v>26</v>
      </c>
      <c r="S2073" t="b">
        <v>0</v>
      </c>
      <c r="T2073" t="b">
        <v>0</v>
      </c>
    </row>
    <row r="2074" spans="1:20" x14ac:dyDescent="0.3">
      <c r="A2074" t="s">
        <v>3105</v>
      </c>
      <c r="B2074" s="1">
        <v>41680</v>
      </c>
      <c r="C2074" s="1">
        <v>41684</v>
      </c>
      <c r="D2074" t="s">
        <v>3106</v>
      </c>
      <c r="E2074" t="s">
        <v>22</v>
      </c>
      <c r="F2074" t="s">
        <v>45</v>
      </c>
      <c r="G2074" t="s">
        <v>1886</v>
      </c>
      <c r="H2074">
        <v>354.9</v>
      </c>
      <c r="I2074">
        <v>5</v>
      </c>
      <c r="J2074">
        <v>17.745000000000001</v>
      </c>
      <c r="K2074">
        <v>2014</v>
      </c>
      <c r="L2074">
        <v>2</v>
      </c>
      <c r="M2074" t="s">
        <v>303</v>
      </c>
      <c r="N2074">
        <v>10</v>
      </c>
      <c r="O2074">
        <v>4</v>
      </c>
      <c r="P2074">
        <v>5</v>
      </c>
      <c r="Q2074">
        <v>70.97999999999999</v>
      </c>
      <c r="R2074" t="s">
        <v>48</v>
      </c>
      <c r="S2074" t="b">
        <v>0</v>
      </c>
      <c r="T2074" t="b">
        <v>1</v>
      </c>
    </row>
    <row r="2075" spans="1:20" x14ac:dyDescent="0.3">
      <c r="A2075" t="s">
        <v>3107</v>
      </c>
      <c r="B2075" s="1">
        <v>41064</v>
      </c>
      <c r="C2075" s="1">
        <v>41069</v>
      </c>
      <c r="D2075" t="s">
        <v>2624</v>
      </c>
      <c r="E2075" t="s">
        <v>22</v>
      </c>
      <c r="F2075" t="s">
        <v>61</v>
      </c>
      <c r="G2075" t="s">
        <v>3108</v>
      </c>
      <c r="H2075">
        <v>119.98</v>
      </c>
      <c r="I2075">
        <v>2</v>
      </c>
      <c r="J2075">
        <v>35.994</v>
      </c>
      <c r="K2075">
        <v>2012</v>
      </c>
      <c r="L2075">
        <v>6</v>
      </c>
      <c r="M2075" t="s">
        <v>25</v>
      </c>
      <c r="N2075">
        <v>4</v>
      </c>
      <c r="O2075">
        <v>5</v>
      </c>
      <c r="P2075">
        <v>30</v>
      </c>
      <c r="Q2075">
        <v>59.99</v>
      </c>
      <c r="R2075" t="s">
        <v>26</v>
      </c>
      <c r="S2075" t="b">
        <v>0</v>
      </c>
      <c r="T2075" t="b">
        <v>0</v>
      </c>
    </row>
    <row r="2076" spans="1:20" x14ac:dyDescent="0.3">
      <c r="A2076" t="s">
        <v>3109</v>
      </c>
      <c r="B2076" s="1">
        <v>41801</v>
      </c>
      <c r="C2076" s="1">
        <v>41804</v>
      </c>
      <c r="D2076" t="s">
        <v>3110</v>
      </c>
      <c r="E2076" t="s">
        <v>1335</v>
      </c>
      <c r="F2076" t="s">
        <v>31</v>
      </c>
      <c r="G2076" t="s">
        <v>2295</v>
      </c>
      <c r="H2076">
        <v>14.7</v>
      </c>
      <c r="I2076">
        <v>7</v>
      </c>
      <c r="J2076">
        <v>4.1159999999999997</v>
      </c>
      <c r="K2076">
        <v>2014</v>
      </c>
      <c r="L2076">
        <v>6</v>
      </c>
      <c r="M2076" t="s">
        <v>25</v>
      </c>
      <c r="N2076">
        <v>11</v>
      </c>
      <c r="O2076">
        <v>3</v>
      </c>
      <c r="P2076">
        <v>28</v>
      </c>
      <c r="Q2076">
        <v>2.1</v>
      </c>
      <c r="R2076" t="s">
        <v>26</v>
      </c>
      <c r="S2076" t="b">
        <v>0</v>
      </c>
      <c r="T2076" t="b">
        <v>0</v>
      </c>
    </row>
    <row r="2077" spans="1:20" x14ac:dyDescent="0.3">
      <c r="A2077" t="s">
        <v>3111</v>
      </c>
      <c r="B2077" s="1">
        <v>41534</v>
      </c>
      <c r="C2077" s="1">
        <v>41540</v>
      </c>
      <c r="D2077" t="s">
        <v>2690</v>
      </c>
      <c r="E2077" t="s">
        <v>139</v>
      </c>
      <c r="F2077" t="s">
        <v>317</v>
      </c>
      <c r="G2077" t="s">
        <v>3112</v>
      </c>
      <c r="H2077">
        <v>273.666</v>
      </c>
      <c r="I2077">
        <v>2</v>
      </c>
      <c r="J2077">
        <v>-12.878399999999999</v>
      </c>
      <c r="K2077">
        <v>2013</v>
      </c>
      <c r="L2077">
        <v>9</v>
      </c>
      <c r="M2077" t="s">
        <v>87</v>
      </c>
      <c r="N2077">
        <v>17</v>
      </c>
      <c r="O2077">
        <v>6</v>
      </c>
      <c r="P2077">
        <v>-4.71</v>
      </c>
      <c r="Q2077">
        <v>136.833</v>
      </c>
      <c r="R2077" t="s">
        <v>26</v>
      </c>
      <c r="S2077" t="b">
        <v>1</v>
      </c>
      <c r="T2077" t="b">
        <v>1</v>
      </c>
    </row>
    <row r="2078" spans="1:20" x14ac:dyDescent="0.3">
      <c r="A2078" t="s">
        <v>3111</v>
      </c>
      <c r="B2078" s="1">
        <v>41534</v>
      </c>
      <c r="C2078" s="1">
        <v>41540</v>
      </c>
      <c r="D2078" t="s">
        <v>2690</v>
      </c>
      <c r="E2078" t="s">
        <v>139</v>
      </c>
      <c r="F2078" t="s">
        <v>35</v>
      </c>
      <c r="G2078" t="s">
        <v>3113</v>
      </c>
      <c r="H2078">
        <v>17.48</v>
      </c>
      <c r="I2078">
        <v>4</v>
      </c>
      <c r="J2078">
        <v>4.5448000000000004</v>
      </c>
      <c r="K2078">
        <v>2013</v>
      </c>
      <c r="L2078">
        <v>9</v>
      </c>
      <c r="M2078" t="s">
        <v>87</v>
      </c>
      <c r="N2078">
        <v>17</v>
      </c>
      <c r="O2078">
        <v>6</v>
      </c>
      <c r="P2078">
        <v>26</v>
      </c>
      <c r="Q2078">
        <v>4.37</v>
      </c>
      <c r="R2078" t="s">
        <v>26</v>
      </c>
      <c r="S2078" t="b">
        <v>0</v>
      </c>
      <c r="T2078" t="b">
        <v>0</v>
      </c>
    </row>
    <row r="2079" spans="1:20" x14ac:dyDescent="0.3">
      <c r="A2079" t="s">
        <v>3114</v>
      </c>
      <c r="B2079" s="1">
        <v>41226</v>
      </c>
      <c r="C2079" s="1">
        <v>41230</v>
      </c>
      <c r="D2079" t="s">
        <v>2339</v>
      </c>
      <c r="E2079" t="s">
        <v>2405</v>
      </c>
      <c r="F2079" t="s">
        <v>54</v>
      </c>
      <c r="G2079" t="s">
        <v>2849</v>
      </c>
      <c r="H2079">
        <v>339.96</v>
      </c>
      <c r="I2079">
        <v>5</v>
      </c>
      <c r="J2079">
        <v>42.494999999999997</v>
      </c>
      <c r="K2079">
        <v>2012</v>
      </c>
      <c r="L2079">
        <v>11</v>
      </c>
      <c r="M2079" t="s">
        <v>70</v>
      </c>
      <c r="N2079">
        <v>13</v>
      </c>
      <c r="O2079">
        <v>4</v>
      </c>
      <c r="P2079">
        <v>12.5</v>
      </c>
      <c r="Q2079">
        <v>67.99199999999999</v>
      </c>
      <c r="R2079" t="s">
        <v>26</v>
      </c>
      <c r="S2079" t="b">
        <v>0</v>
      </c>
      <c r="T2079" t="b">
        <v>1</v>
      </c>
    </row>
    <row r="2080" spans="1:20" x14ac:dyDescent="0.3">
      <c r="A2080" t="s">
        <v>3114</v>
      </c>
      <c r="B2080" s="1">
        <v>41226</v>
      </c>
      <c r="C2080" s="1">
        <v>41230</v>
      </c>
      <c r="D2080" t="s">
        <v>2339</v>
      </c>
      <c r="E2080" t="s">
        <v>2405</v>
      </c>
      <c r="F2080" t="s">
        <v>29</v>
      </c>
      <c r="G2080" t="s">
        <v>516</v>
      </c>
      <c r="H2080">
        <v>63.98</v>
      </c>
      <c r="I2080">
        <v>7</v>
      </c>
      <c r="J2080">
        <v>21.7532</v>
      </c>
      <c r="K2080">
        <v>2012</v>
      </c>
      <c r="L2080">
        <v>11</v>
      </c>
      <c r="M2080" t="s">
        <v>70</v>
      </c>
      <c r="N2080">
        <v>13</v>
      </c>
      <c r="O2080">
        <v>4</v>
      </c>
      <c r="P2080">
        <v>34</v>
      </c>
      <c r="Q2080">
        <v>9.1399999999999988</v>
      </c>
      <c r="R2080" t="s">
        <v>26</v>
      </c>
      <c r="S2080" t="b">
        <v>0</v>
      </c>
      <c r="T2080" t="b">
        <v>0</v>
      </c>
    </row>
    <row r="2081" spans="1:20" x14ac:dyDescent="0.3">
      <c r="A2081" t="s">
        <v>3115</v>
      </c>
      <c r="B2081" s="1">
        <v>41475</v>
      </c>
      <c r="C2081" s="1">
        <v>41477</v>
      </c>
      <c r="D2081" t="s">
        <v>2325</v>
      </c>
      <c r="E2081" t="s">
        <v>51</v>
      </c>
      <c r="F2081" t="s">
        <v>54</v>
      </c>
      <c r="G2081" t="s">
        <v>3116</v>
      </c>
      <c r="H2081">
        <v>35.984000000000002</v>
      </c>
      <c r="I2081">
        <v>2</v>
      </c>
      <c r="J2081">
        <v>4.4980000000000002</v>
      </c>
      <c r="K2081">
        <v>2013</v>
      </c>
      <c r="L2081">
        <v>7</v>
      </c>
      <c r="M2081" t="s">
        <v>66</v>
      </c>
      <c r="N2081">
        <v>20</v>
      </c>
      <c r="O2081">
        <v>2</v>
      </c>
      <c r="P2081">
        <v>12.5</v>
      </c>
      <c r="Q2081">
        <v>17.992000000000001</v>
      </c>
      <c r="R2081" t="s">
        <v>26</v>
      </c>
      <c r="S2081" t="b">
        <v>0</v>
      </c>
      <c r="T2081" t="b">
        <v>0</v>
      </c>
    </row>
    <row r="2082" spans="1:20" x14ac:dyDescent="0.3">
      <c r="A2082" t="s">
        <v>3115</v>
      </c>
      <c r="B2082" s="1">
        <v>41475</v>
      </c>
      <c r="C2082" s="1">
        <v>41477</v>
      </c>
      <c r="D2082" t="s">
        <v>2325</v>
      </c>
      <c r="E2082" t="s">
        <v>51</v>
      </c>
      <c r="F2082" t="s">
        <v>61</v>
      </c>
      <c r="G2082" t="s">
        <v>2605</v>
      </c>
      <c r="H2082">
        <v>389.97</v>
      </c>
      <c r="I2082">
        <v>3</v>
      </c>
      <c r="J2082">
        <v>132.5898</v>
      </c>
      <c r="K2082">
        <v>2013</v>
      </c>
      <c r="L2082">
        <v>7</v>
      </c>
      <c r="M2082" t="s">
        <v>66</v>
      </c>
      <c r="N2082">
        <v>20</v>
      </c>
      <c r="O2082">
        <v>2</v>
      </c>
      <c r="P2082">
        <v>34</v>
      </c>
      <c r="Q2082">
        <v>129.99</v>
      </c>
      <c r="R2082" t="s">
        <v>26</v>
      </c>
      <c r="S2082" t="b">
        <v>0</v>
      </c>
      <c r="T2082" t="b">
        <v>1</v>
      </c>
    </row>
    <row r="2083" spans="1:20" x14ac:dyDescent="0.3">
      <c r="A2083" t="s">
        <v>3117</v>
      </c>
      <c r="B2083" s="1">
        <v>41409</v>
      </c>
      <c r="C2083" s="1">
        <v>41409</v>
      </c>
      <c r="D2083" t="s">
        <v>2060</v>
      </c>
      <c r="E2083" t="s">
        <v>2271</v>
      </c>
      <c r="F2083" t="s">
        <v>61</v>
      </c>
      <c r="G2083" t="s">
        <v>359</v>
      </c>
      <c r="H2083">
        <v>185.52799999999999</v>
      </c>
      <c r="I2083">
        <v>7</v>
      </c>
      <c r="J2083">
        <v>48.701099999999997</v>
      </c>
      <c r="K2083">
        <v>2013</v>
      </c>
      <c r="L2083">
        <v>5</v>
      </c>
      <c r="M2083" t="s">
        <v>47</v>
      </c>
      <c r="N2083">
        <v>15</v>
      </c>
      <c r="O2083">
        <v>0</v>
      </c>
      <c r="P2083">
        <v>26.25</v>
      </c>
      <c r="Q2083">
        <v>26.504000000000001</v>
      </c>
      <c r="R2083" t="s">
        <v>26</v>
      </c>
      <c r="S2083" t="b">
        <v>0</v>
      </c>
      <c r="T2083" t="b">
        <v>0</v>
      </c>
    </row>
    <row r="2084" spans="1:20" x14ac:dyDescent="0.3">
      <c r="A2084" t="s">
        <v>3118</v>
      </c>
      <c r="B2084" s="1">
        <v>41927</v>
      </c>
      <c r="C2084" s="1">
        <v>41932</v>
      </c>
      <c r="D2084" t="s">
        <v>1136</v>
      </c>
      <c r="E2084" t="s">
        <v>51</v>
      </c>
      <c r="F2084" t="s">
        <v>61</v>
      </c>
      <c r="G2084" t="s">
        <v>3119</v>
      </c>
      <c r="H2084">
        <v>46.36</v>
      </c>
      <c r="I2084">
        <v>4</v>
      </c>
      <c r="J2084">
        <v>15.2988</v>
      </c>
      <c r="K2084">
        <v>2014</v>
      </c>
      <c r="L2084">
        <v>10</v>
      </c>
      <c r="M2084" t="s">
        <v>82</v>
      </c>
      <c r="N2084">
        <v>15</v>
      </c>
      <c r="O2084">
        <v>5</v>
      </c>
      <c r="P2084">
        <v>33</v>
      </c>
      <c r="Q2084">
        <v>11.59</v>
      </c>
      <c r="R2084" t="s">
        <v>26</v>
      </c>
      <c r="S2084" t="b">
        <v>0</v>
      </c>
      <c r="T2084" t="b">
        <v>0</v>
      </c>
    </row>
    <row r="2085" spans="1:20" x14ac:dyDescent="0.3">
      <c r="A2085" t="s">
        <v>3120</v>
      </c>
      <c r="B2085" s="1">
        <v>41304</v>
      </c>
      <c r="C2085" s="1">
        <v>41305</v>
      </c>
      <c r="D2085" t="s">
        <v>1739</v>
      </c>
      <c r="E2085" t="s">
        <v>51</v>
      </c>
      <c r="F2085" t="s">
        <v>45</v>
      </c>
      <c r="G2085" t="s">
        <v>1584</v>
      </c>
      <c r="H2085">
        <v>305.01</v>
      </c>
      <c r="I2085">
        <v>9</v>
      </c>
      <c r="J2085">
        <v>76.252499999999998</v>
      </c>
      <c r="K2085">
        <v>2013</v>
      </c>
      <c r="L2085">
        <v>1</v>
      </c>
      <c r="M2085" t="s">
        <v>60</v>
      </c>
      <c r="N2085">
        <v>30</v>
      </c>
      <c r="O2085">
        <v>1</v>
      </c>
      <c r="P2085">
        <v>25</v>
      </c>
      <c r="Q2085">
        <v>33.89</v>
      </c>
      <c r="R2085" t="s">
        <v>26</v>
      </c>
      <c r="S2085" t="b">
        <v>0</v>
      </c>
      <c r="T2085" t="b">
        <v>1</v>
      </c>
    </row>
    <row r="2086" spans="1:20" x14ac:dyDescent="0.3">
      <c r="A2086" t="s">
        <v>3120</v>
      </c>
      <c r="B2086" s="1">
        <v>41304</v>
      </c>
      <c r="C2086" s="1">
        <v>41305</v>
      </c>
      <c r="D2086" t="s">
        <v>1739</v>
      </c>
      <c r="E2086" t="s">
        <v>51</v>
      </c>
      <c r="F2086" t="s">
        <v>33</v>
      </c>
      <c r="G2086" t="s">
        <v>121</v>
      </c>
      <c r="H2086">
        <v>50.783999999999999</v>
      </c>
      <c r="I2086">
        <v>2</v>
      </c>
      <c r="J2086">
        <v>17.7744</v>
      </c>
      <c r="K2086">
        <v>2013</v>
      </c>
      <c r="L2086">
        <v>1</v>
      </c>
      <c r="M2086" t="s">
        <v>60</v>
      </c>
      <c r="N2086">
        <v>30</v>
      </c>
      <c r="O2086">
        <v>1</v>
      </c>
      <c r="P2086">
        <v>35</v>
      </c>
      <c r="Q2086">
        <v>25.391999999999999</v>
      </c>
      <c r="R2086" t="s">
        <v>26</v>
      </c>
      <c r="S2086" t="b">
        <v>0</v>
      </c>
      <c r="T2086" t="b">
        <v>0</v>
      </c>
    </row>
    <row r="2087" spans="1:20" x14ac:dyDescent="0.3">
      <c r="A2087" t="s">
        <v>3120</v>
      </c>
      <c r="B2087" s="1">
        <v>41304</v>
      </c>
      <c r="C2087" s="1">
        <v>41305</v>
      </c>
      <c r="D2087" t="s">
        <v>1739</v>
      </c>
      <c r="E2087" t="s">
        <v>51</v>
      </c>
      <c r="F2087" t="s">
        <v>23</v>
      </c>
      <c r="G2087" t="s">
        <v>1485</v>
      </c>
      <c r="H2087">
        <v>26.01</v>
      </c>
      <c r="I2087">
        <v>9</v>
      </c>
      <c r="J2087">
        <v>12.2247</v>
      </c>
      <c r="K2087">
        <v>2013</v>
      </c>
      <c r="L2087">
        <v>1</v>
      </c>
      <c r="M2087" t="s">
        <v>60</v>
      </c>
      <c r="N2087">
        <v>30</v>
      </c>
      <c r="O2087">
        <v>1</v>
      </c>
      <c r="P2087">
        <v>47</v>
      </c>
      <c r="Q2087">
        <v>2.89</v>
      </c>
      <c r="R2087" t="s">
        <v>26</v>
      </c>
      <c r="S2087" t="b">
        <v>0</v>
      </c>
      <c r="T2087" t="b">
        <v>0</v>
      </c>
    </row>
    <row r="2088" spans="1:20" x14ac:dyDescent="0.3">
      <c r="A2088" t="s">
        <v>3121</v>
      </c>
      <c r="B2088" s="1">
        <v>41297</v>
      </c>
      <c r="C2088" s="1">
        <v>41303</v>
      </c>
      <c r="D2088" t="s">
        <v>3122</v>
      </c>
      <c r="E2088" t="s">
        <v>22</v>
      </c>
      <c r="F2088" t="s">
        <v>29</v>
      </c>
      <c r="G2088" t="s">
        <v>3123</v>
      </c>
      <c r="H2088">
        <v>59.99</v>
      </c>
      <c r="I2088">
        <v>7</v>
      </c>
      <c r="J2088">
        <v>21.596399999999999</v>
      </c>
      <c r="K2088">
        <v>2013</v>
      </c>
      <c r="L2088">
        <v>1</v>
      </c>
      <c r="M2088" t="s">
        <v>60</v>
      </c>
      <c r="N2088">
        <v>23</v>
      </c>
      <c r="O2088">
        <v>6</v>
      </c>
      <c r="P2088">
        <v>36</v>
      </c>
      <c r="Q2088">
        <v>8.57</v>
      </c>
      <c r="R2088" t="s">
        <v>48</v>
      </c>
      <c r="S2088" t="b">
        <v>0</v>
      </c>
      <c r="T2088" t="b">
        <v>0</v>
      </c>
    </row>
    <row r="2089" spans="1:20" x14ac:dyDescent="0.3">
      <c r="A2089" t="s">
        <v>3124</v>
      </c>
      <c r="B2089" s="1">
        <v>41055</v>
      </c>
      <c r="C2089" s="1">
        <v>41060</v>
      </c>
      <c r="D2089" t="s">
        <v>153</v>
      </c>
      <c r="E2089" t="s">
        <v>912</v>
      </c>
      <c r="F2089" t="s">
        <v>29</v>
      </c>
      <c r="G2089" t="s">
        <v>3125</v>
      </c>
      <c r="H2089">
        <v>20.239999999999998</v>
      </c>
      <c r="I2089">
        <v>1</v>
      </c>
      <c r="J2089">
        <v>7.8936000000000002</v>
      </c>
      <c r="K2089">
        <v>2012</v>
      </c>
      <c r="L2089">
        <v>5</v>
      </c>
      <c r="M2089" t="s">
        <v>47</v>
      </c>
      <c r="N2089">
        <v>26</v>
      </c>
      <c r="O2089">
        <v>5</v>
      </c>
      <c r="P2089">
        <v>39</v>
      </c>
      <c r="Q2089">
        <v>20.239999999999998</v>
      </c>
      <c r="R2089" t="s">
        <v>26</v>
      </c>
      <c r="S2089" t="b">
        <v>0</v>
      </c>
      <c r="T2089" t="b">
        <v>0</v>
      </c>
    </row>
    <row r="2090" spans="1:20" x14ac:dyDescent="0.3">
      <c r="A2090" t="s">
        <v>3126</v>
      </c>
      <c r="B2090" s="1">
        <v>41584</v>
      </c>
      <c r="C2090" s="1">
        <v>41586</v>
      </c>
      <c r="D2090" t="s">
        <v>190</v>
      </c>
      <c r="E2090" t="s">
        <v>139</v>
      </c>
      <c r="F2090" t="s">
        <v>61</v>
      </c>
      <c r="G2090" t="s">
        <v>2544</v>
      </c>
      <c r="H2090">
        <v>72</v>
      </c>
      <c r="I2090">
        <v>4</v>
      </c>
      <c r="J2090">
        <v>12.96</v>
      </c>
      <c r="K2090">
        <v>2013</v>
      </c>
      <c r="L2090">
        <v>11</v>
      </c>
      <c r="M2090" t="s">
        <v>70</v>
      </c>
      <c r="N2090">
        <v>6</v>
      </c>
      <c r="O2090">
        <v>2</v>
      </c>
      <c r="P2090">
        <v>18</v>
      </c>
      <c r="Q2090">
        <v>18</v>
      </c>
      <c r="R2090" t="s">
        <v>26</v>
      </c>
      <c r="S2090" t="b">
        <v>0</v>
      </c>
      <c r="T2090" t="b">
        <v>0</v>
      </c>
    </row>
    <row r="2091" spans="1:20" x14ac:dyDescent="0.3">
      <c r="A2091" t="s">
        <v>3126</v>
      </c>
      <c r="B2091" s="1">
        <v>41584</v>
      </c>
      <c r="C2091" s="1">
        <v>41586</v>
      </c>
      <c r="D2091" t="s">
        <v>190</v>
      </c>
      <c r="E2091" t="s">
        <v>139</v>
      </c>
      <c r="F2091" t="s">
        <v>110</v>
      </c>
      <c r="G2091" t="s">
        <v>1596</v>
      </c>
      <c r="H2091">
        <v>113.88800000000001</v>
      </c>
      <c r="I2091">
        <v>2</v>
      </c>
      <c r="J2091">
        <v>9.9651999999999994</v>
      </c>
      <c r="K2091">
        <v>2013</v>
      </c>
      <c r="L2091">
        <v>11</v>
      </c>
      <c r="M2091" t="s">
        <v>70</v>
      </c>
      <c r="N2091">
        <v>6</v>
      </c>
      <c r="O2091">
        <v>2</v>
      </c>
      <c r="P2091">
        <v>8.75</v>
      </c>
      <c r="Q2091">
        <v>56.944000000000003</v>
      </c>
      <c r="R2091" t="s">
        <v>26</v>
      </c>
      <c r="S2091" t="b">
        <v>0</v>
      </c>
      <c r="T2091" t="b">
        <v>0</v>
      </c>
    </row>
    <row r="2092" spans="1:20" x14ac:dyDescent="0.3">
      <c r="A2092" t="s">
        <v>3126</v>
      </c>
      <c r="B2092" s="1">
        <v>41584</v>
      </c>
      <c r="C2092" s="1">
        <v>41586</v>
      </c>
      <c r="D2092" t="s">
        <v>190</v>
      </c>
      <c r="E2092" t="s">
        <v>139</v>
      </c>
      <c r="F2092" t="s">
        <v>128</v>
      </c>
      <c r="G2092" t="s">
        <v>2420</v>
      </c>
      <c r="H2092">
        <v>158.13</v>
      </c>
      <c r="I2092">
        <v>3</v>
      </c>
      <c r="J2092">
        <v>77.483699999999999</v>
      </c>
      <c r="K2092">
        <v>2013</v>
      </c>
      <c r="L2092">
        <v>11</v>
      </c>
      <c r="M2092" t="s">
        <v>70</v>
      </c>
      <c r="N2092">
        <v>6</v>
      </c>
      <c r="O2092">
        <v>2</v>
      </c>
      <c r="P2092">
        <v>49</v>
      </c>
      <c r="Q2092">
        <v>52.71</v>
      </c>
      <c r="R2092" t="s">
        <v>26</v>
      </c>
      <c r="S2092" t="b">
        <v>0</v>
      </c>
      <c r="T2092" t="b">
        <v>0</v>
      </c>
    </row>
    <row r="2093" spans="1:20" x14ac:dyDescent="0.3">
      <c r="A2093" t="s">
        <v>3127</v>
      </c>
      <c r="B2093" s="1">
        <v>41961</v>
      </c>
      <c r="C2093" s="1">
        <v>41965</v>
      </c>
      <c r="D2093" t="s">
        <v>3128</v>
      </c>
      <c r="E2093" t="s">
        <v>3129</v>
      </c>
      <c r="F2093" t="s">
        <v>72</v>
      </c>
      <c r="G2093" t="s">
        <v>2932</v>
      </c>
      <c r="H2093">
        <v>19.608000000000001</v>
      </c>
      <c r="I2093">
        <v>3</v>
      </c>
      <c r="J2093">
        <v>6.6177000000000001</v>
      </c>
      <c r="K2093">
        <v>2014</v>
      </c>
      <c r="L2093">
        <v>11</v>
      </c>
      <c r="M2093" t="s">
        <v>70</v>
      </c>
      <c r="N2093">
        <v>18</v>
      </c>
      <c r="O2093">
        <v>4</v>
      </c>
      <c r="P2093">
        <v>33.75</v>
      </c>
      <c r="Q2093">
        <v>6.5359999999999996</v>
      </c>
      <c r="R2093" t="s">
        <v>26</v>
      </c>
      <c r="S2093" t="b">
        <v>0</v>
      </c>
      <c r="T2093" t="b">
        <v>0</v>
      </c>
    </row>
    <row r="2094" spans="1:20" x14ac:dyDescent="0.3">
      <c r="A2094" t="s">
        <v>3127</v>
      </c>
      <c r="B2094" s="1">
        <v>41961</v>
      </c>
      <c r="C2094" s="1">
        <v>41965</v>
      </c>
      <c r="D2094" t="s">
        <v>3128</v>
      </c>
      <c r="E2094" t="s">
        <v>3129</v>
      </c>
      <c r="F2094" t="s">
        <v>33</v>
      </c>
      <c r="G2094" t="s">
        <v>1997</v>
      </c>
      <c r="H2094">
        <v>4.1580000000000004</v>
      </c>
      <c r="I2094">
        <v>7</v>
      </c>
      <c r="J2094">
        <v>-3.4649999999999999</v>
      </c>
      <c r="K2094">
        <v>2014</v>
      </c>
      <c r="L2094">
        <v>11</v>
      </c>
      <c r="M2094" t="s">
        <v>70</v>
      </c>
      <c r="N2094">
        <v>18</v>
      </c>
      <c r="O2094">
        <v>4</v>
      </c>
      <c r="P2094">
        <v>-83.33</v>
      </c>
      <c r="Q2094">
        <v>0.59400000000000008</v>
      </c>
      <c r="R2094" t="s">
        <v>26</v>
      </c>
      <c r="S2094" t="b">
        <v>1</v>
      </c>
      <c r="T2094" t="b">
        <v>0</v>
      </c>
    </row>
    <row r="2095" spans="1:20" x14ac:dyDescent="0.3">
      <c r="A2095" t="s">
        <v>3130</v>
      </c>
      <c r="B2095" s="1">
        <v>41954</v>
      </c>
      <c r="C2095" s="1">
        <v>41961</v>
      </c>
      <c r="D2095" t="s">
        <v>1846</v>
      </c>
      <c r="E2095" t="s">
        <v>2282</v>
      </c>
      <c r="F2095" t="s">
        <v>35</v>
      </c>
      <c r="G2095" t="s">
        <v>3131</v>
      </c>
      <c r="H2095">
        <v>400.8</v>
      </c>
      <c r="I2095">
        <v>5</v>
      </c>
      <c r="J2095">
        <v>112.224</v>
      </c>
      <c r="K2095">
        <v>2014</v>
      </c>
      <c r="L2095">
        <v>11</v>
      </c>
      <c r="M2095" t="s">
        <v>70</v>
      </c>
      <c r="N2095">
        <v>11</v>
      </c>
      <c r="O2095">
        <v>7</v>
      </c>
      <c r="P2095">
        <v>28</v>
      </c>
      <c r="Q2095">
        <v>80.16</v>
      </c>
      <c r="R2095" t="s">
        <v>26</v>
      </c>
      <c r="S2095" t="b">
        <v>0</v>
      </c>
      <c r="T2095" t="b">
        <v>1</v>
      </c>
    </row>
    <row r="2096" spans="1:20" x14ac:dyDescent="0.3">
      <c r="A2096" t="s">
        <v>3130</v>
      </c>
      <c r="B2096" s="1">
        <v>41954</v>
      </c>
      <c r="C2096" s="1">
        <v>41961</v>
      </c>
      <c r="D2096" t="s">
        <v>1846</v>
      </c>
      <c r="E2096" t="s">
        <v>2282</v>
      </c>
      <c r="F2096" t="s">
        <v>33</v>
      </c>
      <c r="G2096" t="s">
        <v>1625</v>
      </c>
      <c r="H2096">
        <v>28.792000000000002</v>
      </c>
      <c r="I2096">
        <v>1</v>
      </c>
      <c r="J2096">
        <v>10.077199999999999</v>
      </c>
      <c r="K2096">
        <v>2014</v>
      </c>
      <c r="L2096">
        <v>11</v>
      </c>
      <c r="M2096" t="s">
        <v>70</v>
      </c>
      <c r="N2096">
        <v>11</v>
      </c>
      <c r="O2096">
        <v>7</v>
      </c>
      <c r="P2096">
        <v>35</v>
      </c>
      <c r="Q2096">
        <v>28.792000000000002</v>
      </c>
      <c r="R2096" t="s">
        <v>26</v>
      </c>
      <c r="S2096" t="b">
        <v>0</v>
      </c>
      <c r="T2096" t="b">
        <v>0</v>
      </c>
    </row>
    <row r="2097" spans="1:20" x14ac:dyDescent="0.3">
      <c r="A2097" t="s">
        <v>3132</v>
      </c>
      <c r="B2097" s="1">
        <v>40620</v>
      </c>
      <c r="C2097" s="1">
        <v>40626</v>
      </c>
      <c r="D2097" t="s">
        <v>2342</v>
      </c>
      <c r="E2097" t="s">
        <v>3133</v>
      </c>
      <c r="F2097" t="s">
        <v>29</v>
      </c>
      <c r="G2097" t="s">
        <v>2807</v>
      </c>
      <c r="H2097">
        <v>111</v>
      </c>
      <c r="I2097">
        <v>2</v>
      </c>
      <c r="J2097">
        <v>14.43</v>
      </c>
      <c r="K2097">
        <v>2011</v>
      </c>
      <c r="L2097">
        <v>3</v>
      </c>
      <c r="M2097" t="s">
        <v>135</v>
      </c>
      <c r="N2097">
        <v>18</v>
      </c>
      <c r="O2097">
        <v>6</v>
      </c>
      <c r="P2097">
        <v>13</v>
      </c>
      <c r="Q2097">
        <v>55.5</v>
      </c>
      <c r="R2097" t="s">
        <v>26</v>
      </c>
      <c r="S2097" t="b">
        <v>0</v>
      </c>
      <c r="T2097" t="b">
        <v>0</v>
      </c>
    </row>
    <row r="2098" spans="1:20" x14ac:dyDescent="0.3">
      <c r="A2098" t="s">
        <v>3134</v>
      </c>
      <c r="B2098" s="1">
        <v>41904</v>
      </c>
      <c r="C2098" s="1">
        <v>41906</v>
      </c>
      <c r="D2098" t="s">
        <v>2973</v>
      </c>
      <c r="E2098" t="s">
        <v>22</v>
      </c>
      <c r="F2098" t="s">
        <v>45</v>
      </c>
      <c r="G2098" t="s">
        <v>3135</v>
      </c>
      <c r="H2098">
        <v>15.51</v>
      </c>
      <c r="I2098">
        <v>1</v>
      </c>
      <c r="J2098">
        <v>3.8774999999999999</v>
      </c>
      <c r="K2098">
        <v>2014</v>
      </c>
      <c r="L2098">
        <v>9</v>
      </c>
      <c r="M2098" t="s">
        <v>87</v>
      </c>
      <c r="N2098">
        <v>22</v>
      </c>
      <c r="O2098">
        <v>2</v>
      </c>
      <c r="P2098">
        <v>25</v>
      </c>
      <c r="Q2098">
        <v>15.51</v>
      </c>
      <c r="R2098" t="s">
        <v>26</v>
      </c>
      <c r="S2098" t="b">
        <v>0</v>
      </c>
      <c r="T2098" t="b">
        <v>0</v>
      </c>
    </row>
    <row r="2099" spans="1:20" x14ac:dyDescent="0.3">
      <c r="A2099" t="s">
        <v>3136</v>
      </c>
      <c r="B2099" s="1">
        <v>41954</v>
      </c>
      <c r="C2099" s="1">
        <v>41960</v>
      </c>
      <c r="D2099" t="s">
        <v>893</v>
      </c>
      <c r="E2099" t="s">
        <v>3137</v>
      </c>
      <c r="F2099" t="s">
        <v>61</v>
      </c>
      <c r="G2099" t="s">
        <v>3138</v>
      </c>
      <c r="H2099">
        <v>111.79</v>
      </c>
      <c r="I2099">
        <v>7</v>
      </c>
      <c r="J2099">
        <v>43.598100000000002</v>
      </c>
      <c r="K2099">
        <v>2014</v>
      </c>
      <c r="L2099">
        <v>11</v>
      </c>
      <c r="M2099" t="s">
        <v>70</v>
      </c>
      <c r="N2099">
        <v>11</v>
      </c>
      <c r="O2099">
        <v>6</v>
      </c>
      <c r="P2099">
        <v>39</v>
      </c>
      <c r="Q2099">
        <v>15.97</v>
      </c>
      <c r="R2099" t="s">
        <v>26</v>
      </c>
      <c r="S2099" t="b">
        <v>0</v>
      </c>
      <c r="T2099" t="b">
        <v>0</v>
      </c>
    </row>
    <row r="2100" spans="1:20" x14ac:dyDescent="0.3">
      <c r="A2100" t="s">
        <v>3139</v>
      </c>
      <c r="B2100" s="1">
        <v>41677</v>
      </c>
      <c r="C2100" s="1">
        <v>41684</v>
      </c>
      <c r="D2100" t="s">
        <v>647</v>
      </c>
      <c r="E2100" t="s">
        <v>51</v>
      </c>
      <c r="F2100" t="s">
        <v>72</v>
      </c>
      <c r="G2100" t="s">
        <v>2769</v>
      </c>
      <c r="H2100">
        <v>29.9</v>
      </c>
      <c r="I2100">
        <v>5</v>
      </c>
      <c r="J2100">
        <v>13.455</v>
      </c>
      <c r="K2100">
        <v>2014</v>
      </c>
      <c r="L2100">
        <v>2</v>
      </c>
      <c r="M2100" t="s">
        <v>303</v>
      </c>
      <c r="N2100">
        <v>7</v>
      </c>
      <c r="O2100">
        <v>7</v>
      </c>
      <c r="P2100">
        <v>45</v>
      </c>
      <c r="Q2100">
        <v>5.98</v>
      </c>
      <c r="R2100" t="s">
        <v>26</v>
      </c>
      <c r="S2100" t="b">
        <v>0</v>
      </c>
      <c r="T2100" t="b">
        <v>0</v>
      </c>
    </row>
    <row r="2101" spans="1:20" x14ac:dyDescent="0.3">
      <c r="A2101" t="s">
        <v>3140</v>
      </c>
      <c r="B2101" s="1">
        <v>41557</v>
      </c>
      <c r="C2101" s="1">
        <v>41562</v>
      </c>
      <c r="D2101" t="s">
        <v>1289</v>
      </c>
      <c r="E2101" t="s">
        <v>105</v>
      </c>
      <c r="F2101" t="s">
        <v>31</v>
      </c>
      <c r="G2101" t="s">
        <v>913</v>
      </c>
      <c r="H2101">
        <v>1.4079999999999999</v>
      </c>
      <c r="I2101">
        <v>1</v>
      </c>
      <c r="J2101">
        <v>0.15840000000000001</v>
      </c>
      <c r="K2101">
        <v>2013</v>
      </c>
      <c r="L2101">
        <v>10</v>
      </c>
      <c r="M2101" t="s">
        <v>82</v>
      </c>
      <c r="N2101">
        <v>10</v>
      </c>
      <c r="O2101">
        <v>5</v>
      </c>
      <c r="P2101">
        <v>11.25</v>
      </c>
      <c r="Q2101">
        <v>1.4079999999999999</v>
      </c>
      <c r="R2101" t="s">
        <v>26</v>
      </c>
      <c r="S2101" t="b">
        <v>0</v>
      </c>
      <c r="T2101" t="b">
        <v>0</v>
      </c>
    </row>
    <row r="2102" spans="1:20" x14ac:dyDescent="0.3">
      <c r="A2102" t="s">
        <v>3140</v>
      </c>
      <c r="B2102" s="1">
        <v>41557</v>
      </c>
      <c r="C2102" s="1">
        <v>41562</v>
      </c>
      <c r="D2102" t="s">
        <v>1289</v>
      </c>
      <c r="E2102" t="s">
        <v>105</v>
      </c>
      <c r="F2102" t="s">
        <v>29</v>
      </c>
      <c r="G2102" t="s">
        <v>3141</v>
      </c>
      <c r="H2102">
        <v>169.56800000000001</v>
      </c>
      <c r="I2102">
        <v>2</v>
      </c>
      <c r="J2102">
        <v>0</v>
      </c>
      <c r="K2102">
        <v>2013</v>
      </c>
      <c r="L2102">
        <v>10</v>
      </c>
      <c r="M2102" t="s">
        <v>82</v>
      </c>
      <c r="N2102">
        <v>10</v>
      </c>
      <c r="O2102">
        <v>5</v>
      </c>
      <c r="P2102">
        <v>0</v>
      </c>
      <c r="Q2102">
        <v>84.784000000000006</v>
      </c>
      <c r="R2102" t="s">
        <v>26</v>
      </c>
      <c r="S2102" t="b">
        <v>0</v>
      </c>
      <c r="T2102" t="b">
        <v>0</v>
      </c>
    </row>
    <row r="2103" spans="1:20" x14ac:dyDescent="0.3">
      <c r="A2103" t="s">
        <v>3142</v>
      </c>
      <c r="B2103" s="1">
        <v>41377</v>
      </c>
      <c r="C2103" s="1">
        <v>41379</v>
      </c>
      <c r="D2103" t="s">
        <v>1438</v>
      </c>
      <c r="E2103" t="s">
        <v>22</v>
      </c>
      <c r="F2103" t="s">
        <v>72</v>
      </c>
      <c r="G2103" t="s">
        <v>3143</v>
      </c>
      <c r="H2103">
        <v>19.440000000000001</v>
      </c>
      <c r="I2103">
        <v>3</v>
      </c>
      <c r="J2103">
        <v>9.3312000000000008</v>
      </c>
      <c r="K2103">
        <v>2013</v>
      </c>
      <c r="L2103">
        <v>4</v>
      </c>
      <c r="M2103" t="s">
        <v>236</v>
      </c>
      <c r="N2103">
        <v>13</v>
      </c>
      <c r="O2103">
        <v>2</v>
      </c>
      <c r="P2103">
        <v>48</v>
      </c>
      <c r="Q2103">
        <v>6.48</v>
      </c>
      <c r="R2103" t="s">
        <v>26</v>
      </c>
      <c r="S2103" t="b">
        <v>0</v>
      </c>
      <c r="T2103" t="b">
        <v>0</v>
      </c>
    </row>
    <row r="2104" spans="1:20" x14ac:dyDescent="0.3">
      <c r="A2104" t="s">
        <v>3142</v>
      </c>
      <c r="B2104" s="1">
        <v>41377</v>
      </c>
      <c r="C2104" s="1">
        <v>41379</v>
      </c>
      <c r="D2104" t="s">
        <v>1438</v>
      </c>
      <c r="E2104" t="s">
        <v>22</v>
      </c>
      <c r="F2104" t="s">
        <v>110</v>
      </c>
      <c r="G2104" t="s">
        <v>302</v>
      </c>
      <c r="H2104">
        <v>194.352</v>
      </c>
      <c r="I2104">
        <v>3</v>
      </c>
      <c r="J2104">
        <v>-36.441000000000003</v>
      </c>
      <c r="K2104">
        <v>2013</v>
      </c>
      <c r="L2104">
        <v>4</v>
      </c>
      <c r="M2104" t="s">
        <v>236</v>
      </c>
      <c r="N2104">
        <v>13</v>
      </c>
      <c r="O2104">
        <v>2</v>
      </c>
      <c r="P2104">
        <v>-18.75</v>
      </c>
      <c r="Q2104">
        <v>64.784000000000006</v>
      </c>
      <c r="R2104" t="s">
        <v>26</v>
      </c>
      <c r="S2104" t="b">
        <v>1</v>
      </c>
      <c r="T2104" t="b">
        <v>0</v>
      </c>
    </row>
    <row r="2105" spans="1:20" x14ac:dyDescent="0.3">
      <c r="A2105" t="s">
        <v>3142</v>
      </c>
      <c r="B2105" s="1">
        <v>41377</v>
      </c>
      <c r="C2105" s="1">
        <v>41379</v>
      </c>
      <c r="D2105" t="s">
        <v>1438</v>
      </c>
      <c r="E2105" t="s">
        <v>22</v>
      </c>
      <c r="F2105" t="s">
        <v>33</v>
      </c>
      <c r="G2105" t="s">
        <v>637</v>
      </c>
      <c r="H2105">
        <v>36.624000000000002</v>
      </c>
      <c r="I2105">
        <v>3</v>
      </c>
      <c r="J2105">
        <v>13.734</v>
      </c>
      <c r="K2105">
        <v>2013</v>
      </c>
      <c r="L2105">
        <v>4</v>
      </c>
      <c r="M2105" t="s">
        <v>236</v>
      </c>
      <c r="N2105">
        <v>13</v>
      </c>
      <c r="O2105">
        <v>2</v>
      </c>
      <c r="P2105">
        <v>37.5</v>
      </c>
      <c r="Q2105">
        <v>12.208</v>
      </c>
      <c r="R2105" t="s">
        <v>26</v>
      </c>
      <c r="S2105" t="b">
        <v>0</v>
      </c>
      <c r="T2105" t="b">
        <v>0</v>
      </c>
    </row>
    <row r="2106" spans="1:20" x14ac:dyDescent="0.3">
      <c r="A2106" t="s">
        <v>3144</v>
      </c>
      <c r="B2106" s="1">
        <v>41647</v>
      </c>
      <c r="C2106" s="1">
        <v>41649</v>
      </c>
      <c r="D2106" t="s">
        <v>781</v>
      </c>
      <c r="E2106" t="s">
        <v>231</v>
      </c>
      <c r="F2106" t="s">
        <v>45</v>
      </c>
      <c r="G2106" t="s">
        <v>1619</v>
      </c>
      <c r="H2106">
        <v>153.78</v>
      </c>
      <c r="I2106">
        <v>11</v>
      </c>
      <c r="J2106">
        <v>44.596200000000003</v>
      </c>
      <c r="K2106">
        <v>2014</v>
      </c>
      <c r="L2106">
        <v>1</v>
      </c>
      <c r="M2106" t="s">
        <v>60</v>
      </c>
      <c r="N2106">
        <v>8</v>
      </c>
      <c r="O2106">
        <v>2</v>
      </c>
      <c r="P2106">
        <v>29</v>
      </c>
      <c r="Q2106">
        <v>13.98</v>
      </c>
      <c r="R2106" t="s">
        <v>26</v>
      </c>
      <c r="S2106" t="b">
        <v>0</v>
      </c>
      <c r="T2106" t="b">
        <v>0</v>
      </c>
    </row>
    <row r="2107" spans="1:20" x14ac:dyDescent="0.3">
      <c r="A2107" t="s">
        <v>3144</v>
      </c>
      <c r="B2107" s="1">
        <v>41647</v>
      </c>
      <c r="C2107" s="1">
        <v>41649</v>
      </c>
      <c r="D2107" t="s">
        <v>781</v>
      </c>
      <c r="E2107" t="s">
        <v>231</v>
      </c>
      <c r="F2107" t="s">
        <v>45</v>
      </c>
      <c r="G2107" t="s">
        <v>2142</v>
      </c>
      <c r="H2107">
        <v>61.02</v>
      </c>
      <c r="I2107">
        <v>3</v>
      </c>
      <c r="J2107">
        <v>0.61019999999999996</v>
      </c>
      <c r="K2107">
        <v>2014</v>
      </c>
      <c r="L2107">
        <v>1</v>
      </c>
      <c r="M2107" t="s">
        <v>60</v>
      </c>
      <c r="N2107">
        <v>8</v>
      </c>
      <c r="O2107">
        <v>2</v>
      </c>
      <c r="P2107">
        <v>1</v>
      </c>
      <c r="Q2107">
        <v>20.34</v>
      </c>
      <c r="R2107" t="s">
        <v>26</v>
      </c>
      <c r="S2107" t="b">
        <v>0</v>
      </c>
      <c r="T2107" t="b">
        <v>0</v>
      </c>
    </row>
    <row r="2108" spans="1:20" x14ac:dyDescent="0.3">
      <c r="A2108" t="s">
        <v>3144</v>
      </c>
      <c r="B2108" s="1">
        <v>41647</v>
      </c>
      <c r="C2108" s="1">
        <v>41649</v>
      </c>
      <c r="D2108" t="s">
        <v>781</v>
      </c>
      <c r="E2108" t="s">
        <v>231</v>
      </c>
      <c r="F2108" t="s">
        <v>122</v>
      </c>
      <c r="G2108" t="s">
        <v>3145</v>
      </c>
      <c r="H2108">
        <v>110.11</v>
      </c>
      <c r="I2108">
        <v>7</v>
      </c>
      <c r="J2108">
        <v>31.931899999999999</v>
      </c>
      <c r="K2108">
        <v>2014</v>
      </c>
      <c r="L2108">
        <v>1</v>
      </c>
      <c r="M2108" t="s">
        <v>60</v>
      </c>
      <c r="N2108">
        <v>8</v>
      </c>
      <c r="O2108">
        <v>2</v>
      </c>
      <c r="P2108">
        <v>29</v>
      </c>
      <c r="Q2108">
        <v>15.73</v>
      </c>
      <c r="R2108" t="s">
        <v>26</v>
      </c>
      <c r="S2108" t="b">
        <v>0</v>
      </c>
      <c r="T2108" t="b">
        <v>0</v>
      </c>
    </row>
    <row r="2109" spans="1:20" x14ac:dyDescent="0.3">
      <c r="A2109" t="s">
        <v>3144</v>
      </c>
      <c r="B2109" s="1">
        <v>41647</v>
      </c>
      <c r="C2109" s="1">
        <v>41649</v>
      </c>
      <c r="D2109" t="s">
        <v>781</v>
      </c>
      <c r="E2109" t="s">
        <v>231</v>
      </c>
      <c r="F2109" t="s">
        <v>119</v>
      </c>
      <c r="G2109" t="s">
        <v>155</v>
      </c>
      <c r="H2109">
        <v>7.89</v>
      </c>
      <c r="I2109">
        <v>1</v>
      </c>
      <c r="J2109">
        <v>3.5505</v>
      </c>
      <c r="K2109">
        <v>2014</v>
      </c>
      <c r="L2109">
        <v>1</v>
      </c>
      <c r="M2109" t="s">
        <v>60</v>
      </c>
      <c r="N2109">
        <v>8</v>
      </c>
      <c r="O2109">
        <v>2</v>
      </c>
      <c r="P2109">
        <v>45</v>
      </c>
      <c r="Q2109">
        <v>7.89</v>
      </c>
      <c r="R2109" t="s">
        <v>26</v>
      </c>
      <c r="S2109" t="b">
        <v>0</v>
      </c>
      <c r="T2109" t="b">
        <v>0</v>
      </c>
    </row>
    <row r="2110" spans="1:20" x14ac:dyDescent="0.3">
      <c r="A2110" t="s">
        <v>3146</v>
      </c>
      <c r="B2110" s="1">
        <v>41865</v>
      </c>
      <c r="C2110" s="1">
        <v>41872</v>
      </c>
      <c r="D2110" t="s">
        <v>1965</v>
      </c>
      <c r="E2110" t="s">
        <v>194</v>
      </c>
      <c r="F2110" t="s">
        <v>33</v>
      </c>
      <c r="G2110" t="s">
        <v>380</v>
      </c>
      <c r="H2110">
        <v>36.024000000000001</v>
      </c>
      <c r="I2110">
        <v>3</v>
      </c>
      <c r="J2110">
        <v>11.707800000000001</v>
      </c>
      <c r="K2110">
        <v>2014</v>
      </c>
      <c r="L2110">
        <v>8</v>
      </c>
      <c r="M2110" t="s">
        <v>53</v>
      </c>
      <c r="N2110">
        <v>14</v>
      </c>
      <c r="O2110">
        <v>7</v>
      </c>
      <c r="P2110">
        <v>32.5</v>
      </c>
      <c r="Q2110">
        <v>12.007999999999999</v>
      </c>
      <c r="R2110" t="s">
        <v>26</v>
      </c>
      <c r="S2110" t="b">
        <v>0</v>
      </c>
      <c r="T2110" t="b">
        <v>0</v>
      </c>
    </row>
    <row r="2111" spans="1:20" x14ac:dyDescent="0.3">
      <c r="A2111" t="s">
        <v>3147</v>
      </c>
      <c r="B2111" s="1">
        <v>40805</v>
      </c>
      <c r="C2111" s="1">
        <v>40809</v>
      </c>
      <c r="D2111" t="s">
        <v>2158</v>
      </c>
      <c r="E2111" t="s">
        <v>39</v>
      </c>
      <c r="F2111" t="s">
        <v>45</v>
      </c>
      <c r="G2111" t="s">
        <v>319</v>
      </c>
      <c r="H2111">
        <v>92.52</v>
      </c>
      <c r="I2111">
        <v>6</v>
      </c>
      <c r="J2111">
        <v>24.980399999999999</v>
      </c>
      <c r="K2111">
        <v>2011</v>
      </c>
      <c r="L2111">
        <v>9</v>
      </c>
      <c r="M2111" t="s">
        <v>87</v>
      </c>
      <c r="N2111">
        <v>19</v>
      </c>
      <c r="O2111">
        <v>4</v>
      </c>
      <c r="P2111">
        <v>27</v>
      </c>
      <c r="Q2111">
        <v>15.42</v>
      </c>
      <c r="R2111" t="s">
        <v>26</v>
      </c>
      <c r="S2111" t="b">
        <v>0</v>
      </c>
      <c r="T2111" t="b">
        <v>0</v>
      </c>
    </row>
    <row r="2112" spans="1:20" x14ac:dyDescent="0.3">
      <c r="A2112" t="s">
        <v>3148</v>
      </c>
      <c r="B2112" s="1">
        <v>41762</v>
      </c>
      <c r="C2112" s="1">
        <v>41766</v>
      </c>
      <c r="D2112" t="s">
        <v>3149</v>
      </c>
      <c r="E2112" t="s">
        <v>22</v>
      </c>
      <c r="F2112" t="s">
        <v>72</v>
      </c>
      <c r="G2112" t="s">
        <v>1465</v>
      </c>
      <c r="H2112">
        <v>15.7</v>
      </c>
      <c r="I2112">
        <v>5</v>
      </c>
      <c r="J2112">
        <v>7.0650000000000004</v>
      </c>
      <c r="K2112">
        <v>2014</v>
      </c>
      <c r="L2112">
        <v>5</v>
      </c>
      <c r="M2112" t="s">
        <v>47</v>
      </c>
      <c r="N2112">
        <v>3</v>
      </c>
      <c r="O2112">
        <v>4</v>
      </c>
      <c r="P2112">
        <v>45</v>
      </c>
      <c r="Q2112">
        <v>3.14</v>
      </c>
      <c r="R2112" t="s">
        <v>26</v>
      </c>
      <c r="S2112" t="b">
        <v>0</v>
      </c>
      <c r="T2112" t="b">
        <v>0</v>
      </c>
    </row>
    <row r="2113" spans="1:20" x14ac:dyDescent="0.3">
      <c r="A2113" t="s">
        <v>3148</v>
      </c>
      <c r="B2113" s="1">
        <v>41762</v>
      </c>
      <c r="C2113" s="1">
        <v>41766</v>
      </c>
      <c r="D2113" t="s">
        <v>3149</v>
      </c>
      <c r="E2113" t="s">
        <v>22</v>
      </c>
      <c r="F2113" t="s">
        <v>31</v>
      </c>
      <c r="G2113" t="s">
        <v>1682</v>
      </c>
      <c r="H2113">
        <v>59.52</v>
      </c>
      <c r="I2113">
        <v>3</v>
      </c>
      <c r="J2113">
        <v>15.475199999999999</v>
      </c>
      <c r="K2113">
        <v>2014</v>
      </c>
      <c r="L2113">
        <v>5</v>
      </c>
      <c r="M2113" t="s">
        <v>47</v>
      </c>
      <c r="N2113">
        <v>3</v>
      </c>
      <c r="O2113">
        <v>4</v>
      </c>
      <c r="P2113">
        <v>26</v>
      </c>
      <c r="Q2113">
        <v>19.84</v>
      </c>
      <c r="R2113" t="s">
        <v>26</v>
      </c>
      <c r="S2113" t="b">
        <v>0</v>
      </c>
      <c r="T2113" t="b">
        <v>0</v>
      </c>
    </row>
    <row r="2114" spans="1:20" x14ac:dyDescent="0.3">
      <c r="A2114" t="s">
        <v>3148</v>
      </c>
      <c r="B2114" s="1">
        <v>41762</v>
      </c>
      <c r="C2114" s="1">
        <v>41766</v>
      </c>
      <c r="D2114" t="s">
        <v>3149</v>
      </c>
      <c r="E2114" t="s">
        <v>22</v>
      </c>
      <c r="F2114" t="s">
        <v>72</v>
      </c>
      <c r="G2114" t="s">
        <v>3150</v>
      </c>
      <c r="H2114">
        <v>34.4</v>
      </c>
      <c r="I2114">
        <v>5</v>
      </c>
      <c r="J2114">
        <v>15.824</v>
      </c>
      <c r="K2114">
        <v>2014</v>
      </c>
      <c r="L2114">
        <v>5</v>
      </c>
      <c r="M2114" t="s">
        <v>47</v>
      </c>
      <c r="N2114">
        <v>3</v>
      </c>
      <c r="O2114">
        <v>4</v>
      </c>
      <c r="P2114">
        <v>46</v>
      </c>
      <c r="Q2114">
        <v>6.88</v>
      </c>
      <c r="R2114" t="s">
        <v>26</v>
      </c>
      <c r="S2114" t="b">
        <v>0</v>
      </c>
      <c r="T2114" t="b">
        <v>0</v>
      </c>
    </row>
    <row r="2115" spans="1:20" x14ac:dyDescent="0.3">
      <c r="A2115" t="s">
        <v>3151</v>
      </c>
      <c r="B2115" s="1">
        <v>41526</v>
      </c>
      <c r="C2115" s="1">
        <v>41531</v>
      </c>
      <c r="D2115" t="s">
        <v>1177</v>
      </c>
      <c r="E2115" t="s">
        <v>39</v>
      </c>
      <c r="F2115" t="s">
        <v>29</v>
      </c>
      <c r="G2115" t="s">
        <v>1027</v>
      </c>
      <c r="H2115">
        <v>43.13</v>
      </c>
      <c r="I2115">
        <v>1</v>
      </c>
      <c r="J2115">
        <v>14.664199999999999</v>
      </c>
      <c r="K2115">
        <v>2013</v>
      </c>
      <c r="L2115">
        <v>9</v>
      </c>
      <c r="M2115" t="s">
        <v>87</v>
      </c>
      <c r="N2115">
        <v>9</v>
      </c>
      <c r="O2115">
        <v>5</v>
      </c>
      <c r="P2115">
        <v>34</v>
      </c>
      <c r="Q2115">
        <v>43.13</v>
      </c>
      <c r="R2115" t="s">
        <v>26</v>
      </c>
      <c r="S2115" t="b">
        <v>0</v>
      </c>
      <c r="T2115" t="b">
        <v>0</v>
      </c>
    </row>
    <row r="2116" spans="1:20" x14ac:dyDescent="0.3">
      <c r="A2116" t="s">
        <v>3151</v>
      </c>
      <c r="B2116" s="1">
        <v>41526</v>
      </c>
      <c r="C2116" s="1">
        <v>41531</v>
      </c>
      <c r="D2116" t="s">
        <v>1177</v>
      </c>
      <c r="E2116" t="s">
        <v>39</v>
      </c>
      <c r="F2116" t="s">
        <v>72</v>
      </c>
      <c r="G2116" t="s">
        <v>208</v>
      </c>
      <c r="H2116">
        <v>30.87</v>
      </c>
      <c r="I2116">
        <v>7</v>
      </c>
      <c r="J2116">
        <v>14.200200000000001</v>
      </c>
      <c r="K2116">
        <v>2013</v>
      </c>
      <c r="L2116">
        <v>9</v>
      </c>
      <c r="M2116" t="s">
        <v>87</v>
      </c>
      <c r="N2116">
        <v>9</v>
      </c>
      <c r="O2116">
        <v>5</v>
      </c>
      <c r="P2116">
        <v>46</v>
      </c>
      <c r="Q2116">
        <v>4.41</v>
      </c>
      <c r="R2116" t="s">
        <v>26</v>
      </c>
      <c r="S2116" t="b">
        <v>0</v>
      </c>
      <c r="T2116" t="b">
        <v>0</v>
      </c>
    </row>
    <row r="2117" spans="1:20" x14ac:dyDescent="0.3">
      <c r="A2117" t="s">
        <v>3152</v>
      </c>
      <c r="B2117" s="1">
        <v>41043</v>
      </c>
      <c r="C2117" s="1">
        <v>41048</v>
      </c>
      <c r="D2117" t="s">
        <v>990</v>
      </c>
      <c r="E2117" t="s">
        <v>3092</v>
      </c>
      <c r="F2117" t="s">
        <v>317</v>
      </c>
      <c r="G2117" t="s">
        <v>905</v>
      </c>
      <c r="H2117">
        <v>509.95749999999998</v>
      </c>
      <c r="I2117">
        <v>5</v>
      </c>
      <c r="J2117">
        <v>41.996499999999997</v>
      </c>
      <c r="K2117">
        <v>2012</v>
      </c>
      <c r="L2117">
        <v>5</v>
      </c>
      <c r="M2117" t="s">
        <v>47</v>
      </c>
      <c r="N2117">
        <v>14</v>
      </c>
      <c r="O2117">
        <v>5</v>
      </c>
      <c r="P2117">
        <v>8.24</v>
      </c>
      <c r="Q2117">
        <v>101.9915</v>
      </c>
      <c r="R2117" t="s">
        <v>26</v>
      </c>
      <c r="S2117" t="b">
        <v>0</v>
      </c>
      <c r="T2117" t="b">
        <v>1</v>
      </c>
    </row>
    <row r="2118" spans="1:20" x14ac:dyDescent="0.3">
      <c r="A2118" t="s">
        <v>3152</v>
      </c>
      <c r="B2118" s="1">
        <v>41043</v>
      </c>
      <c r="C2118" s="1">
        <v>41048</v>
      </c>
      <c r="D2118" t="s">
        <v>990</v>
      </c>
      <c r="E2118" t="s">
        <v>3092</v>
      </c>
      <c r="F2118" t="s">
        <v>29</v>
      </c>
      <c r="G2118" t="s">
        <v>420</v>
      </c>
      <c r="H2118">
        <v>122.91</v>
      </c>
      <c r="I2118">
        <v>3</v>
      </c>
      <c r="J2118">
        <v>34.4148</v>
      </c>
      <c r="K2118">
        <v>2012</v>
      </c>
      <c r="L2118">
        <v>5</v>
      </c>
      <c r="M2118" t="s">
        <v>47</v>
      </c>
      <c r="N2118">
        <v>14</v>
      </c>
      <c r="O2118">
        <v>5</v>
      </c>
      <c r="P2118">
        <v>28</v>
      </c>
      <c r="Q2118">
        <v>40.97</v>
      </c>
      <c r="R2118" t="s">
        <v>26</v>
      </c>
      <c r="S2118" t="b">
        <v>0</v>
      </c>
      <c r="T2118" t="b">
        <v>0</v>
      </c>
    </row>
    <row r="2119" spans="1:20" x14ac:dyDescent="0.3">
      <c r="A2119" t="s">
        <v>3152</v>
      </c>
      <c r="B2119" s="1">
        <v>41043</v>
      </c>
      <c r="C2119" s="1">
        <v>41048</v>
      </c>
      <c r="D2119" t="s">
        <v>990</v>
      </c>
      <c r="E2119" t="s">
        <v>3092</v>
      </c>
      <c r="F2119" t="s">
        <v>110</v>
      </c>
      <c r="G2119" t="s">
        <v>1163</v>
      </c>
      <c r="H2119">
        <v>97.567999999999998</v>
      </c>
      <c r="I2119">
        <v>2</v>
      </c>
      <c r="J2119">
        <v>-6.0979999999999999</v>
      </c>
      <c r="K2119">
        <v>2012</v>
      </c>
      <c r="L2119">
        <v>5</v>
      </c>
      <c r="M2119" t="s">
        <v>47</v>
      </c>
      <c r="N2119">
        <v>14</v>
      </c>
      <c r="O2119">
        <v>5</v>
      </c>
      <c r="P2119">
        <v>-6.25</v>
      </c>
      <c r="Q2119">
        <v>48.783999999999999</v>
      </c>
      <c r="R2119" t="s">
        <v>26</v>
      </c>
      <c r="S2119" t="b">
        <v>1</v>
      </c>
      <c r="T2119" t="b">
        <v>0</v>
      </c>
    </row>
    <row r="2120" spans="1:20" x14ac:dyDescent="0.3">
      <c r="A2120" t="s">
        <v>3153</v>
      </c>
      <c r="B2120" s="1">
        <v>41425</v>
      </c>
      <c r="C2120" s="1">
        <v>41432</v>
      </c>
      <c r="D2120" t="s">
        <v>2785</v>
      </c>
      <c r="E2120" t="s">
        <v>22</v>
      </c>
      <c r="F2120" t="s">
        <v>29</v>
      </c>
      <c r="G2120" t="s">
        <v>1645</v>
      </c>
      <c r="H2120">
        <v>167.84</v>
      </c>
      <c r="I2120">
        <v>8</v>
      </c>
      <c r="J2120">
        <v>11.748799999999999</v>
      </c>
      <c r="K2120">
        <v>2013</v>
      </c>
      <c r="L2120">
        <v>5</v>
      </c>
      <c r="M2120" t="s">
        <v>47</v>
      </c>
      <c r="N2120">
        <v>31</v>
      </c>
      <c r="O2120">
        <v>7</v>
      </c>
      <c r="P2120">
        <v>7</v>
      </c>
      <c r="Q2120">
        <v>20.98</v>
      </c>
      <c r="R2120" t="s">
        <v>26</v>
      </c>
      <c r="S2120" t="b">
        <v>0</v>
      </c>
      <c r="T2120" t="b">
        <v>0</v>
      </c>
    </row>
    <row r="2121" spans="1:20" x14ac:dyDescent="0.3">
      <c r="A2121" t="s">
        <v>3154</v>
      </c>
      <c r="B2121" s="1">
        <v>41790</v>
      </c>
      <c r="C2121" s="1">
        <v>41794</v>
      </c>
      <c r="D2121" t="s">
        <v>1422</v>
      </c>
      <c r="E2121" t="s">
        <v>956</v>
      </c>
      <c r="F2121" t="s">
        <v>54</v>
      </c>
      <c r="G2121" t="s">
        <v>3155</v>
      </c>
      <c r="H2121">
        <v>156.792</v>
      </c>
      <c r="I2121">
        <v>1</v>
      </c>
      <c r="J2121">
        <v>17.639099999999999</v>
      </c>
      <c r="K2121">
        <v>2014</v>
      </c>
      <c r="L2121">
        <v>5</v>
      </c>
      <c r="M2121" t="s">
        <v>47</v>
      </c>
      <c r="N2121">
        <v>31</v>
      </c>
      <c r="O2121">
        <v>4</v>
      </c>
      <c r="P2121">
        <v>11.25</v>
      </c>
      <c r="Q2121">
        <v>156.792</v>
      </c>
      <c r="R2121" t="s">
        <v>26</v>
      </c>
      <c r="S2121" t="b">
        <v>0</v>
      </c>
      <c r="T2121" t="b">
        <v>0</v>
      </c>
    </row>
    <row r="2122" spans="1:20" x14ac:dyDescent="0.3">
      <c r="A2122" t="s">
        <v>3154</v>
      </c>
      <c r="B2122" s="1">
        <v>41790</v>
      </c>
      <c r="C2122" s="1">
        <v>41794</v>
      </c>
      <c r="D2122" t="s">
        <v>1422</v>
      </c>
      <c r="E2122" t="s">
        <v>956</v>
      </c>
      <c r="F2122" t="s">
        <v>61</v>
      </c>
      <c r="G2122" t="s">
        <v>166</v>
      </c>
      <c r="H2122">
        <v>35.36</v>
      </c>
      <c r="I2122">
        <v>2</v>
      </c>
      <c r="J2122">
        <v>-3.0939999999999999</v>
      </c>
      <c r="K2122">
        <v>2014</v>
      </c>
      <c r="L2122">
        <v>5</v>
      </c>
      <c r="M2122" t="s">
        <v>47</v>
      </c>
      <c r="N2122">
        <v>31</v>
      </c>
      <c r="O2122">
        <v>4</v>
      </c>
      <c r="P2122">
        <v>-8.75</v>
      </c>
      <c r="Q2122">
        <v>17.68</v>
      </c>
      <c r="R2122" t="s">
        <v>26</v>
      </c>
      <c r="S2122" t="b">
        <v>1</v>
      </c>
      <c r="T2122" t="b">
        <v>0</v>
      </c>
    </row>
    <row r="2123" spans="1:20" x14ac:dyDescent="0.3">
      <c r="A2123" t="s">
        <v>3154</v>
      </c>
      <c r="B2123" s="1">
        <v>41790</v>
      </c>
      <c r="C2123" s="1">
        <v>41794</v>
      </c>
      <c r="D2123" t="s">
        <v>1422</v>
      </c>
      <c r="E2123" t="s">
        <v>956</v>
      </c>
      <c r="F2123" t="s">
        <v>29</v>
      </c>
      <c r="G2123" t="s">
        <v>3156</v>
      </c>
      <c r="H2123">
        <v>13.592000000000001</v>
      </c>
      <c r="I2123">
        <v>1</v>
      </c>
      <c r="J2123">
        <v>-0.33979999999999999</v>
      </c>
      <c r="K2123">
        <v>2014</v>
      </c>
      <c r="L2123">
        <v>5</v>
      </c>
      <c r="M2123" t="s">
        <v>47</v>
      </c>
      <c r="N2123">
        <v>31</v>
      </c>
      <c r="O2123">
        <v>4</v>
      </c>
      <c r="P2123">
        <v>-2.5</v>
      </c>
      <c r="Q2123">
        <v>13.592000000000001</v>
      </c>
      <c r="R2123" t="s">
        <v>26</v>
      </c>
      <c r="S2123" t="b">
        <v>1</v>
      </c>
      <c r="T2123" t="b">
        <v>0</v>
      </c>
    </row>
    <row r="2124" spans="1:20" x14ac:dyDescent="0.3">
      <c r="A2124" t="s">
        <v>3157</v>
      </c>
      <c r="B2124" s="1">
        <v>40764</v>
      </c>
      <c r="C2124" s="1">
        <v>40768</v>
      </c>
      <c r="D2124" t="s">
        <v>2892</v>
      </c>
      <c r="E2124" t="s">
        <v>105</v>
      </c>
      <c r="F2124" t="s">
        <v>119</v>
      </c>
      <c r="G2124" t="s">
        <v>2184</v>
      </c>
      <c r="H2124">
        <v>4.4640000000000004</v>
      </c>
      <c r="I2124">
        <v>3</v>
      </c>
      <c r="J2124">
        <v>-0.9486</v>
      </c>
      <c r="K2124">
        <v>2011</v>
      </c>
      <c r="L2124">
        <v>8</v>
      </c>
      <c r="M2124" t="s">
        <v>53</v>
      </c>
      <c r="N2124">
        <v>9</v>
      </c>
      <c r="O2124">
        <v>4</v>
      </c>
      <c r="P2124">
        <v>-21.25</v>
      </c>
      <c r="Q2124">
        <v>1.488</v>
      </c>
      <c r="R2124" t="s">
        <v>26</v>
      </c>
      <c r="S2124" t="b">
        <v>1</v>
      </c>
      <c r="T2124" t="b">
        <v>0</v>
      </c>
    </row>
    <row r="2125" spans="1:20" x14ac:dyDescent="0.3">
      <c r="A2125" t="s">
        <v>3157</v>
      </c>
      <c r="B2125" s="1">
        <v>40764</v>
      </c>
      <c r="C2125" s="1">
        <v>40768</v>
      </c>
      <c r="D2125" t="s">
        <v>2892</v>
      </c>
      <c r="E2125" t="s">
        <v>105</v>
      </c>
      <c r="F2125" t="s">
        <v>33</v>
      </c>
      <c r="G2125" t="s">
        <v>641</v>
      </c>
      <c r="H2125">
        <v>9.3450000000000006</v>
      </c>
      <c r="I2125">
        <v>5</v>
      </c>
      <c r="J2125">
        <v>-6.5415000000000001</v>
      </c>
      <c r="K2125">
        <v>2011</v>
      </c>
      <c r="L2125">
        <v>8</v>
      </c>
      <c r="M2125" t="s">
        <v>53</v>
      </c>
      <c r="N2125">
        <v>9</v>
      </c>
      <c r="O2125">
        <v>4</v>
      </c>
      <c r="P2125">
        <v>-70</v>
      </c>
      <c r="Q2125">
        <v>1.869</v>
      </c>
      <c r="R2125" t="s">
        <v>26</v>
      </c>
      <c r="S2125" t="b">
        <v>1</v>
      </c>
      <c r="T2125" t="b">
        <v>0</v>
      </c>
    </row>
    <row r="2126" spans="1:20" x14ac:dyDescent="0.3">
      <c r="A2126" t="s">
        <v>3158</v>
      </c>
      <c r="B2126" s="1">
        <v>41116</v>
      </c>
      <c r="C2126" s="1">
        <v>41121</v>
      </c>
      <c r="D2126" t="s">
        <v>2100</v>
      </c>
      <c r="E2126" t="s">
        <v>2844</v>
      </c>
      <c r="F2126" t="s">
        <v>33</v>
      </c>
      <c r="G2126" t="s">
        <v>426</v>
      </c>
      <c r="H2126">
        <v>9.1440000000000001</v>
      </c>
      <c r="I2126">
        <v>3</v>
      </c>
      <c r="J2126">
        <v>3.0861000000000001</v>
      </c>
      <c r="K2126">
        <v>2012</v>
      </c>
      <c r="L2126">
        <v>7</v>
      </c>
      <c r="M2126" t="s">
        <v>66</v>
      </c>
      <c r="N2126">
        <v>26</v>
      </c>
      <c r="O2126">
        <v>5</v>
      </c>
      <c r="P2126">
        <v>33.75</v>
      </c>
      <c r="Q2126">
        <v>3.048</v>
      </c>
      <c r="R2126" t="s">
        <v>26</v>
      </c>
      <c r="S2126" t="b">
        <v>0</v>
      </c>
      <c r="T2126" t="b">
        <v>0</v>
      </c>
    </row>
    <row r="2127" spans="1:20" x14ac:dyDescent="0.3">
      <c r="A2127" t="s">
        <v>3158</v>
      </c>
      <c r="B2127" s="1">
        <v>41116</v>
      </c>
      <c r="C2127" s="1">
        <v>41121</v>
      </c>
      <c r="D2127" t="s">
        <v>2100</v>
      </c>
      <c r="E2127" t="s">
        <v>2844</v>
      </c>
      <c r="F2127" t="s">
        <v>33</v>
      </c>
      <c r="G2127" t="s">
        <v>244</v>
      </c>
      <c r="H2127">
        <v>23.135999999999999</v>
      </c>
      <c r="I2127">
        <v>6</v>
      </c>
      <c r="J2127">
        <v>8.3867999999999991</v>
      </c>
      <c r="K2127">
        <v>2012</v>
      </c>
      <c r="L2127">
        <v>7</v>
      </c>
      <c r="M2127" t="s">
        <v>66</v>
      </c>
      <c r="N2127">
        <v>26</v>
      </c>
      <c r="O2127">
        <v>5</v>
      </c>
      <c r="P2127">
        <v>36.25</v>
      </c>
      <c r="Q2127">
        <v>3.8559999999999999</v>
      </c>
      <c r="R2127" t="s">
        <v>26</v>
      </c>
      <c r="S2127" t="b">
        <v>0</v>
      </c>
      <c r="T2127" t="b">
        <v>0</v>
      </c>
    </row>
    <row r="2128" spans="1:20" x14ac:dyDescent="0.3">
      <c r="A2128" t="s">
        <v>3158</v>
      </c>
      <c r="B2128" s="1">
        <v>41116</v>
      </c>
      <c r="C2128" s="1">
        <v>41121</v>
      </c>
      <c r="D2128" t="s">
        <v>2100</v>
      </c>
      <c r="E2128" t="s">
        <v>2844</v>
      </c>
      <c r="F2128" t="s">
        <v>31</v>
      </c>
      <c r="G2128" t="s">
        <v>1064</v>
      </c>
      <c r="H2128">
        <v>99.2</v>
      </c>
      <c r="I2128">
        <v>5</v>
      </c>
      <c r="J2128">
        <v>25.792000000000002</v>
      </c>
      <c r="K2128">
        <v>2012</v>
      </c>
      <c r="L2128">
        <v>7</v>
      </c>
      <c r="M2128" t="s">
        <v>66</v>
      </c>
      <c r="N2128">
        <v>26</v>
      </c>
      <c r="O2128">
        <v>5</v>
      </c>
      <c r="P2128">
        <v>26</v>
      </c>
      <c r="Q2128">
        <v>19.84</v>
      </c>
      <c r="R2128" t="s">
        <v>26</v>
      </c>
      <c r="S2128" t="b">
        <v>0</v>
      </c>
      <c r="T2128" t="b">
        <v>0</v>
      </c>
    </row>
    <row r="2129" spans="1:20" x14ac:dyDescent="0.3">
      <c r="A2129" t="s">
        <v>3159</v>
      </c>
      <c r="B2129" s="1">
        <v>40590</v>
      </c>
      <c r="C2129" s="1">
        <v>40594</v>
      </c>
      <c r="D2129" t="s">
        <v>2442</v>
      </c>
      <c r="E2129" t="s">
        <v>39</v>
      </c>
      <c r="F2129" t="s">
        <v>33</v>
      </c>
      <c r="G2129" t="s">
        <v>2475</v>
      </c>
      <c r="H2129">
        <v>21.36</v>
      </c>
      <c r="I2129">
        <v>5</v>
      </c>
      <c r="J2129">
        <v>7.2089999999999996</v>
      </c>
      <c r="K2129">
        <v>2011</v>
      </c>
      <c r="L2129">
        <v>2</v>
      </c>
      <c r="M2129" t="s">
        <v>303</v>
      </c>
      <c r="N2129">
        <v>16</v>
      </c>
      <c r="O2129">
        <v>4</v>
      </c>
      <c r="P2129">
        <v>33.75</v>
      </c>
      <c r="Q2129">
        <v>4.2720000000000002</v>
      </c>
      <c r="R2129" t="s">
        <v>26</v>
      </c>
      <c r="S2129" t="b">
        <v>0</v>
      </c>
      <c r="T2129" t="b">
        <v>0</v>
      </c>
    </row>
    <row r="2130" spans="1:20" x14ac:dyDescent="0.3">
      <c r="A2130" t="s">
        <v>3160</v>
      </c>
      <c r="B2130" s="1">
        <v>40992</v>
      </c>
      <c r="C2130" s="1">
        <v>40995</v>
      </c>
      <c r="D2130" t="s">
        <v>2752</v>
      </c>
      <c r="E2130" t="s">
        <v>1973</v>
      </c>
      <c r="F2130" t="s">
        <v>29</v>
      </c>
      <c r="G2130" t="s">
        <v>3161</v>
      </c>
      <c r="H2130">
        <v>46.9</v>
      </c>
      <c r="I2130">
        <v>5</v>
      </c>
      <c r="J2130">
        <v>13.132</v>
      </c>
      <c r="K2130">
        <v>2012</v>
      </c>
      <c r="L2130">
        <v>3</v>
      </c>
      <c r="M2130" t="s">
        <v>135</v>
      </c>
      <c r="N2130">
        <v>24</v>
      </c>
      <c r="O2130">
        <v>3</v>
      </c>
      <c r="P2130">
        <v>28</v>
      </c>
      <c r="Q2130">
        <v>9.379999999999999</v>
      </c>
      <c r="R2130" t="s">
        <v>26</v>
      </c>
      <c r="S2130" t="b">
        <v>0</v>
      </c>
      <c r="T2130" t="b">
        <v>0</v>
      </c>
    </row>
    <row r="2131" spans="1:20" x14ac:dyDescent="0.3">
      <c r="A2131" t="s">
        <v>3162</v>
      </c>
      <c r="B2131" s="1">
        <v>41885</v>
      </c>
      <c r="C2131" s="1">
        <v>41889</v>
      </c>
      <c r="D2131" t="s">
        <v>3163</v>
      </c>
      <c r="E2131" t="s">
        <v>22</v>
      </c>
      <c r="F2131" t="s">
        <v>33</v>
      </c>
      <c r="G2131" t="s">
        <v>480</v>
      </c>
      <c r="H2131">
        <v>18.72</v>
      </c>
      <c r="I2131">
        <v>5</v>
      </c>
      <c r="J2131">
        <v>6.5519999999999996</v>
      </c>
      <c r="K2131">
        <v>2014</v>
      </c>
      <c r="L2131">
        <v>9</v>
      </c>
      <c r="M2131" t="s">
        <v>87</v>
      </c>
      <c r="N2131">
        <v>3</v>
      </c>
      <c r="O2131">
        <v>4</v>
      </c>
      <c r="P2131">
        <v>35</v>
      </c>
      <c r="Q2131">
        <v>3.7440000000000002</v>
      </c>
      <c r="R2131" t="s">
        <v>26</v>
      </c>
      <c r="S2131" t="b">
        <v>0</v>
      </c>
      <c r="T2131" t="b">
        <v>0</v>
      </c>
    </row>
    <row r="2132" spans="1:20" x14ac:dyDescent="0.3">
      <c r="A2132" t="s">
        <v>3162</v>
      </c>
      <c r="B2132" s="1">
        <v>41885</v>
      </c>
      <c r="C2132" s="1">
        <v>41889</v>
      </c>
      <c r="D2132" t="s">
        <v>3163</v>
      </c>
      <c r="E2132" t="s">
        <v>22</v>
      </c>
      <c r="F2132" t="s">
        <v>174</v>
      </c>
      <c r="G2132" t="s">
        <v>3164</v>
      </c>
      <c r="H2132">
        <v>236.52799999999999</v>
      </c>
      <c r="I2132">
        <v>2</v>
      </c>
      <c r="J2132">
        <v>-2.9565999999999999</v>
      </c>
      <c r="K2132">
        <v>2014</v>
      </c>
      <c r="L2132">
        <v>9</v>
      </c>
      <c r="M2132" t="s">
        <v>87</v>
      </c>
      <c r="N2132">
        <v>3</v>
      </c>
      <c r="O2132">
        <v>4</v>
      </c>
      <c r="P2132">
        <v>-1.25</v>
      </c>
      <c r="Q2132">
        <v>118.264</v>
      </c>
      <c r="R2132" t="s">
        <v>26</v>
      </c>
      <c r="S2132" t="b">
        <v>1</v>
      </c>
      <c r="T2132" t="b">
        <v>1</v>
      </c>
    </row>
    <row r="2133" spans="1:20" x14ac:dyDescent="0.3">
      <c r="A2133" t="s">
        <v>3165</v>
      </c>
      <c r="B2133" s="1">
        <v>41229</v>
      </c>
      <c r="C2133" s="1">
        <v>41231</v>
      </c>
      <c r="D2133" t="s">
        <v>2497</v>
      </c>
      <c r="E2133" t="s">
        <v>194</v>
      </c>
      <c r="F2133" t="s">
        <v>23</v>
      </c>
      <c r="G2133" t="s">
        <v>2464</v>
      </c>
      <c r="H2133">
        <v>18.899999999999999</v>
      </c>
      <c r="I2133">
        <v>3</v>
      </c>
      <c r="J2133">
        <v>8.6940000000000008</v>
      </c>
      <c r="K2133">
        <v>2012</v>
      </c>
      <c r="L2133">
        <v>11</v>
      </c>
      <c r="M2133" t="s">
        <v>70</v>
      </c>
      <c r="N2133">
        <v>16</v>
      </c>
      <c r="O2133">
        <v>2</v>
      </c>
      <c r="P2133">
        <v>46</v>
      </c>
      <c r="Q2133">
        <v>6.3</v>
      </c>
      <c r="R2133" t="s">
        <v>26</v>
      </c>
      <c r="S2133" t="b">
        <v>0</v>
      </c>
      <c r="T2133" t="b">
        <v>0</v>
      </c>
    </row>
    <row r="2134" spans="1:20" x14ac:dyDescent="0.3">
      <c r="A2134" t="s">
        <v>3166</v>
      </c>
      <c r="B2134" s="1">
        <v>41010</v>
      </c>
      <c r="C2134" s="1">
        <v>41013</v>
      </c>
      <c r="D2134" t="s">
        <v>2481</v>
      </c>
      <c r="E2134" t="s">
        <v>22</v>
      </c>
      <c r="F2134" t="s">
        <v>72</v>
      </c>
      <c r="G2134" t="s">
        <v>155</v>
      </c>
      <c r="H2134">
        <v>52.76</v>
      </c>
      <c r="I2134">
        <v>2</v>
      </c>
      <c r="J2134">
        <v>24.269600000000001</v>
      </c>
      <c r="K2134">
        <v>2012</v>
      </c>
      <c r="L2134">
        <v>4</v>
      </c>
      <c r="M2134" t="s">
        <v>236</v>
      </c>
      <c r="N2134">
        <v>11</v>
      </c>
      <c r="O2134">
        <v>3</v>
      </c>
      <c r="P2134">
        <v>46</v>
      </c>
      <c r="Q2134">
        <v>26.38</v>
      </c>
      <c r="R2134" t="s">
        <v>26</v>
      </c>
      <c r="S2134" t="b">
        <v>0</v>
      </c>
      <c r="T2134" t="b">
        <v>0</v>
      </c>
    </row>
    <row r="2135" spans="1:20" x14ac:dyDescent="0.3">
      <c r="A2135" t="s">
        <v>3167</v>
      </c>
      <c r="B2135" s="1">
        <v>41526</v>
      </c>
      <c r="C2135" s="1">
        <v>41533</v>
      </c>
      <c r="D2135" t="s">
        <v>2147</v>
      </c>
      <c r="E2135" t="s">
        <v>1726</v>
      </c>
      <c r="F2135" t="s">
        <v>31</v>
      </c>
      <c r="G2135" t="s">
        <v>3168</v>
      </c>
      <c r="H2135">
        <v>14.88</v>
      </c>
      <c r="I2135">
        <v>2</v>
      </c>
      <c r="J2135">
        <v>3.72</v>
      </c>
      <c r="K2135">
        <v>2013</v>
      </c>
      <c r="L2135">
        <v>9</v>
      </c>
      <c r="M2135" t="s">
        <v>87</v>
      </c>
      <c r="N2135">
        <v>9</v>
      </c>
      <c r="O2135">
        <v>7</v>
      </c>
      <c r="P2135">
        <v>25</v>
      </c>
      <c r="Q2135">
        <v>7.44</v>
      </c>
      <c r="R2135" t="s">
        <v>26</v>
      </c>
      <c r="S2135" t="b">
        <v>0</v>
      </c>
      <c r="T2135" t="b">
        <v>0</v>
      </c>
    </row>
    <row r="2136" spans="1:20" x14ac:dyDescent="0.3">
      <c r="A2136" t="s">
        <v>3167</v>
      </c>
      <c r="B2136" s="1">
        <v>41526</v>
      </c>
      <c r="C2136" s="1">
        <v>41533</v>
      </c>
      <c r="D2136" t="s">
        <v>2147</v>
      </c>
      <c r="E2136" t="s">
        <v>1726</v>
      </c>
      <c r="F2136" t="s">
        <v>72</v>
      </c>
      <c r="G2136" t="s">
        <v>3169</v>
      </c>
      <c r="H2136">
        <v>34.24</v>
      </c>
      <c r="I2136">
        <v>8</v>
      </c>
      <c r="J2136">
        <v>15.407999999999999</v>
      </c>
      <c r="K2136">
        <v>2013</v>
      </c>
      <c r="L2136">
        <v>9</v>
      </c>
      <c r="M2136" t="s">
        <v>87</v>
      </c>
      <c r="N2136">
        <v>9</v>
      </c>
      <c r="O2136">
        <v>7</v>
      </c>
      <c r="P2136">
        <v>45</v>
      </c>
      <c r="Q2136">
        <v>4.28</v>
      </c>
      <c r="R2136" t="s">
        <v>26</v>
      </c>
      <c r="S2136" t="b">
        <v>0</v>
      </c>
      <c r="T2136" t="b">
        <v>0</v>
      </c>
    </row>
    <row r="2137" spans="1:20" x14ac:dyDescent="0.3">
      <c r="A2137" t="s">
        <v>3167</v>
      </c>
      <c r="B2137" s="1">
        <v>41526</v>
      </c>
      <c r="C2137" s="1">
        <v>41533</v>
      </c>
      <c r="D2137" t="s">
        <v>2147</v>
      </c>
      <c r="E2137" t="s">
        <v>1726</v>
      </c>
      <c r="F2137" t="s">
        <v>45</v>
      </c>
      <c r="G2137" t="s">
        <v>1449</v>
      </c>
      <c r="H2137">
        <v>261.74</v>
      </c>
      <c r="I2137">
        <v>2</v>
      </c>
      <c r="J2137">
        <v>65.435000000000002</v>
      </c>
      <c r="K2137">
        <v>2013</v>
      </c>
      <c r="L2137">
        <v>9</v>
      </c>
      <c r="M2137" t="s">
        <v>87</v>
      </c>
      <c r="N2137">
        <v>9</v>
      </c>
      <c r="O2137">
        <v>7</v>
      </c>
      <c r="P2137">
        <v>25</v>
      </c>
      <c r="Q2137">
        <v>130.87</v>
      </c>
      <c r="R2137" t="s">
        <v>26</v>
      </c>
      <c r="S2137" t="b">
        <v>0</v>
      </c>
      <c r="T2137" t="b">
        <v>1</v>
      </c>
    </row>
    <row r="2138" spans="1:20" x14ac:dyDescent="0.3">
      <c r="A2138" t="s">
        <v>3170</v>
      </c>
      <c r="B2138" s="1">
        <v>41414</v>
      </c>
      <c r="C2138" s="1">
        <v>41418</v>
      </c>
      <c r="D2138" t="s">
        <v>2102</v>
      </c>
      <c r="E2138" t="s">
        <v>22</v>
      </c>
      <c r="F2138" t="s">
        <v>35</v>
      </c>
      <c r="G2138" t="s">
        <v>155</v>
      </c>
      <c r="H2138">
        <v>87.84</v>
      </c>
      <c r="I2138">
        <v>8</v>
      </c>
      <c r="J2138">
        <v>23.716799999999999</v>
      </c>
      <c r="K2138">
        <v>2013</v>
      </c>
      <c r="L2138">
        <v>5</v>
      </c>
      <c r="M2138" t="s">
        <v>47</v>
      </c>
      <c r="N2138">
        <v>20</v>
      </c>
      <c r="O2138">
        <v>4</v>
      </c>
      <c r="P2138">
        <v>27</v>
      </c>
      <c r="Q2138">
        <v>10.98</v>
      </c>
      <c r="R2138" t="s">
        <v>26</v>
      </c>
      <c r="S2138" t="b">
        <v>0</v>
      </c>
      <c r="T2138" t="b">
        <v>0</v>
      </c>
    </row>
    <row r="2139" spans="1:20" x14ac:dyDescent="0.3">
      <c r="A2139" t="s">
        <v>3171</v>
      </c>
      <c r="B2139" s="1">
        <v>41955</v>
      </c>
      <c r="C2139" s="1">
        <v>41959</v>
      </c>
      <c r="D2139" t="s">
        <v>3031</v>
      </c>
      <c r="E2139" t="s">
        <v>22</v>
      </c>
      <c r="F2139" t="s">
        <v>29</v>
      </c>
      <c r="G2139" t="s">
        <v>729</v>
      </c>
      <c r="H2139">
        <v>34.92</v>
      </c>
      <c r="I2139">
        <v>4</v>
      </c>
      <c r="J2139">
        <v>11.8728</v>
      </c>
      <c r="K2139">
        <v>2014</v>
      </c>
      <c r="L2139">
        <v>11</v>
      </c>
      <c r="M2139" t="s">
        <v>70</v>
      </c>
      <c r="N2139">
        <v>12</v>
      </c>
      <c r="O2139">
        <v>4</v>
      </c>
      <c r="P2139">
        <v>34</v>
      </c>
      <c r="Q2139">
        <v>8.73</v>
      </c>
      <c r="R2139" t="s">
        <v>26</v>
      </c>
      <c r="S2139" t="b">
        <v>0</v>
      </c>
      <c r="T2139" t="b">
        <v>0</v>
      </c>
    </row>
    <row r="2140" spans="1:20" x14ac:dyDescent="0.3">
      <c r="A2140" t="s">
        <v>3172</v>
      </c>
      <c r="B2140" s="1">
        <v>41519</v>
      </c>
      <c r="C2140" s="1">
        <v>41521</v>
      </c>
      <c r="D2140" t="s">
        <v>3173</v>
      </c>
      <c r="E2140" t="s">
        <v>286</v>
      </c>
      <c r="F2140" t="s">
        <v>128</v>
      </c>
      <c r="G2140" t="s">
        <v>3174</v>
      </c>
      <c r="H2140">
        <v>12.78</v>
      </c>
      <c r="I2140">
        <v>1</v>
      </c>
      <c r="J2140">
        <v>5.7510000000000003</v>
      </c>
      <c r="K2140">
        <v>2013</v>
      </c>
      <c r="L2140">
        <v>9</v>
      </c>
      <c r="M2140" t="s">
        <v>87</v>
      </c>
      <c r="N2140">
        <v>2</v>
      </c>
      <c r="O2140">
        <v>2</v>
      </c>
      <c r="P2140">
        <v>45</v>
      </c>
      <c r="Q2140">
        <v>12.78</v>
      </c>
      <c r="R2140" t="s">
        <v>26</v>
      </c>
      <c r="S2140" t="b">
        <v>0</v>
      </c>
      <c r="T2140" t="b">
        <v>0</v>
      </c>
    </row>
    <row r="2141" spans="1:20" x14ac:dyDescent="0.3">
      <c r="A2141" t="s">
        <v>3175</v>
      </c>
      <c r="B2141" s="1">
        <v>41949</v>
      </c>
      <c r="C2141" s="1">
        <v>41953</v>
      </c>
      <c r="D2141" t="s">
        <v>2114</v>
      </c>
      <c r="E2141" t="s">
        <v>194</v>
      </c>
      <c r="F2141" t="s">
        <v>72</v>
      </c>
      <c r="G2141" t="s">
        <v>750</v>
      </c>
      <c r="H2141">
        <v>12.96</v>
      </c>
      <c r="I2141">
        <v>2</v>
      </c>
      <c r="J2141">
        <v>6.2207999999999997</v>
      </c>
      <c r="K2141">
        <v>2014</v>
      </c>
      <c r="L2141">
        <v>11</v>
      </c>
      <c r="M2141" t="s">
        <v>70</v>
      </c>
      <c r="N2141">
        <v>6</v>
      </c>
      <c r="O2141">
        <v>4</v>
      </c>
      <c r="P2141">
        <v>48</v>
      </c>
      <c r="Q2141">
        <v>6.48</v>
      </c>
      <c r="R2141" t="s">
        <v>26</v>
      </c>
      <c r="S2141" t="b">
        <v>0</v>
      </c>
      <c r="T2141" t="b">
        <v>0</v>
      </c>
    </row>
    <row r="2142" spans="1:20" x14ac:dyDescent="0.3">
      <c r="A2142" t="s">
        <v>3176</v>
      </c>
      <c r="B2142" s="1">
        <v>41162</v>
      </c>
      <c r="C2142" s="1">
        <v>41168</v>
      </c>
      <c r="D2142" t="s">
        <v>230</v>
      </c>
      <c r="E2142" t="s">
        <v>22</v>
      </c>
      <c r="F2142" t="s">
        <v>29</v>
      </c>
      <c r="G2142" t="s">
        <v>3177</v>
      </c>
      <c r="H2142">
        <v>106.68</v>
      </c>
      <c r="I2142">
        <v>6</v>
      </c>
      <c r="J2142">
        <v>33.070799999999998</v>
      </c>
      <c r="K2142">
        <v>2012</v>
      </c>
      <c r="L2142">
        <v>9</v>
      </c>
      <c r="M2142" t="s">
        <v>87</v>
      </c>
      <c r="N2142">
        <v>10</v>
      </c>
      <c r="O2142">
        <v>6</v>
      </c>
      <c r="P2142">
        <v>31</v>
      </c>
      <c r="Q2142">
        <v>17.78</v>
      </c>
      <c r="R2142" t="s">
        <v>26</v>
      </c>
      <c r="S2142" t="b">
        <v>0</v>
      </c>
      <c r="T2142" t="b">
        <v>0</v>
      </c>
    </row>
    <row r="2143" spans="1:20" x14ac:dyDescent="0.3">
      <c r="A2143" t="s">
        <v>3178</v>
      </c>
      <c r="B2143" s="1">
        <v>41835</v>
      </c>
      <c r="C2143" s="1">
        <v>41839</v>
      </c>
      <c r="D2143" t="s">
        <v>1456</v>
      </c>
      <c r="E2143" t="s">
        <v>855</v>
      </c>
      <c r="F2143" t="s">
        <v>33</v>
      </c>
      <c r="G2143" t="s">
        <v>2340</v>
      </c>
      <c r="H2143">
        <v>4.4480000000000004</v>
      </c>
      <c r="I2143">
        <v>2</v>
      </c>
      <c r="J2143">
        <v>1.4456</v>
      </c>
      <c r="K2143">
        <v>2014</v>
      </c>
      <c r="L2143">
        <v>7</v>
      </c>
      <c r="M2143" t="s">
        <v>66</v>
      </c>
      <c r="N2143">
        <v>15</v>
      </c>
      <c r="O2143">
        <v>4</v>
      </c>
      <c r="P2143">
        <v>32.5</v>
      </c>
      <c r="Q2143">
        <v>2.2240000000000002</v>
      </c>
      <c r="R2143" t="s">
        <v>26</v>
      </c>
      <c r="S2143" t="b">
        <v>0</v>
      </c>
      <c r="T2143" t="b">
        <v>0</v>
      </c>
    </row>
    <row r="2144" spans="1:20" x14ac:dyDescent="0.3">
      <c r="A2144" t="s">
        <v>3178</v>
      </c>
      <c r="B2144" s="1">
        <v>41835</v>
      </c>
      <c r="C2144" s="1">
        <v>41839</v>
      </c>
      <c r="D2144" t="s">
        <v>1456</v>
      </c>
      <c r="E2144" t="s">
        <v>855</v>
      </c>
      <c r="F2144" t="s">
        <v>29</v>
      </c>
      <c r="G2144" t="s">
        <v>3179</v>
      </c>
      <c r="H2144">
        <v>276.69</v>
      </c>
      <c r="I2144">
        <v>3</v>
      </c>
      <c r="J2144">
        <v>49.804200000000002</v>
      </c>
      <c r="K2144">
        <v>2014</v>
      </c>
      <c r="L2144">
        <v>7</v>
      </c>
      <c r="M2144" t="s">
        <v>66</v>
      </c>
      <c r="N2144">
        <v>15</v>
      </c>
      <c r="O2144">
        <v>4</v>
      </c>
      <c r="P2144">
        <v>18</v>
      </c>
      <c r="Q2144">
        <v>92.23</v>
      </c>
      <c r="R2144" t="s">
        <v>26</v>
      </c>
      <c r="S2144" t="b">
        <v>0</v>
      </c>
      <c r="T2144" t="b">
        <v>1</v>
      </c>
    </row>
    <row r="2145" spans="1:20" x14ac:dyDescent="0.3">
      <c r="A2145" t="s">
        <v>3178</v>
      </c>
      <c r="B2145" s="1">
        <v>41835</v>
      </c>
      <c r="C2145" s="1">
        <v>41839</v>
      </c>
      <c r="D2145" t="s">
        <v>1456</v>
      </c>
      <c r="E2145" t="s">
        <v>855</v>
      </c>
      <c r="F2145" t="s">
        <v>119</v>
      </c>
      <c r="G2145" t="s">
        <v>248</v>
      </c>
      <c r="H2145">
        <v>4.96</v>
      </c>
      <c r="I2145">
        <v>4</v>
      </c>
      <c r="J2145">
        <v>2.3311999999999999</v>
      </c>
      <c r="K2145">
        <v>2014</v>
      </c>
      <c r="L2145">
        <v>7</v>
      </c>
      <c r="M2145" t="s">
        <v>66</v>
      </c>
      <c r="N2145">
        <v>15</v>
      </c>
      <c r="O2145">
        <v>4</v>
      </c>
      <c r="P2145">
        <v>47</v>
      </c>
      <c r="Q2145">
        <v>1.24</v>
      </c>
      <c r="R2145" t="s">
        <v>26</v>
      </c>
      <c r="S2145" t="b">
        <v>0</v>
      </c>
      <c r="T2145" t="b">
        <v>0</v>
      </c>
    </row>
    <row r="2146" spans="1:20" x14ac:dyDescent="0.3">
      <c r="A2146" t="s">
        <v>3178</v>
      </c>
      <c r="B2146" s="1">
        <v>41835</v>
      </c>
      <c r="C2146" s="1">
        <v>41839</v>
      </c>
      <c r="D2146" t="s">
        <v>1456</v>
      </c>
      <c r="E2146" t="s">
        <v>855</v>
      </c>
      <c r="F2146" t="s">
        <v>31</v>
      </c>
      <c r="G2146" t="s">
        <v>705</v>
      </c>
      <c r="H2146">
        <v>71.92</v>
      </c>
      <c r="I2146">
        <v>4</v>
      </c>
      <c r="J2146">
        <v>20.8568</v>
      </c>
      <c r="K2146">
        <v>2014</v>
      </c>
      <c r="L2146">
        <v>7</v>
      </c>
      <c r="M2146" t="s">
        <v>66</v>
      </c>
      <c r="N2146">
        <v>15</v>
      </c>
      <c r="O2146">
        <v>4</v>
      </c>
      <c r="P2146">
        <v>29</v>
      </c>
      <c r="Q2146">
        <v>17.98</v>
      </c>
      <c r="R2146" t="s">
        <v>26</v>
      </c>
      <c r="S2146" t="b">
        <v>0</v>
      </c>
      <c r="T2146" t="b">
        <v>0</v>
      </c>
    </row>
    <row r="2147" spans="1:20" x14ac:dyDescent="0.3">
      <c r="A2147" t="s">
        <v>3178</v>
      </c>
      <c r="B2147" s="1">
        <v>41835</v>
      </c>
      <c r="C2147" s="1">
        <v>41839</v>
      </c>
      <c r="D2147" t="s">
        <v>1456</v>
      </c>
      <c r="E2147" t="s">
        <v>855</v>
      </c>
      <c r="F2147" t="s">
        <v>29</v>
      </c>
      <c r="G2147" t="s">
        <v>3180</v>
      </c>
      <c r="H2147">
        <v>18.84</v>
      </c>
      <c r="I2147">
        <v>3</v>
      </c>
      <c r="J2147">
        <v>7.9127999999999998</v>
      </c>
      <c r="K2147">
        <v>2014</v>
      </c>
      <c r="L2147">
        <v>7</v>
      </c>
      <c r="M2147" t="s">
        <v>66</v>
      </c>
      <c r="N2147">
        <v>15</v>
      </c>
      <c r="O2147">
        <v>4</v>
      </c>
      <c r="P2147">
        <v>42</v>
      </c>
      <c r="Q2147">
        <v>6.28</v>
      </c>
      <c r="R2147" t="s">
        <v>26</v>
      </c>
      <c r="S2147" t="b">
        <v>0</v>
      </c>
      <c r="T2147" t="b">
        <v>0</v>
      </c>
    </row>
    <row r="2148" spans="1:20" x14ac:dyDescent="0.3">
      <c r="A2148" t="s">
        <v>3178</v>
      </c>
      <c r="B2148" s="1">
        <v>41835</v>
      </c>
      <c r="C2148" s="1">
        <v>41839</v>
      </c>
      <c r="D2148" t="s">
        <v>1456</v>
      </c>
      <c r="E2148" t="s">
        <v>855</v>
      </c>
      <c r="F2148" t="s">
        <v>61</v>
      </c>
      <c r="G2148" t="s">
        <v>334</v>
      </c>
      <c r="H2148">
        <v>140.97</v>
      </c>
      <c r="I2148">
        <v>3</v>
      </c>
      <c r="J2148">
        <v>19.735800000000001</v>
      </c>
      <c r="K2148">
        <v>2014</v>
      </c>
      <c r="L2148">
        <v>7</v>
      </c>
      <c r="M2148" t="s">
        <v>66</v>
      </c>
      <c r="N2148">
        <v>15</v>
      </c>
      <c r="O2148">
        <v>4</v>
      </c>
      <c r="P2148">
        <v>14</v>
      </c>
      <c r="Q2148">
        <v>46.99</v>
      </c>
      <c r="R2148" t="s">
        <v>26</v>
      </c>
      <c r="S2148" t="b">
        <v>0</v>
      </c>
      <c r="T2148" t="b">
        <v>0</v>
      </c>
    </row>
    <row r="2149" spans="1:20" x14ac:dyDescent="0.3">
      <c r="A2149" t="s">
        <v>3178</v>
      </c>
      <c r="B2149" s="1">
        <v>41835</v>
      </c>
      <c r="C2149" s="1">
        <v>41839</v>
      </c>
      <c r="D2149" t="s">
        <v>1456</v>
      </c>
      <c r="E2149" t="s">
        <v>855</v>
      </c>
      <c r="F2149" t="s">
        <v>54</v>
      </c>
      <c r="G2149" t="s">
        <v>406</v>
      </c>
      <c r="H2149">
        <v>470.37599999999998</v>
      </c>
      <c r="I2149">
        <v>3</v>
      </c>
      <c r="J2149">
        <v>52.917299999999997</v>
      </c>
      <c r="K2149">
        <v>2014</v>
      </c>
      <c r="L2149">
        <v>7</v>
      </c>
      <c r="M2149" t="s">
        <v>66</v>
      </c>
      <c r="N2149">
        <v>15</v>
      </c>
      <c r="O2149">
        <v>4</v>
      </c>
      <c r="P2149">
        <v>11.25</v>
      </c>
      <c r="Q2149">
        <v>156.792</v>
      </c>
      <c r="R2149" t="s">
        <v>26</v>
      </c>
      <c r="S2149" t="b">
        <v>0</v>
      </c>
      <c r="T2149" t="b">
        <v>1</v>
      </c>
    </row>
    <row r="2150" spans="1:20" x14ac:dyDescent="0.3">
      <c r="A2150" t="s">
        <v>3181</v>
      </c>
      <c r="B2150" s="1">
        <v>41729</v>
      </c>
      <c r="C2150" s="1">
        <v>41729</v>
      </c>
      <c r="D2150" t="s">
        <v>888</v>
      </c>
      <c r="E2150" t="s">
        <v>22</v>
      </c>
      <c r="F2150" t="s">
        <v>31</v>
      </c>
      <c r="G2150" t="s">
        <v>3182</v>
      </c>
      <c r="H2150">
        <v>6.08</v>
      </c>
      <c r="I2150">
        <v>2</v>
      </c>
      <c r="J2150">
        <v>2.0672000000000001</v>
      </c>
      <c r="K2150">
        <v>2014</v>
      </c>
      <c r="L2150">
        <v>3</v>
      </c>
      <c r="M2150" t="s">
        <v>135</v>
      </c>
      <c r="N2150">
        <v>31</v>
      </c>
      <c r="O2150">
        <v>0</v>
      </c>
      <c r="P2150">
        <v>34</v>
      </c>
      <c r="Q2150">
        <v>3.04</v>
      </c>
      <c r="R2150" t="s">
        <v>26</v>
      </c>
      <c r="S2150" t="b">
        <v>0</v>
      </c>
      <c r="T2150" t="b">
        <v>0</v>
      </c>
    </row>
    <row r="2151" spans="1:20" x14ac:dyDescent="0.3">
      <c r="A2151" t="s">
        <v>3181</v>
      </c>
      <c r="B2151" s="1">
        <v>41729</v>
      </c>
      <c r="C2151" s="1">
        <v>41729</v>
      </c>
      <c r="D2151" t="s">
        <v>888</v>
      </c>
      <c r="E2151" t="s">
        <v>22</v>
      </c>
      <c r="F2151" t="s">
        <v>54</v>
      </c>
      <c r="G2151" t="s">
        <v>3183</v>
      </c>
      <c r="H2151">
        <v>164.792</v>
      </c>
      <c r="I2151">
        <v>1</v>
      </c>
      <c r="J2151">
        <v>18.539100000000001</v>
      </c>
      <c r="K2151">
        <v>2014</v>
      </c>
      <c r="L2151">
        <v>3</v>
      </c>
      <c r="M2151" t="s">
        <v>135</v>
      </c>
      <c r="N2151">
        <v>31</v>
      </c>
      <c r="O2151">
        <v>0</v>
      </c>
      <c r="P2151">
        <v>11.25</v>
      </c>
      <c r="Q2151">
        <v>164.792</v>
      </c>
      <c r="R2151" t="s">
        <v>26</v>
      </c>
      <c r="S2151" t="b">
        <v>0</v>
      </c>
      <c r="T2151" t="b">
        <v>0</v>
      </c>
    </row>
    <row r="2152" spans="1:20" x14ac:dyDescent="0.3">
      <c r="A2152" t="s">
        <v>3184</v>
      </c>
      <c r="B2152" s="1">
        <v>40849</v>
      </c>
      <c r="C2152" s="1">
        <v>40853</v>
      </c>
      <c r="D2152" t="s">
        <v>3185</v>
      </c>
      <c r="E2152" t="s">
        <v>51</v>
      </c>
      <c r="F2152" t="s">
        <v>54</v>
      </c>
      <c r="G2152" t="s">
        <v>3186</v>
      </c>
      <c r="H2152">
        <v>46.384</v>
      </c>
      <c r="I2152">
        <v>2</v>
      </c>
      <c r="J2152">
        <v>5.2182000000000004</v>
      </c>
      <c r="K2152">
        <v>2011</v>
      </c>
      <c r="L2152">
        <v>11</v>
      </c>
      <c r="M2152" t="s">
        <v>70</v>
      </c>
      <c r="N2152">
        <v>2</v>
      </c>
      <c r="O2152">
        <v>4</v>
      </c>
      <c r="P2152">
        <v>11.25</v>
      </c>
      <c r="Q2152">
        <v>23.192</v>
      </c>
      <c r="R2152" t="s">
        <v>26</v>
      </c>
      <c r="S2152" t="b">
        <v>0</v>
      </c>
      <c r="T2152" t="b">
        <v>0</v>
      </c>
    </row>
    <row r="2153" spans="1:20" x14ac:dyDescent="0.3">
      <c r="A2153" t="s">
        <v>3184</v>
      </c>
      <c r="B2153" s="1">
        <v>40849</v>
      </c>
      <c r="C2153" s="1">
        <v>40853</v>
      </c>
      <c r="D2153" t="s">
        <v>3185</v>
      </c>
      <c r="E2153" t="s">
        <v>51</v>
      </c>
      <c r="F2153" t="s">
        <v>45</v>
      </c>
      <c r="G2153" t="s">
        <v>3187</v>
      </c>
      <c r="H2153">
        <v>362.92</v>
      </c>
      <c r="I2153">
        <v>2</v>
      </c>
      <c r="J2153">
        <v>105.24679999999999</v>
      </c>
      <c r="K2153">
        <v>2011</v>
      </c>
      <c r="L2153">
        <v>11</v>
      </c>
      <c r="M2153" t="s">
        <v>70</v>
      </c>
      <c r="N2153">
        <v>2</v>
      </c>
      <c r="O2153">
        <v>4</v>
      </c>
      <c r="P2153">
        <v>29</v>
      </c>
      <c r="Q2153">
        <v>181.46</v>
      </c>
      <c r="R2153" t="s">
        <v>26</v>
      </c>
      <c r="S2153" t="b">
        <v>0</v>
      </c>
      <c r="T2153" t="b">
        <v>1</v>
      </c>
    </row>
    <row r="2154" spans="1:20" x14ac:dyDescent="0.3">
      <c r="A2154" t="s">
        <v>3188</v>
      </c>
      <c r="B2154" s="1">
        <v>40796</v>
      </c>
      <c r="C2154" s="1">
        <v>40802</v>
      </c>
      <c r="D2154" t="s">
        <v>497</v>
      </c>
      <c r="E2154" t="s">
        <v>1633</v>
      </c>
      <c r="F2154" t="s">
        <v>128</v>
      </c>
      <c r="G2154" t="s">
        <v>2653</v>
      </c>
      <c r="H2154">
        <v>21.728000000000002</v>
      </c>
      <c r="I2154">
        <v>7</v>
      </c>
      <c r="J2154">
        <v>7.6048</v>
      </c>
      <c r="K2154">
        <v>2011</v>
      </c>
      <c r="L2154">
        <v>9</v>
      </c>
      <c r="M2154" t="s">
        <v>87</v>
      </c>
      <c r="N2154">
        <v>10</v>
      </c>
      <c r="O2154">
        <v>6</v>
      </c>
      <c r="P2154">
        <v>35</v>
      </c>
      <c r="Q2154">
        <v>3.1040000000000001</v>
      </c>
      <c r="R2154" t="s">
        <v>26</v>
      </c>
      <c r="S2154" t="b">
        <v>0</v>
      </c>
      <c r="T2154" t="b">
        <v>0</v>
      </c>
    </row>
    <row r="2155" spans="1:20" x14ac:dyDescent="0.3">
      <c r="A2155" t="s">
        <v>3189</v>
      </c>
      <c r="B2155" s="1">
        <v>41909</v>
      </c>
      <c r="C2155" s="1">
        <v>41909</v>
      </c>
      <c r="D2155" t="s">
        <v>64</v>
      </c>
      <c r="E2155" t="s">
        <v>51</v>
      </c>
      <c r="F2155" t="s">
        <v>128</v>
      </c>
      <c r="G2155" t="s">
        <v>155</v>
      </c>
      <c r="H2155">
        <v>71.88</v>
      </c>
      <c r="I2155">
        <v>6</v>
      </c>
      <c r="J2155">
        <v>33.064799999999998</v>
      </c>
      <c r="K2155">
        <v>2014</v>
      </c>
      <c r="L2155">
        <v>9</v>
      </c>
      <c r="M2155" t="s">
        <v>87</v>
      </c>
      <c r="N2155">
        <v>27</v>
      </c>
      <c r="O2155">
        <v>0</v>
      </c>
      <c r="P2155">
        <v>46</v>
      </c>
      <c r="Q2155">
        <v>11.98</v>
      </c>
      <c r="R2155" t="s">
        <v>26</v>
      </c>
      <c r="S2155" t="b">
        <v>0</v>
      </c>
      <c r="T2155" t="b">
        <v>0</v>
      </c>
    </row>
    <row r="2156" spans="1:20" x14ac:dyDescent="0.3">
      <c r="A2156" t="s">
        <v>3189</v>
      </c>
      <c r="B2156" s="1">
        <v>41909</v>
      </c>
      <c r="C2156" s="1">
        <v>41909</v>
      </c>
      <c r="D2156" t="s">
        <v>64</v>
      </c>
      <c r="E2156" t="s">
        <v>51</v>
      </c>
      <c r="F2156" t="s">
        <v>29</v>
      </c>
      <c r="G2156" t="s">
        <v>2577</v>
      </c>
      <c r="H2156">
        <v>9.24</v>
      </c>
      <c r="I2156">
        <v>3</v>
      </c>
      <c r="J2156">
        <v>2.9567999999999999</v>
      </c>
      <c r="K2156">
        <v>2014</v>
      </c>
      <c r="L2156">
        <v>9</v>
      </c>
      <c r="M2156" t="s">
        <v>87</v>
      </c>
      <c r="N2156">
        <v>27</v>
      </c>
      <c r="O2156">
        <v>0</v>
      </c>
      <c r="P2156">
        <v>32</v>
      </c>
      <c r="Q2156">
        <v>3.08</v>
      </c>
      <c r="R2156" t="s">
        <v>26</v>
      </c>
      <c r="S2156" t="b">
        <v>0</v>
      </c>
      <c r="T2156" t="b">
        <v>0</v>
      </c>
    </row>
    <row r="2157" spans="1:20" x14ac:dyDescent="0.3">
      <c r="A2157" t="s">
        <v>3189</v>
      </c>
      <c r="B2157" s="1">
        <v>41909</v>
      </c>
      <c r="C2157" s="1">
        <v>41909</v>
      </c>
      <c r="D2157" t="s">
        <v>64</v>
      </c>
      <c r="E2157" t="s">
        <v>51</v>
      </c>
      <c r="F2157" t="s">
        <v>72</v>
      </c>
      <c r="G2157" t="s">
        <v>1923</v>
      </c>
      <c r="H2157">
        <v>35.880000000000003</v>
      </c>
      <c r="I2157">
        <v>6</v>
      </c>
      <c r="J2157">
        <v>16.146000000000001</v>
      </c>
      <c r="K2157">
        <v>2014</v>
      </c>
      <c r="L2157">
        <v>9</v>
      </c>
      <c r="M2157" t="s">
        <v>87</v>
      </c>
      <c r="N2157">
        <v>27</v>
      </c>
      <c r="O2157">
        <v>0</v>
      </c>
      <c r="P2157">
        <v>45</v>
      </c>
      <c r="Q2157">
        <v>5.98</v>
      </c>
      <c r="R2157" t="s">
        <v>26</v>
      </c>
      <c r="S2157" t="b">
        <v>0</v>
      </c>
      <c r="T2157" t="b">
        <v>0</v>
      </c>
    </row>
    <row r="2158" spans="1:20" x14ac:dyDescent="0.3">
      <c r="A2158" t="s">
        <v>3189</v>
      </c>
      <c r="B2158" s="1">
        <v>41909</v>
      </c>
      <c r="C2158" s="1">
        <v>41909</v>
      </c>
      <c r="D2158" t="s">
        <v>64</v>
      </c>
      <c r="E2158" t="s">
        <v>51</v>
      </c>
      <c r="F2158" t="s">
        <v>33</v>
      </c>
      <c r="G2158" t="s">
        <v>56</v>
      </c>
      <c r="H2158">
        <v>17.04</v>
      </c>
      <c r="I2158">
        <v>3</v>
      </c>
      <c r="J2158">
        <v>5.5380000000000003</v>
      </c>
      <c r="K2158">
        <v>2014</v>
      </c>
      <c r="L2158">
        <v>9</v>
      </c>
      <c r="M2158" t="s">
        <v>87</v>
      </c>
      <c r="N2158">
        <v>27</v>
      </c>
      <c r="O2158">
        <v>0</v>
      </c>
      <c r="P2158">
        <v>32.5</v>
      </c>
      <c r="Q2158">
        <v>5.68</v>
      </c>
      <c r="R2158" t="s">
        <v>26</v>
      </c>
      <c r="S2158" t="b">
        <v>0</v>
      </c>
      <c r="T2158" t="b">
        <v>0</v>
      </c>
    </row>
    <row r="2159" spans="1:20" x14ac:dyDescent="0.3">
      <c r="A2159" t="s">
        <v>3190</v>
      </c>
      <c r="B2159" s="1">
        <v>41443</v>
      </c>
      <c r="C2159" s="1">
        <v>41445</v>
      </c>
      <c r="D2159" t="s">
        <v>114</v>
      </c>
      <c r="E2159" t="s">
        <v>3191</v>
      </c>
      <c r="F2159" t="s">
        <v>29</v>
      </c>
      <c r="G2159" t="s">
        <v>3192</v>
      </c>
      <c r="H2159">
        <v>266.35199999999998</v>
      </c>
      <c r="I2159">
        <v>3</v>
      </c>
      <c r="J2159">
        <v>-13.317600000000001</v>
      </c>
      <c r="K2159">
        <v>2013</v>
      </c>
      <c r="L2159">
        <v>6</v>
      </c>
      <c r="M2159" t="s">
        <v>25</v>
      </c>
      <c r="N2159">
        <v>18</v>
      </c>
      <c r="O2159">
        <v>2</v>
      </c>
      <c r="P2159">
        <v>-5</v>
      </c>
      <c r="Q2159">
        <v>88.783999999999992</v>
      </c>
      <c r="R2159" t="s">
        <v>26</v>
      </c>
      <c r="S2159" t="b">
        <v>1</v>
      </c>
      <c r="T2159" t="b">
        <v>1</v>
      </c>
    </row>
    <row r="2160" spans="1:20" x14ac:dyDescent="0.3">
      <c r="A2160" t="s">
        <v>3190</v>
      </c>
      <c r="B2160" s="1">
        <v>41443</v>
      </c>
      <c r="C2160" s="1">
        <v>41445</v>
      </c>
      <c r="D2160" t="s">
        <v>114</v>
      </c>
      <c r="E2160" t="s">
        <v>3191</v>
      </c>
      <c r="F2160" t="s">
        <v>110</v>
      </c>
      <c r="G2160" t="s">
        <v>3193</v>
      </c>
      <c r="H2160">
        <v>483.13600000000002</v>
      </c>
      <c r="I2160">
        <v>4</v>
      </c>
      <c r="J2160">
        <v>54.352800000000002</v>
      </c>
      <c r="K2160">
        <v>2013</v>
      </c>
      <c r="L2160">
        <v>6</v>
      </c>
      <c r="M2160" t="s">
        <v>25</v>
      </c>
      <c r="N2160">
        <v>18</v>
      </c>
      <c r="O2160">
        <v>2</v>
      </c>
      <c r="P2160">
        <v>11.25</v>
      </c>
      <c r="Q2160">
        <v>120.78400000000001</v>
      </c>
      <c r="R2160" t="s">
        <v>26</v>
      </c>
      <c r="S2160" t="b">
        <v>0</v>
      </c>
      <c r="T2160" t="b">
        <v>1</v>
      </c>
    </row>
    <row r="2161" spans="1:20" x14ac:dyDescent="0.3">
      <c r="A2161" t="s">
        <v>3194</v>
      </c>
      <c r="B2161" s="1">
        <v>41730</v>
      </c>
      <c r="C2161" s="1">
        <v>41737</v>
      </c>
      <c r="D2161" t="s">
        <v>769</v>
      </c>
      <c r="E2161" t="s">
        <v>22</v>
      </c>
      <c r="F2161" t="s">
        <v>122</v>
      </c>
      <c r="G2161" t="s">
        <v>1205</v>
      </c>
      <c r="H2161">
        <v>29.7</v>
      </c>
      <c r="I2161">
        <v>3</v>
      </c>
      <c r="J2161">
        <v>8.0190000000000001</v>
      </c>
      <c r="K2161">
        <v>2014</v>
      </c>
      <c r="L2161">
        <v>4</v>
      </c>
      <c r="M2161" t="s">
        <v>236</v>
      </c>
      <c r="N2161">
        <v>1</v>
      </c>
      <c r="O2161">
        <v>7</v>
      </c>
      <c r="P2161">
        <v>27</v>
      </c>
      <c r="Q2161">
        <v>9.9</v>
      </c>
      <c r="R2161" t="s">
        <v>26</v>
      </c>
      <c r="S2161" t="b">
        <v>0</v>
      </c>
      <c r="T2161" t="b">
        <v>0</v>
      </c>
    </row>
    <row r="2162" spans="1:20" x14ac:dyDescent="0.3">
      <c r="A2162" t="s">
        <v>3195</v>
      </c>
      <c r="B2162" s="1">
        <v>41324</v>
      </c>
      <c r="C2162" s="1">
        <v>41327</v>
      </c>
      <c r="D2162" t="s">
        <v>1577</v>
      </c>
      <c r="E2162" t="s">
        <v>51</v>
      </c>
      <c r="F2162" t="s">
        <v>72</v>
      </c>
      <c r="G2162" t="s">
        <v>117</v>
      </c>
      <c r="H2162">
        <v>70.88</v>
      </c>
      <c r="I2162">
        <v>2</v>
      </c>
      <c r="J2162">
        <v>33.313600000000001</v>
      </c>
      <c r="K2162">
        <v>2013</v>
      </c>
      <c r="L2162">
        <v>2</v>
      </c>
      <c r="M2162" t="s">
        <v>303</v>
      </c>
      <c r="N2162">
        <v>19</v>
      </c>
      <c r="O2162">
        <v>3</v>
      </c>
      <c r="P2162">
        <v>47</v>
      </c>
      <c r="Q2162">
        <v>35.44</v>
      </c>
      <c r="R2162" t="s">
        <v>26</v>
      </c>
      <c r="S2162" t="b">
        <v>0</v>
      </c>
      <c r="T2162" t="b">
        <v>0</v>
      </c>
    </row>
    <row r="2163" spans="1:20" x14ac:dyDescent="0.3">
      <c r="A2163" t="s">
        <v>3196</v>
      </c>
      <c r="B2163" s="1">
        <v>41976</v>
      </c>
      <c r="C2163" s="1">
        <v>41980</v>
      </c>
      <c r="D2163" t="s">
        <v>2198</v>
      </c>
      <c r="E2163" t="s">
        <v>173</v>
      </c>
      <c r="F2163" t="s">
        <v>45</v>
      </c>
      <c r="G2163" t="s">
        <v>744</v>
      </c>
      <c r="H2163">
        <v>114.288</v>
      </c>
      <c r="I2163">
        <v>1</v>
      </c>
      <c r="J2163">
        <v>12.8574</v>
      </c>
      <c r="K2163">
        <v>2014</v>
      </c>
      <c r="L2163">
        <v>12</v>
      </c>
      <c r="M2163" t="s">
        <v>41</v>
      </c>
      <c r="N2163">
        <v>3</v>
      </c>
      <c r="O2163">
        <v>4</v>
      </c>
      <c r="P2163">
        <v>11.25</v>
      </c>
      <c r="Q2163">
        <v>114.288</v>
      </c>
      <c r="R2163" t="s">
        <v>26</v>
      </c>
      <c r="S2163" t="b">
        <v>0</v>
      </c>
      <c r="T2163" t="b">
        <v>0</v>
      </c>
    </row>
    <row r="2164" spans="1:20" x14ac:dyDescent="0.3">
      <c r="A2164" t="s">
        <v>3196</v>
      </c>
      <c r="B2164" s="1">
        <v>41976</v>
      </c>
      <c r="C2164" s="1">
        <v>41980</v>
      </c>
      <c r="D2164" t="s">
        <v>2198</v>
      </c>
      <c r="E2164" t="s">
        <v>173</v>
      </c>
      <c r="F2164" t="s">
        <v>33</v>
      </c>
      <c r="G2164" t="s">
        <v>637</v>
      </c>
      <c r="H2164">
        <v>36.624000000000002</v>
      </c>
      <c r="I2164">
        <v>8</v>
      </c>
      <c r="J2164">
        <v>-24.416</v>
      </c>
      <c r="K2164">
        <v>2014</v>
      </c>
      <c r="L2164">
        <v>12</v>
      </c>
      <c r="M2164" t="s">
        <v>41</v>
      </c>
      <c r="N2164">
        <v>3</v>
      </c>
      <c r="O2164">
        <v>4</v>
      </c>
      <c r="P2164">
        <v>-66.67</v>
      </c>
      <c r="Q2164">
        <v>4.5780000000000003</v>
      </c>
      <c r="R2164" t="s">
        <v>26</v>
      </c>
      <c r="S2164" t="b">
        <v>1</v>
      </c>
      <c r="T2164" t="b">
        <v>0</v>
      </c>
    </row>
    <row r="2165" spans="1:20" x14ac:dyDescent="0.3">
      <c r="A2165" t="s">
        <v>3196</v>
      </c>
      <c r="B2165" s="1">
        <v>41976</v>
      </c>
      <c r="C2165" s="1">
        <v>41980</v>
      </c>
      <c r="D2165" t="s">
        <v>2198</v>
      </c>
      <c r="E2165" t="s">
        <v>173</v>
      </c>
      <c r="F2165" t="s">
        <v>317</v>
      </c>
      <c r="G2165" t="s">
        <v>3197</v>
      </c>
      <c r="H2165">
        <v>242.352</v>
      </c>
      <c r="I2165">
        <v>8</v>
      </c>
      <c r="J2165">
        <v>-363.52800000000002</v>
      </c>
      <c r="K2165">
        <v>2014</v>
      </c>
      <c r="L2165">
        <v>12</v>
      </c>
      <c r="M2165" t="s">
        <v>41</v>
      </c>
      <c r="N2165">
        <v>3</v>
      </c>
      <c r="O2165">
        <v>4</v>
      </c>
      <c r="P2165">
        <v>-150</v>
      </c>
      <c r="Q2165">
        <v>30.294</v>
      </c>
      <c r="R2165" t="s">
        <v>26</v>
      </c>
      <c r="S2165" t="b">
        <v>1</v>
      </c>
      <c r="T2165" t="b">
        <v>1</v>
      </c>
    </row>
    <row r="2166" spans="1:20" x14ac:dyDescent="0.3">
      <c r="A2166" t="s">
        <v>3196</v>
      </c>
      <c r="B2166" s="1">
        <v>41976</v>
      </c>
      <c r="C2166" s="1">
        <v>41980</v>
      </c>
      <c r="D2166" t="s">
        <v>2198</v>
      </c>
      <c r="E2166" t="s">
        <v>173</v>
      </c>
      <c r="F2166" t="s">
        <v>54</v>
      </c>
      <c r="G2166" t="s">
        <v>2139</v>
      </c>
      <c r="H2166">
        <v>49.616</v>
      </c>
      <c r="I2166">
        <v>2</v>
      </c>
      <c r="J2166">
        <v>4.9615999999999998</v>
      </c>
      <c r="K2166">
        <v>2014</v>
      </c>
      <c r="L2166">
        <v>12</v>
      </c>
      <c r="M2166" t="s">
        <v>41</v>
      </c>
      <c r="N2166">
        <v>3</v>
      </c>
      <c r="O2166">
        <v>4</v>
      </c>
      <c r="P2166">
        <v>10</v>
      </c>
      <c r="Q2166">
        <v>24.808</v>
      </c>
      <c r="R2166" t="s">
        <v>26</v>
      </c>
      <c r="S2166" t="b">
        <v>0</v>
      </c>
      <c r="T2166" t="b">
        <v>0</v>
      </c>
    </row>
    <row r="2167" spans="1:20" x14ac:dyDescent="0.3">
      <c r="A2167" t="s">
        <v>3196</v>
      </c>
      <c r="B2167" s="1">
        <v>41976</v>
      </c>
      <c r="C2167" s="1">
        <v>41980</v>
      </c>
      <c r="D2167" t="s">
        <v>2198</v>
      </c>
      <c r="E2167" t="s">
        <v>173</v>
      </c>
      <c r="F2167" t="s">
        <v>29</v>
      </c>
      <c r="G2167" t="s">
        <v>3141</v>
      </c>
      <c r="H2167">
        <v>508.70400000000001</v>
      </c>
      <c r="I2167">
        <v>6</v>
      </c>
      <c r="J2167">
        <v>0</v>
      </c>
      <c r="K2167">
        <v>2014</v>
      </c>
      <c r="L2167">
        <v>12</v>
      </c>
      <c r="M2167" t="s">
        <v>41</v>
      </c>
      <c r="N2167">
        <v>3</v>
      </c>
      <c r="O2167">
        <v>4</v>
      </c>
      <c r="P2167">
        <v>0</v>
      </c>
      <c r="Q2167">
        <v>84.784000000000006</v>
      </c>
      <c r="R2167" t="s">
        <v>26</v>
      </c>
      <c r="S2167" t="b">
        <v>0</v>
      </c>
      <c r="T2167" t="b">
        <v>1</v>
      </c>
    </row>
    <row r="2168" spans="1:20" x14ac:dyDescent="0.3">
      <c r="A2168" t="s">
        <v>3196</v>
      </c>
      <c r="B2168" s="1">
        <v>41976</v>
      </c>
      <c r="C2168" s="1">
        <v>41980</v>
      </c>
      <c r="D2168" t="s">
        <v>2198</v>
      </c>
      <c r="E2168" t="s">
        <v>173</v>
      </c>
      <c r="F2168" t="s">
        <v>54</v>
      </c>
      <c r="G2168" t="s">
        <v>1812</v>
      </c>
      <c r="H2168">
        <v>57.36</v>
      </c>
      <c r="I2168">
        <v>6</v>
      </c>
      <c r="J2168">
        <v>-14.34</v>
      </c>
      <c r="K2168">
        <v>2014</v>
      </c>
      <c r="L2168">
        <v>12</v>
      </c>
      <c r="M2168" t="s">
        <v>41</v>
      </c>
      <c r="N2168">
        <v>3</v>
      </c>
      <c r="O2168">
        <v>4</v>
      </c>
      <c r="P2168">
        <v>-25</v>
      </c>
      <c r="Q2168">
        <v>9.56</v>
      </c>
      <c r="R2168" t="s">
        <v>26</v>
      </c>
      <c r="S2168" t="b">
        <v>1</v>
      </c>
      <c r="T2168" t="b">
        <v>0</v>
      </c>
    </row>
    <row r="2169" spans="1:20" x14ac:dyDescent="0.3">
      <c r="A2169" t="s">
        <v>3198</v>
      </c>
      <c r="B2169" s="1">
        <v>41918</v>
      </c>
      <c r="C2169" s="1">
        <v>41920</v>
      </c>
      <c r="D2169" t="s">
        <v>1370</v>
      </c>
      <c r="E2169" t="s">
        <v>173</v>
      </c>
      <c r="F2169" t="s">
        <v>61</v>
      </c>
      <c r="G2169" t="s">
        <v>3011</v>
      </c>
      <c r="H2169">
        <v>63.823999999999998</v>
      </c>
      <c r="I2169">
        <v>2</v>
      </c>
      <c r="J2169">
        <v>13.5626</v>
      </c>
      <c r="K2169">
        <v>2014</v>
      </c>
      <c r="L2169">
        <v>10</v>
      </c>
      <c r="M2169" t="s">
        <v>82</v>
      </c>
      <c r="N2169">
        <v>6</v>
      </c>
      <c r="O2169">
        <v>2</v>
      </c>
      <c r="P2169">
        <v>21.25</v>
      </c>
      <c r="Q2169">
        <v>31.911999999999999</v>
      </c>
      <c r="R2169" t="s">
        <v>26</v>
      </c>
      <c r="S2169" t="b">
        <v>0</v>
      </c>
      <c r="T2169" t="b">
        <v>0</v>
      </c>
    </row>
    <row r="2170" spans="1:20" x14ac:dyDescent="0.3">
      <c r="A2170" t="s">
        <v>3199</v>
      </c>
      <c r="B2170" s="1">
        <v>41304</v>
      </c>
      <c r="C2170" s="1">
        <v>41306</v>
      </c>
      <c r="D2170" t="s">
        <v>1789</v>
      </c>
      <c r="E2170" t="s">
        <v>39</v>
      </c>
      <c r="F2170" t="s">
        <v>110</v>
      </c>
      <c r="G2170" t="s">
        <v>1386</v>
      </c>
      <c r="H2170">
        <v>435.16800000000001</v>
      </c>
      <c r="I2170">
        <v>4</v>
      </c>
      <c r="J2170">
        <v>-59.835599999999999</v>
      </c>
      <c r="K2170">
        <v>2013</v>
      </c>
      <c r="L2170">
        <v>1</v>
      </c>
      <c r="M2170" t="s">
        <v>60</v>
      </c>
      <c r="N2170">
        <v>30</v>
      </c>
      <c r="O2170">
        <v>2</v>
      </c>
      <c r="P2170">
        <v>-13.75</v>
      </c>
      <c r="Q2170">
        <v>108.792</v>
      </c>
      <c r="R2170" t="s">
        <v>26</v>
      </c>
      <c r="S2170" t="b">
        <v>1</v>
      </c>
      <c r="T2170" t="b">
        <v>1</v>
      </c>
    </row>
    <row r="2171" spans="1:20" x14ac:dyDescent="0.3">
      <c r="A2171" t="s">
        <v>3199</v>
      </c>
      <c r="B2171" s="1">
        <v>41304</v>
      </c>
      <c r="C2171" s="1">
        <v>41306</v>
      </c>
      <c r="D2171" t="s">
        <v>1789</v>
      </c>
      <c r="E2171" t="s">
        <v>39</v>
      </c>
      <c r="F2171" t="s">
        <v>317</v>
      </c>
      <c r="G2171" t="s">
        <v>2541</v>
      </c>
      <c r="H2171">
        <v>48.58</v>
      </c>
      <c r="I2171">
        <v>1</v>
      </c>
      <c r="J2171">
        <v>7.7728000000000002</v>
      </c>
      <c r="K2171">
        <v>2013</v>
      </c>
      <c r="L2171">
        <v>1</v>
      </c>
      <c r="M2171" t="s">
        <v>60</v>
      </c>
      <c r="N2171">
        <v>30</v>
      </c>
      <c r="O2171">
        <v>2</v>
      </c>
      <c r="P2171">
        <v>16</v>
      </c>
      <c r="Q2171">
        <v>48.58</v>
      </c>
      <c r="R2171" t="s">
        <v>26</v>
      </c>
      <c r="S2171" t="b">
        <v>0</v>
      </c>
      <c r="T2171" t="b">
        <v>0</v>
      </c>
    </row>
    <row r="2172" spans="1:20" x14ac:dyDescent="0.3">
      <c r="A2172" t="s">
        <v>3200</v>
      </c>
      <c r="B2172" s="1">
        <v>40882</v>
      </c>
      <c r="C2172" s="1">
        <v>40887</v>
      </c>
      <c r="D2172" t="s">
        <v>3104</v>
      </c>
      <c r="E2172" t="s">
        <v>22</v>
      </c>
      <c r="F2172" t="s">
        <v>31</v>
      </c>
      <c r="G2172" t="s">
        <v>1024</v>
      </c>
      <c r="H2172">
        <v>26.46</v>
      </c>
      <c r="I2172">
        <v>9</v>
      </c>
      <c r="J2172">
        <v>11.907</v>
      </c>
      <c r="K2172">
        <v>2011</v>
      </c>
      <c r="L2172">
        <v>12</v>
      </c>
      <c r="M2172" t="s">
        <v>41</v>
      </c>
      <c r="N2172">
        <v>5</v>
      </c>
      <c r="O2172">
        <v>5</v>
      </c>
      <c r="P2172">
        <v>45</v>
      </c>
      <c r="Q2172">
        <v>2.94</v>
      </c>
      <c r="R2172" t="s">
        <v>26</v>
      </c>
      <c r="S2172" t="b">
        <v>0</v>
      </c>
      <c r="T2172" t="b">
        <v>0</v>
      </c>
    </row>
    <row r="2173" spans="1:20" x14ac:dyDescent="0.3">
      <c r="A2173" t="s">
        <v>3200</v>
      </c>
      <c r="B2173" s="1">
        <v>40882</v>
      </c>
      <c r="C2173" s="1">
        <v>40887</v>
      </c>
      <c r="D2173" t="s">
        <v>3104</v>
      </c>
      <c r="E2173" t="s">
        <v>22</v>
      </c>
      <c r="F2173" t="s">
        <v>72</v>
      </c>
      <c r="G2173" t="s">
        <v>2366</v>
      </c>
      <c r="H2173">
        <v>49.12</v>
      </c>
      <c r="I2173">
        <v>4</v>
      </c>
      <c r="J2173">
        <v>23.086400000000001</v>
      </c>
      <c r="K2173">
        <v>2011</v>
      </c>
      <c r="L2173">
        <v>12</v>
      </c>
      <c r="M2173" t="s">
        <v>41</v>
      </c>
      <c r="N2173">
        <v>5</v>
      </c>
      <c r="O2173">
        <v>5</v>
      </c>
      <c r="P2173">
        <v>47</v>
      </c>
      <c r="Q2173">
        <v>12.28</v>
      </c>
      <c r="R2173" t="s">
        <v>26</v>
      </c>
      <c r="S2173" t="b">
        <v>0</v>
      </c>
      <c r="T2173" t="b">
        <v>0</v>
      </c>
    </row>
    <row r="2174" spans="1:20" x14ac:dyDescent="0.3">
      <c r="A2174" t="s">
        <v>3200</v>
      </c>
      <c r="B2174" s="1">
        <v>40882</v>
      </c>
      <c r="C2174" s="1">
        <v>40887</v>
      </c>
      <c r="D2174" t="s">
        <v>3104</v>
      </c>
      <c r="E2174" t="s">
        <v>22</v>
      </c>
      <c r="F2174" t="s">
        <v>119</v>
      </c>
      <c r="G2174" t="s">
        <v>1290</v>
      </c>
      <c r="H2174">
        <v>15</v>
      </c>
      <c r="I2174">
        <v>3</v>
      </c>
      <c r="J2174">
        <v>7.2</v>
      </c>
      <c r="K2174">
        <v>2011</v>
      </c>
      <c r="L2174">
        <v>12</v>
      </c>
      <c r="M2174" t="s">
        <v>41</v>
      </c>
      <c r="N2174">
        <v>5</v>
      </c>
      <c r="O2174">
        <v>5</v>
      </c>
      <c r="P2174">
        <v>48</v>
      </c>
      <c r="Q2174">
        <v>5</v>
      </c>
      <c r="R2174" t="s">
        <v>26</v>
      </c>
      <c r="S2174" t="b">
        <v>0</v>
      </c>
      <c r="T2174" t="b">
        <v>0</v>
      </c>
    </row>
    <row r="2175" spans="1:20" x14ac:dyDescent="0.3">
      <c r="A2175" t="s">
        <v>3201</v>
      </c>
      <c r="B2175" s="1">
        <v>41251</v>
      </c>
      <c r="C2175" s="1">
        <v>41255</v>
      </c>
      <c r="D2175" t="s">
        <v>2793</v>
      </c>
      <c r="E2175" t="s">
        <v>22</v>
      </c>
      <c r="F2175" t="s">
        <v>45</v>
      </c>
      <c r="G2175" t="s">
        <v>2437</v>
      </c>
      <c r="H2175">
        <v>221.96</v>
      </c>
      <c r="I2175">
        <v>2</v>
      </c>
      <c r="J2175">
        <v>4.4391999999999996</v>
      </c>
      <c r="K2175">
        <v>2012</v>
      </c>
      <c r="L2175">
        <v>12</v>
      </c>
      <c r="M2175" t="s">
        <v>41</v>
      </c>
      <c r="N2175">
        <v>8</v>
      </c>
      <c r="O2175">
        <v>4</v>
      </c>
      <c r="P2175">
        <v>2</v>
      </c>
      <c r="Q2175">
        <v>110.98</v>
      </c>
      <c r="R2175" t="s">
        <v>26</v>
      </c>
      <c r="S2175" t="b">
        <v>0</v>
      </c>
      <c r="T2175" t="b">
        <v>1</v>
      </c>
    </row>
    <row r="2176" spans="1:20" x14ac:dyDescent="0.3">
      <c r="A2176" t="s">
        <v>3201</v>
      </c>
      <c r="B2176" s="1">
        <v>41251</v>
      </c>
      <c r="C2176" s="1">
        <v>41255</v>
      </c>
      <c r="D2176" t="s">
        <v>2793</v>
      </c>
      <c r="E2176" t="s">
        <v>22</v>
      </c>
      <c r="F2176" t="s">
        <v>61</v>
      </c>
      <c r="G2176" t="s">
        <v>864</v>
      </c>
      <c r="H2176">
        <v>236</v>
      </c>
      <c r="I2176">
        <v>4</v>
      </c>
      <c r="J2176">
        <v>40.119999999999997</v>
      </c>
      <c r="K2176">
        <v>2012</v>
      </c>
      <c r="L2176">
        <v>12</v>
      </c>
      <c r="M2176" t="s">
        <v>41</v>
      </c>
      <c r="N2176">
        <v>8</v>
      </c>
      <c r="O2176">
        <v>4</v>
      </c>
      <c r="P2176">
        <v>17</v>
      </c>
      <c r="Q2176">
        <v>59</v>
      </c>
      <c r="R2176" t="s">
        <v>26</v>
      </c>
      <c r="S2176" t="b">
        <v>0</v>
      </c>
      <c r="T2176" t="b">
        <v>1</v>
      </c>
    </row>
    <row r="2177" spans="1:20" x14ac:dyDescent="0.3">
      <c r="A2177" t="s">
        <v>3202</v>
      </c>
      <c r="B2177" s="1">
        <v>40849</v>
      </c>
      <c r="C2177" s="1">
        <v>40854</v>
      </c>
      <c r="D2177" t="s">
        <v>3203</v>
      </c>
      <c r="E2177" t="s">
        <v>39</v>
      </c>
      <c r="F2177" t="s">
        <v>61</v>
      </c>
      <c r="G2177" t="s">
        <v>3204</v>
      </c>
      <c r="H2177">
        <v>41.94</v>
      </c>
      <c r="I2177">
        <v>2</v>
      </c>
      <c r="J2177">
        <v>15.0984</v>
      </c>
      <c r="K2177">
        <v>2011</v>
      </c>
      <c r="L2177">
        <v>11</v>
      </c>
      <c r="M2177" t="s">
        <v>70</v>
      </c>
      <c r="N2177">
        <v>2</v>
      </c>
      <c r="O2177">
        <v>5</v>
      </c>
      <c r="P2177">
        <v>36</v>
      </c>
      <c r="Q2177">
        <v>20.97</v>
      </c>
      <c r="R2177" t="s">
        <v>26</v>
      </c>
      <c r="S2177" t="b">
        <v>0</v>
      </c>
      <c r="T2177" t="b">
        <v>0</v>
      </c>
    </row>
    <row r="2178" spans="1:20" x14ac:dyDescent="0.3">
      <c r="A2178" t="s">
        <v>3202</v>
      </c>
      <c r="B2178" s="1">
        <v>40849</v>
      </c>
      <c r="C2178" s="1">
        <v>40854</v>
      </c>
      <c r="D2178" t="s">
        <v>3203</v>
      </c>
      <c r="E2178" t="s">
        <v>39</v>
      </c>
      <c r="F2178" t="s">
        <v>54</v>
      </c>
      <c r="G2178" t="s">
        <v>826</v>
      </c>
      <c r="H2178">
        <v>52.792000000000002</v>
      </c>
      <c r="I2178">
        <v>1</v>
      </c>
      <c r="J2178">
        <v>4.6193</v>
      </c>
      <c r="K2178">
        <v>2011</v>
      </c>
      <c r="L2178">
        <v>11</v>
      </c>
      <c r="M2178" t="s">
        <v>70</v>
      </c>
      <c r="N2178">
        <v>2</v>
      </c>
      <c r="O2178">
        <v>5</v>
      </c>
      <c r="P2178">
        <v>8.75</v>
      </c>
      <c r="Q2178">
        <v>52.792000000000002</v>
      </c>
      <c r="R2178" t="s">
        <v>26</v>
      </c>
      <c r="S2178" t="b">
        <v>0</v>
      </c>
      <c r="T2178" t="b">
        <v>0</v>
      </c>
    </row>
    <row r="2179" spans="1:20" x14ac:dyDescent="0.3">
      <c r="A2179" t="s">
        <v>3205</v>
      </c>
      <c r="B2179" s="1">
        <v>41960</v>
      </c>
      <c r="C2179" s="1">
        <v>41966</v>
      </c>
      <c r="D2179" t="s">
        <v>2376</v>
      </c>
      <c r="E2179" t="s">
        <v>115</v>
      </c>
      <c r="F2179" t="s">
        <v>29</v>
      </c>
      <c r="G2179" t="s">
        <v>1962</v>
      </c>
      <c r="H2179">
        <v>17.309999999999999</v>
      </c>
      <c r="I2179">
        <v>3</v>
      </c>
      <c r="J2179">
        <v>5.1929999999999996</v>
      </c>
      <c r="K2179">
        <v>2014</v>
      </c>
      <c r="L2179">
        <v>11</v>
      </c>
      <c r="M2179" t="s">
        <v>70</v>
      </c>
      <c r="N2179">
        <v>17</v>
      </c>
      <c r="O2179">
        <v>6</v>
      </c>
      <c r="P2179">
        <v>30</v>
      </c>
      <c r="Q2179">
        <v>5.77</v>
      </c>
      <c r="R2179" t="s">
        <v>26</v>
      </c>
      <c r="S2179" t="b">
        <v>0</v>
      </c>
      <c r="T2179" t="b">
        <v>0</v>
      </c>
    </row>
    <row r="2180" spans="1:20" x14ac:dyDescent="0.3">
      <c r="A2180" t="s">
        <v>3206</v>
      </c>
      <c r="B2180" s="1">
        <v>41075</v>
      </c>
      <c r="C2180" s="1">
        <v>41079</v>
      </c>
      <c r="D2180" t="s">
        <v>234</v>
      </c>
      <c r="E2180" t="s">
        <v>22</v>
      </c>
      <c r="F2180" t="s">
        <v>54</v>
      </c>
      <c r="G2180" t="s">
        <v>431</v>
      </c>
      <c r="H2180">
        <v>225.57599999999999</v>
      </c>
      <c r="I2180">
        <v>3</v>
      </c>
      <c r="J2180">
        <v>22.557600000000001</v>
      </c>
      <c r="K2180">
        <v>2012</v>
      </c>
      <c r="L2180">
        <v>6</v>
      </c>
      <c r="M2180" t="s">
        <v>25</v>
      </c>
      <c r="N2180">
        <v>15</v>
      </c>
      <c r="O2180">
        <v>4</v>
      </c>
      <c r="P2180">
        <v>10</v>
      </c>
      <c r="Q2180">
        <v>75.191999999999993</v>
      </c>
      <c r="R2180" t="s">
        <v>26</v>
      </c>
      <c r="S2180" t="b">
        <v>0</v>
      </c>
      <c r="T2180" t="b">
        <v>1</v>
      </c>
    </row>
    <row r="2181" spans="1:20" x14ac:dyDescent="0.3">
      <c r="A2181" t="s">
        <v>3207</v>
      </c>
      <c r="B2181" s="1">
        <v>40803</v>
      </c>
      <c r="C2181" s="1">
        <v>40808</v>
      </c>
      <c r="D2181" t="s">
        <v>586</v>
      </c>
      <c r="E2181" t="s">
        <v>1088</v>
      </c>
      <c r="F2181" t="s">
        <v>31</v>
      </c>
      <c r="G2181" t="s">
        <v>2257</v>
      </c>
      <c r="H2181">
        <v>5.2480000000000002</v>
      </c>
      <c r="I2181">
        <v>2</v>
      </c>
      <c r="J2181">
        <v>0.4592</v>
      </c>
      <c r="K2181">
        <v>2011</v>
      </c>
      <c r="L2181">
        <v>9</v>
      </c>
      <c r="M2181" t="s">
        <v>87</v>
      </c>
      <c r="N2181">
        <v>17</v>
      </c>
      <c r="O2181">
        <v>5</v>
      </c>
      <c r="P2181">
        <v>8.75</v>
      </c>
      <c r="Q2181">
        <v>2.6240000000000001</v>
      </c>
      <c r="R2181" t="s">
        <v>26</v>
      </c>
      <c r="S2181" t="b">
        <v>0</v>
      </c>
      <c r="T2181" t="b">
        <v>0</v>
      </c>
    </row>
    <row r="2182" spans="1:20" x14ac:dyDescent="0.3">
      <c r="A2182" t="s">
        <v>3207</v>
      </c>
      <c r="B2182" s="1">
        <v>40803</v>
      </c>
      <c r="C2182" s="1">
        <v>40808</v>
      </c>
      <c r="D2182" t="s">
        <v>586</v>
      </c>
      <c r="E2182" t="s">
        <v>1088</v>
      </c>
      <c r="F2182" t="s">
        <v>31</v>
      </c>
      <c r="G2182" t="s">
        <v>3208</v>
      </c>
      <c r="H2182">
        <v>38.256</v>
      </c>
      <c r="I2182">
        <v>3</v>
      </c>
      <c r="J2182">
        <v>4.782</v>
      </c>
      <c r="K2182">
        <v>2011</v>
      </c>
      <c r="L2182">
        <v>9</v>
      </c>
      <c r="M2182" t="s">
        <v>87</v>
      </c>
      <c r="N2182">
        <v>17</v>
      </c>
      <c r="O2182">
        <v>5</v>
      </c>
      <c r="P2182">
        <v>12.5</v>
      </c>
      <c r="Q2182">
        <v>12.752000000000001</v>
      </c>
      <c r="R2182" t="s">
        <v>26</v>
      </c>
      <c r="S2182" t="b">
        <v>0</v>
      </c>
      <c r="T2182" t="b">
        <v>0</v>
      </c>
    </row>
    <row r="2183" spans="1:20" x14ac:dyDescent="0.3">
      <c r="A2183" t="s">
        <v>3207</v>
      </c>
      <c r="B2183" s="1">
        <v>40803</v>
      </c>
      <c r="C2183" s="1">
        <v>40808</v>
      </c>
      <c r="D2183" t="s">
        <v>586</v>
      </c>
      <c r="E2183" t="s">
        <v>1088</v>
      </c>
      <c r="F2183" t="s">
        <v>72</v>
      </c>
      <c r="G2183" t="s">
        <v>1930</v>
      </c>
      <c r="H2183">
        <v>40.24</v>
      </c>
      <c r="I2183">
        <v>5</v>
      </c>
      <c r="J2183">
        <v>13.077999999999999</v>
      </c>
      <c r="K2183">
        <v>2011</v>
      </c>
      <c r="L2183">
        <v>9</v>
      </c>
      <c r="M2183" t="s">
        <v>87</v>
      </c>
      <c r="N2183">
        <v>17</v>
      </c>
      <c r="O2183">
        <v>5</v>
      </c>
      <c r="P2183">
        <v>32.5</v>
      </c>
      <c r="Q2183">
        <v>8.048</v>
      </c>
      <c r="R2183" t="s">
        <v>26</v>
      </c>
      <c r="S2183" t="b">
        <v>0</v>
      </c>
      <c r="T2183" t="b">
        <v>0</v>
      </c>
    </row>
    <row r="2184" spans="1:20" x14ac:dyDescent="0.3">
      <c r="A2184" t="s">
        <v>3207</v>
      </c>
      <c r="B2184" s="1">
        <v>40803</v>
      </c>
      <c r="C2184" s="1">
        <v>40808</v>
      </c>
      <c r="D2184" t="s">
        <v>586</v>
      </c>
      <c r="E2184" t="s">
        <v>1088</v>
      </c>
      <c r="F2184" t="s">
        <v>793</v>
      </c>
      <c r="G2184" t="s">
        <v>3209</v>
      </c>
      <c r="H2184">
        <v>29.925000000000001</v>
      </c>
      <c r="I2184">
        <v>5</v>
      </c>
      <c r="J2184">
        <v>-21.945</v>
      </c>
      <c r="K2184">
        <v>2011</v>
      </c>
      <c r="L2184">
        <v>9</v>
      </c>
      <c r="M2184" t="s">
        <v>87</v>
      </c>
      <c r="N2184">
        <v>17</v>
      </c>
      <c r="O2184">
        <v>5</v>
      </c>
      <c r="P2184">
        <v>-73.33</v>
      </c>
      <c r="Q2184">
        <v>5.9850000000000003</v>
      </c>
      <c r="R2184" t="s">
        <v>26</v>
      </c>
      <c r="S2184" t="b">
        <v>1</v>
      </c>
      <c r="T2184" t="b">
        <v>0</v>
      </c>
    </row>
    <row r="2185" spans="1:20" x14ac:dyDescent="0.3">
      <c r="A2185" t="s">
        <v>3207</v>
      </c>
      <c r="B2185" s="1">
        <v>40803</v>
      </c>
      <c r="C2185" s="1">
        <v>40808</v>
      </c>
      <c r="D2185" t="s">
        <v>586</v>
      </c>
      <c r="E2185" t="s">
        <v>1088</v>
      </c>
      <c r="F2185" t="s">
        <v>72</v>
      </c>
      <c r="G2185" t="s">
        <v>896</v>
      </c>
      <c r="H2185">
        <v>148.70400000000001</v>
      </c>
      <c r="I2185">
        <v>6</v>
      </c>
      <c r="J2185">
        <v>46.47</v>
      </c>
      <c r="K2185">
        <v>2011</v>
      </c>
      <c r="L2185">
        <v>9</v>
      </c>
      <c r="M2185" t="s">
        <v>87</v>
      </c>
      <c r="N2185">
        <v>17</v>
      </c>
      <c r="O2185">
        <v>5</v>
      </c>
      <c r="P2185">
        <v>31.25</v>
      </c>
      <c r="Q2185">
        <v>24.783999999999999</v>
      </c>
      <c r="R2185" t="s">
        <v>26</v>
      </c>
      <c r="S2185" t="b">
        <v>0</v>
      </c>
      <c r="T2185" t="b">
        <v>0</v>
      </c>
    </row>
    <row r="2186" spans="1:20" x14ac:dyDescent="0.3">
      <c r="A2186" t="s">
        <v>3207</v>
      </c>
      <c r="B2186" s="1">
        <v>40803</v>
      </c>
      <c r="C2186" s="1">
        <v>40808</v>
      </c>
      <c r="D2186" t="s">
        <v>586</v>
      </c>
      <c r="E2186" t="s">
        <v>1088</v>
      </c>
      <c r="F2186" t="s">
        <v>61</v>
      </c>
      <c r="G2186" t="s">
        <v>69</v>
      </c>
      <c r="H2186">
        <v>55.92</v>
      </c>
      <c r="I2186">
        <v>10</v>
      </c>
      <c r="J2186">
        <v>16.776</v>
      </c>
      <c r="K2186">
        <v>2011</v>
      </c>
      <c r="L2186">
        <v>9</v>
      </c>
      <c r="M2186" t="s">
        <v>87</v>
      </c>
      <c r="N2186">
        <v>17</v>
      </c>
      <c r="O2186">
        <v>5</v>
      </c>
      <c r="P2186">
        <v>30</v>
      </c>
      <c r="Q2186">
        <v>5.5920000000000014</v>
      </c>
      <c r="R2186" t="s">
        <v>26</v>
      </c>
      <c r="S2186" t="b">
        <v>0</v>
      </c>
      <c r="T2186" t="b">
        <v>0</v>
      </c>
    </row>
    <row r="2187" spans="1:20" x14ac:dyDescent="0.3">
      <c r="A2187" t="s">
        <v>3210</v>
      </c>
      <c r="B2187" s="1">
        <v>41763</v>
      </c>
      <c r="C2187" s="1">
        <v>41767</v>
      </c>
      <c r="D2187" t="s">
        <v>858</v>
      </c>
      <c r="E2187" t="s">
        <v>51</v>
      </c>
      <c r="F2187" t="s">
        <v>72</v>
      </c>
      <c r="G2187" t="s">
        <v>957</v>
      </c>
      <c r="H2187">
        <v>25.92</v>
      </c>
      <c r="I2187">
        <v>4</v>
      </c>
      <c r="J2187">
        <v>12.441599999999999</v>
      </c>
      <c r="K2187">
        <v>2014</v>
      </c>
      <c r="L2187">
        <v>5</v>
      </c>
      <c r="M2187" t="s">
        <v>47</v>
      </c>
      <c r="N2187">
        <v>4</v>
      </c>
      <c r="O2187">
        <v>4</v>
      </c>
      <c r="P2187">
        <v>48</v>
      </c>
      <c r="Q2187">
        <v>6.48</v>
      </c>
      <c r="R2187" t="s">
        <v>26</v>
      </c>
      <c r="S2187" t="b">
        <v>0</v>
      </c>
      <c r="T2187" t="b">
        <v>0</v>
      </c>
    </row>
    <row r="2188" spans="1:20" x14ac:dyDescent="0.3">
      <c r="A2188" t="s">
        <v>3210</v>
      </c>
      <c r="B2188" s="1">
        <v>41763</v>
      </c>
      <c r="C2188" s="1">
        <v>41767</v>
      </c>
      <c r="D2188" t="s">
        <v>858</v>
      </c>
      <c r="E2188" t="s">
        <v>51</v>
      </c>
      <c r="F2188" t="s">
        <v>31</v>
      </c>
      <c r="G2188" t="s">
        <v>3211</v>
      </c>
      <c r="H2188">
        <v>22.96</v>
      </c>
      <c r="I2188">
        <v>7</v>
      </c>
      <c r="J2188">
        <v>6.6584000000000003</v>
      </c>
      <c r="K2188">
        <v>2014</v>
      </c>
      <c r="L2188">
        <v>5</v>
      </c>
      <c r="M2188" t="s">
        <v>47</v>
      </c>
      <c r="N2188">
        <v>4</v>
      </c>
      <c r="O2188">
        <v>4</v>
      </c>
      <c r="P2188">
        <v>29</v>
      </c>
      <c r="Q2188">
        <v>3.28</v>
      </c>
      <c r="R2188" t="s">
        <v>26</v>
      </c>
      <c r="S2188" t="b">
        <v>0</v>
      </c>
      <c r="T2188" t="b">
        <v>0</v>
      </c>
    </row>
    <row r="2189" spans="1:20" x14ac:dyDescent="0.3">
      <c r="A2189" t="s">
        <v>3212</v>
      </c>
      <c r="B2189" s="1">
        <v>40597</v>
      </c>
      <c r="C2189" s="1">
        <v>40599</v>
      </c>
      <c r="D2189" t="s">
        <v>1044</v>
      </c>
      <c r="E2189" t="s">
        <v>2369</v>
      </c>
      <c r="F2189" t="s">
        <v>72</v>
      </c>
      <c r="G2189" t="s">
        <v>715</v>
      </c>
      <c r="H2189">
        <v>19.440000000000001</v>
      </c>
      <c r="I2189">
        <v>3</v>
      </c>
      <c r="J2189">
        <v>9.3312000000000008</v>
      </c>
      <c r="K2189">
        <v>2011</v>
      </c>
      <c r="L2189">
        <v>2</v>
      </c>
      <c r="M2189" t="s">
        <v>303</v>
      </c>
      <c r="N2189">
        <v>23</v>
      </c>
      <c r="O2189">
        <v>2</v>
      </c>
      <c r="P2189">
        <v>48</v>
      </c>
      <c r="Q2189">
        <v>6.48</v>
      </c>
      <c r="R2189" t="s">
        <v>26</v>
      </c>
      <c r="S2189" t="b">
        <v>0</v>
      </c>
      <c r="T2189" t="b">
        <v>0</v>
      </c>
    </row>
    <row r="2190" spans="1:20" x14ac:dyDescent="0.3">
      <c r="A2190" t="s">
        <v>3213</v>
      </c>
      <c r="B2190" s="1">
        <v>41940</v>
      </c>
      <c r="C2190" s="1">
        <v>41942</v>
      </c>
      <c r="D2190" t="s">
        <v>1433</v>
      </c>
      <c r="E2190" t="s">
        <v>22</v>
      </c>
      <c r="F2190" t="s">
        <v>174</v>
      </c>
      <c r="G2190" t="s">
        <v>3214</v>
      </c>
      <c r="H2190">
        <v>189.57599999999999</v>
      </c>
      <c r="I2190">
        <v>1</v>
      </c>
      <c r="J2190">
        <v>9.4787999999999997</v>
      </c>
      <c r="K2190">
        <v>2014</v>
      </c>
      <c r="L2190">
        <v>10</v>
      </c>
      <c r="M2190" t="s">
        <v>82</v>
      </c>
      <c r="N2190">
        <v>28</v>
      </c>
      <c r="O2190">
        <v>2</v>
      </c>
      <c r="P2190">
        <v>5</v>
      </c>
      <c r="Q2190">
        <v>189.57599999999999</v>
      </c>
      <c r="R2190" t="s">
        <v>26</v>
      </c>
      <c r="S2190" t="b">
        <v>0</v>
      </c>
      <c r="T2190" t="b">
        <v>0</v>
      </c>
    </row>
    <row r="2191" spans="1:20" x14ac:dyDescent="0.3">
      <c r="A2191" t="s">
        <v>3213</v>
      </c>
      <c r="B2191" s="1">
        <v>41940</v>
      </c>
      <c r="C2191" s="1">
        <v>41942</v>
      </c>
      <c r="D2191" t="s">
        <v>1433</v>
      </c>
      <c r="E2191" t="s">
        <v>22</v>
      </c>
      <c r="F2191" t="s">
        <v>54</v>
      </c>
      <c r="G2191" t="s">
        <v>2669</v>
      </c>
      <c r="H2191">
        <v>71.959999999999994</v>
      </c>
      <c r="I2191">
        <v>5</v>
      </c>
      <c r="J2191">
        <v>7.1959999999999997</v>
      </c>
      <c r="K2191">
        <v>2014</v>
      </c>
      <c r="L2191">
        <v>10</v>
      </c>
      <c r="M2191" t="s">
        <v>82</v>
      </c>
      <c r="N2191">
        <v>28</v>
      </c>
      <c r="O2191">
        <v>2</v>
      </c>
      <c r="P2191">
        <v>10</v>
      </c>
      <c r="Q2191">
        <v>14.391999999999999</v>
      </c>
      <c r="R2191" t="s">
        <v>26</v>
      </c>
      <c r="S2191" t="b">
        <v>0</v>
      </c>
      <c r="T2191" t="b">
        <v>0</v>
      </c>
    </row>
    <row r="2192" spans="1:20" x14ac:dyDescent="0.3">
      <c r="A2192" t="s">
        <v>3215</v>
      </c>
      <c r="B2192" s="1">
        <v>40872</v>
      </c>
      <c r="C2192" s="1">
        <v>40876</v>
      </c>
      <c r="D2192" t="s">
        <v>2233</v>
      </c>
      <c r="E2192" t="s">
        <v>22</v>
      </c>
      <c r="F2192" t="s">
        <v>31</v>
      </c>
      <c r="G2192" t="s">
        <v>155</v>
      </c>
      <c r="H2192">
        <v>7.44</v>
      </c>
      <c r="I2192">
        <v>3</v>
      </c>
      <c r="J2192">
        <v>2.6040000000000001</v>
      </c>
      <c r="K2192">
        <v>2011</v>
      </c>
      <c r="L2192">
        <v>11</v>
      </c>
      <c r="M2192" t="s">
        <v>70</v>
      </c>
      <c r="N2192">
        <v>25</v>
      </c>
      <c r="O2192">
        <v>4</v>
      </c>
      <c r="P2192">
        <v>35</v>
      </c>
      <c r="Q2192">
        <v>2.48</v>
      </c>
      <c r="R2192" t="s">
        <v>26</v>
      </c>
      <c r="S2192" t="b">
        <v>0</v>
      </c>
      <c r="T2192" t="b">
        <v>0</v>
      </c>
    </row>
    <row r="2193" spans="1:20" x14ac:dyDescent="0.3">
      <c r="A2193" t="s">
        <v>3216</v>
      </c>
      <c r="B2193" s="1">
        <v>41234</v>
      </c>
      <c r="C2193" s="1">
        <v>41236</v>
      </c>
      <c r="D2193" t="s">
        <v>533</v>
      </c>
      <c r="E2193" t="s">
        <v>105</v>
      </c>
      <c r="F2193" t="s">
        <v>35</v>
      </c>
      <c r="G2193" t="s">
        <v>1748</v>
      </c>
      <c r="H2193">
        <v>325.63200000000001</v>
      </c>
      <c r="I2193">
        <v>6</v>
      </c>
      <c r="J2193">
        <v>28.492799999999999</v>
      </c>
      <c r="K2193">
        <v>2012</v>
      </c>
      <c r="L2193">
        <v>11</v>
      </c>
      <c r="M2193" t="s">
        <v>70</v>
      </c>
      <c r="N2193">
        <v>21</v>
      </c>
      <c r="O2193">
        <v>2</v>
      </c>
      <c r="P2193">
        <v>8.75</v>
      </c>
      <c r="Q2193">
        <v>54.271999999999998</v>
      </c>
      <c r="R2193" t="s">
        <v>26</v>
      </c>
      <c r="S2193" t="b">
        <v>0</v>
      </c>
      <c r="T2193" t="b">
        <v>1</v>
      </c>
    </row>
    <row r="2194" spans="1:20" x14ac:dyDescent="0.3">
      <c r="A2194" t="s">
        <v>3216</v>
      </c>
      <c r="B2194" s="1">
        <v>41234</v>
      </c>
      <c r="C2194" s="1">
        <v>41236</v>
      </c>
      <c r="D2194" t="s">
        <v>533</v>
      </c>
      <c r="E2194" t="s">
        <v>105</v>
      </c>
      <c r="F2194" t="s">
        <v>61</v>
      </c>
      <c r="G2194" t="s">
        <v>3217</v>
      </c>
      <c r="H2194">
        <v>23.344000000000001</v>
      </c>
      <c r="I2194">
        <v>2</v>
      </c>
      <c r="J2194">
        <v>-1.4590000000000001</v>
      </c>
      <c r="K2194">
        <v>2012</v>
      </c>
      <c r="L2194">
        <v>11</v>
      </c>
      <c r="M2194" t="s">
        <v>70</v>
      </c>
      <c r="N2194">
        <v>21</v>
      </c>
      <c r="O2194">
        <v>2</v>
      </c>
      <c r="P2194">
        <v>-6.25</v>
      </c>
      <c r="Q2194">
        <v>11.672000000000001</v>
      </c>
      <c r="R2194" t="s">
        <v>26</v>
      </c>
      <c r="S2194" t="b">
        <v>1</v>
      </c>
      <c r="T2194" t="b">
        <v>0</v>
      </c>
    </row>
    <row r="2195" spans="1:20" x14ac:dyDescent="0.3">
      <c r="A2195" t="s">
        <v>3216</v>
      </c>
      <c r="B2195" s="1">
        <v>41234</v>
      </c>
      <c r="C2195" s="1">
        <v>41236</v>
      </c>
      <c r="D2195" t="s">
        <v>533</v>
      </c>
      <c r="E2195" t="s">
        <v>105</v>
      </c>
      <c r="F2195" t="s">
        <v>23</v>
      </c>
      <c r="G2195" t="s">
        <v>3218</v>
      </c>
      <c r="H2195">
        <v>16.52</v>
      </c>
      <c r="I2195">
        <v>5</v>
      </c>
      <c r="J2195">
        <v>5.3689999999999998</v>
      </c>
      <c r="K2195">
        <v>2012</v>
      </c>
      <c r="L2195">
        <v>11</v>
      </c>
      <c r="M2195" t="s">
        <v>70</v>
      </c>
      <c r="N2195">
        <v>21</v>
      </c>
      <c r="O2195">
        <v>2</v>
      </c>
      <c r="P2195">
        <v>32.5</v>
      </c>
      <c r="Q2195">
        <v>3.3039999999999998</v>
      </c>
      <c r="R2195" t="s">
        <v>26</v>
      </c>
      <c r="S2195" t="b">
        <v>0</v>
      </c>
      <c r="T2195" t="b">
        <v>0</v>
      </c>
    </row>
    <row r="2196" spans="1:20" x14ac:dyDescent="0.3">
      <c r="A2196" t="s">
        <v>3219</v>
      </c>
      <c r="B2196" s="1">
        <v>41554</v>
      </c>
      <c r="C2196" s="1">
        <v>41555</v>
      </c>
      <c r="D2196" t="s">
        <v>3173</v>
      </c>
      <c r="E2196" t="s">
        <v>1460</v>
      </c>
      <c r="F2196" t="s">
        <v>33</v>
      </c>
      <c r="G2196" t="s">
        <v>3051</v>
      </c>
      <c r="H2196">
        <v>17.904</v>
      </c>
      <c r="I2196">
        <v>4</v>
      </c>
      <c r="J2196">
        <v>-14.92</v>
      </c>
      <c r="K2196">
        <v>2013</v>
      </c>
      <c r="L2196">
        <v>10</v>
      </c>
      <c r="M2196" t="s">
        <v>82</v>
      </c>
      <c r="N2196">
        <v>7</v>
      </c>
      <c r="O2196">
        <v>1</v>
      </c>
      <c r="P2196">
        <v>-83.33</v>
      </c>
      <c r="Q2196">
        <v>4.476</v>
      </c>
      <c r="R2196" t="s">
        <v>26</v>
      </c>
      <c r="S2196" t="b">
        <v>1</v>
      </c>
      <c r="T2196" t="b">
        <v>0</v>
      </c>
    </row>
    <row r="2197" spans="1:20" x14ac:dyDescent="0.3">
      <c r="A2197" t="s">
        <v>3219</v>
      </c>
      <c r="B2197" s="1">
        <v>41554</v>
      </c>
      <c r="C2197" s="1">
        <v>41555</v>
      </c>
      <c r="D2197" t="s">
        <v>3173</v>
      </c>
      <c r="E2197" t="s">
        <v>1460</v>
      </c>
      <c r="F2197" t="s">
        <v>33</v>
      </c>
      <c r="G2197" t="s">
        <v>1160</v>
      </c>
      <c r="H2197">
        <v>11.976000000000001</v>
      </c>
      <c r="I2197">
        <v>4</v>
      </c>
      <c r="J2197">
        <v>-9.1815999999999995</v>
      </c>
      <c r="K2197">
        <v>2013</v>
      </c>
      <c r="L2197">
        <v>10</v>
      </c>
      <c r="M2197" t="s">
        <v>82</v>
      </c>
      <c r="N2197">
        <v>7</v>
      </c>
      <c r="O2197">
        <v>1</v>
      </c>
      <c r="P2197">
        <v>-76.67</v>
      </c>
      <c r="Q2197">
        <v>2.9940000000000002</v>
      </c>
      <c r="R2197" t="s">
        <v>26</v>
      </c>
      <c r="S2197" t="b">
        <v>1</v>
      </c>
      <c r="T2197" t="b">
        <v>0</v>
      </c>
    </row>
    <row r="2198" spans="1:20" x14ac:dyDescent="0.3">
      <c r="A2198" t="s">
        <v>3219</v>
      </c>
      <c r="B2198" s="1">
        <v>41554</v>
      </c>
      <c r="C2198" s="1">
        <v>41555</v>
      </c>
      <c r="D2198" t="s">
        <v>3173</v>
      </c>
      <c r="E2198" t="s">
        <v>1460</v>
      </c>
      <c r="F2198" t="s">
        <v>61</v>
      </c>
      <c r="G2198" t="s">
        <v>3220</v>
      </c>
      <c r="H2198">
        <v>67.959999999999994</v>
      </c>
      <c r="I2198">
        <v>5</v>
      </c>
      <c r="J2198">
        <v>0.84950000000000003</v>
      </c>
      <c r="K2198">
        <v>2013</v>
      </c>
      <c r="L2198">
        <v>10</v>
      </c>
      <c r="M2198" t="s">
        <v>82</v>
      </c>
      <c r="N2198">
        <v>7</v>
      </c>
      <c r="O2198">
        <v>1</v>
      </c>
      <c r="P2198">
        <v>1.25</v>
      </c>
      <c r="Q2198">
        <v>13.592000000000001</v>
      </c>
      <c r="R2198" t="s">
        <v>26</v>
      </c>
      <c r="S2198" t="b">
        <v>0</v>
      </c>
      <c r="T2198" t="b">
        <v>0</v>
      </c>
    </row>
    <row r="2199" spans="1:20" x14ac:dyDescent="0.3">
      <c r="A2199" t="s">
        <v>3221</v>
      </c>
      <c r="B2199" s="1">
        <v>41349</v>
      </c>
      <c r="C2199" s="1">
        <v>41350</v>
      </c>
      <c r="D2199" t="s">
        <v>2412</v>
      </c>
      <c r="E2199" t="s">
        <v>51</v>
      </c>
      <c r="F2199" t="s">
        <v>33</v>
      </c>
      <c r="G2199" t="s">
        <v>3222</v>
      </c>
      <c r="H2199">
        <v>4.5439999999999996</v>
      </c>
      <c r="I2199">
        <v>2</v>
      </c>
      <c r="J2199">
        <v>1.6472</v>
      </c>
      <c r="K2199">
        <v>2013</v>
      </c>
      <c r="L2199">
        <v>3</v>
      </c>
      <c r="M2199" t="s">
        <v>135</v>
      </c>
      <c r="N2199">
        <v>16</v>
      </c>
      <c r="O2199">
        <v>1</v>
      </c>
      <c r="P2199">
        <v>36.25</v>
      </c>
      <c r="Q2199">
        <v>2.2719999999999998</v>
      </c>
      <c r="R2199" t="s">
        <v>26</v>
      </c>
      <c r="S2199" t="b">
        <v>0</v>
      </c>
      <c r="T2199" t="b">
        <v>0</v>
      </c>
    </row>
    <row r="2200" spans="1:20" x14ac:dyDescent="0.3">
      <c r="A2200" t="s">
        <v>3223</v>
      </c>
      <c r="B2200" s="1">
        <v>41243</v>
      </c>
      <c r="C2200" s="1">
        <v>41245</v>
      </c>
      <c r="D2200" t="s">
        <v>1413</v>
      </c>
      <c r="E2200" t="s">
        <v>271</v>
      </c>
      <c r="F2200" t="s">
        <v>29</v>
      </c>
      <c r="G2200" t="s">
        <v>2676</v>
      </c>
      <c r="H2200">
        <v>80.959999999999994</v>
      </c>
      <c r="I2200">
        <v>4</v>
      </c>
      <c r="J2200">
        <v>29.145600000000002</v>
      </c>
      <c r="K2200">
        <v>2012</v>
      </c>
      <c r="L2200">
        <v>11</v>
      </c>
      <c r="M2200" t="s">
        <v>70</v>
      </c>
      <c r="N2200">
        <v>30</v>
      </c>
      <c r="O2200">
        <v>2</v>
      </c>
      <c r="P2200">
        <v>36</v>
      </c>
      <c r="Q2200">
        <v>20.239999999999998</v>
      </c>
      <c r="R2200" t="s">
        <v>26</v>
      </c>
      <c r="S2200" t="b">
        <v>0</v>
      </c>
      <c r="T2200" t="b">
        <v>0</v>
      </c>
    </row>
    <row r="2201" spans="1:20" x14ac:dyDescent="0.3">
      <c r="A2201" t="s">
        <v>3223</v>
      </c>
      <c r="B2201" s="1">
        <v>41243</v>
      </c>
      <c r="C2201" s="1">
        <v>41245</v>
      </c>
      <c r="D2201" t="s">
        <v>1413</v>
      </c>
      <c r="E2201" t="s">
        <v>271</v>
      </c>
      <c r="F2201" t="s">
        <v>72</v>
      </c>
      <c r="G2201" t="s">
        <v>2995</v>
      </c>
      <c r="H2201">
        <v>25.92</v>
      </c>
      <c r="I2201">
        <v>4</v>
      </c>
      <c r="J2201">
        <v>12.441599999999999</v>
      </c>
      <c r="K2201">
        <v>2012</v>
      </c>
      <c r="L2201">
        <v>11</v>
      </c>
      <c r="M2201" t="s">
        <v>70</v>
      </c>
      <c r="N2201">
        <v>30</v>
      </c>
      <c r="O2201">
        <v>2</v>
      </c>
      <c r="P2201">
        <v>48</v>
      </c>
      <c r="Q2201">
        <v>6.48</v>
      </c>
      <c r="R2201" t="s">
        <v>26</v>
      </c>
      <c r="S2201" t="b">
        <v>0</v>
      </c>
      <c r="T2201" t="b">
        <v>0</v>
      </c>
    </row>
    <row r="2202" spans="1:20" x14ac:dyDescent="0.3">
      <c r="A2202" t="s">
        <v>3224</v>
      </c>
      <c r="B2202" s="1">
        <v>40648</v>
      </c>
      <c r="C2202" s="1">
        <v>40648</v>
      </c>
      <c r="D2202" t="s">
        <v>3225</v>
      </c>
      <c r="E2202" t="s">
        <v>22</v>
      </c>
      <c r="F2202" t="s">
        <v>35</v>
      </c>
      <c r="G2202" t="s">
        <v>523</v>
      </c>
      <c r="H2202">
        <v>106.96</v>
      </c>
      <c r="I2202">
        <v>2</v>
      </c>
      <c r="J2202">
        <v>31.0184</v>
      </c>
      <c r="K2202">
        <v>2011</v>
      </c>
      <c r="L2202">
        <v>4</v>
      </c>
      <c r="M2202" t="s">
        <v>236</v>
      </c>
      <c r="N2202">
        <v>15</v>
      </c>
      <c r="O2202">
        <v>0</v>
      </c>
      <c r="P2202">
        <v>29</v>
      </c>
      <c r="Q2202">
        <v>53.48</v>
      </c>
      <c r="R2202" t="s">
        <v>26</v>
      </c>
      <c r="S2202" t="b">
        <v>0</v>
      </c>
      <c r="T2202" t="b">
        <v>0</v>
      </c>
    </row>
    <row r="2203" spans="1:20" x14ac:dyDescent="0.3">
      <c r="A2203" t="s">
        <v>3224</v>
      </c>
      <c r="B2203" s="1">
        <v>40648</v>
      </c>
      <c r="C2203" s="1">
        <v>40648</v>
      </c>
      <c r="D2203" t="s">
        <v>3225</v>
      </c>
      <c r="E2203" t="s">
        <v>22</v>
      </c>
      <c r="F2203" t="s">
        <v>29</v>
      </c>
      <c r="G2203" t="s">
        <v>217</v>
      </c>
      <c r="H2203">
        <v>187.76</v>
      </c>
      <c r="I2203">
        <v>4</v>
      </c>
      <c r="J2203">
        <v>76.9816</v>
      </c>
      <c r="K2203">
        <v>2011</v>
      </c>
      <c r="L2203">
        <v>4</v>
      </c>
      <c r="M2203" t="s">
        <v>236</v>
      </c>
      <c r="N2203">
        <v>15</v>
      </c>
      <c r="O2203">
        <v>0</v>
      </c>
      <c r="P2203">
        <v>41</v>
      </c>
      <c r="Q2203">
        <v>46.94</v>
      </c>
      <c r="R2203" t="s">
        <v>26</v>
      </c>
      <c r="S2203" t="b">
        <v>0</v>
      </c>
      <c r="T2203" t="b">
        <v>0</v>
      </c>
    </row>
    <row r="2204" spans="1:20" x14ac:dyDescent="0.3">
      <c r="A2204" t="s">
        <v>3226</v>
      </c>
      <c r="B2204" s="1">
        <v>41912</v>
      </c>
      <c r="C2204" s="1">
        <v>41914</v>
      </c>
      <c r="D2204" t="s">
        <v>3227</v>
      </c>
      <c r="E2204" t="s">
        <v>22</v>
      </c>
      <c r="F2204" t="s">
        <v>31</v>
      </c>
      <c r="G2204" t="s">
        <v>1064</v>
      </c>
      <c r="H2204">
        <v>99.2</v>
      </c>
      <c r="I2204">
        <v>5</v>
      </c>
      <c r="J2204">
        <v>25.792000000000002</v>
      </c>
      <c r="K2204">
        <v>2014</v>
      </c>
      <c r="L2204">
        <v>9</v>
      </c>
      <c r="M2204" t="s">
        <v>87</v>
      </c>
      <c r="N2204">
        <v>30</v>
      </c>
      <c r="O2204">
        <v>2</v>
      </c>
      <c r="P2204">
        <v>26</v>
      </c>
      <c r="Q2204">
        <v>19.84</v>
      </c>
      <c r="R2204" t="s">
        <v>48</v>
      </c>
      <c r="S2204" t="b">
        <v>0</v>
      </c>
      <c r="T2204" t="b">
        <v>0</v>
      </c>
    </row>
    <row r="2205" spans="1:20" x14ac:dyDescent="0.3">
      <c r="A2205" t="s">
        <v>3228</v>
      </c>
      <c r="B2205" s="1">
        <v>41766</v>
      </c>
      <c r="C2205" s="1">
        <v>41769</v>
      </c>
      <c r="D2205" t="s">
        <v>3229</v>
      </c>
      <c r="E2205" t="s">
        <v>1187</v>
      </c>
      <c r="F2205" t="s">
        <v>35</v>
      </c>
      <c r="G2205" t="s">
        <v>3230</v>
      </c>
      <c r="H2205">
        <v>152.94</v>
      </c>
      <c r="I2205">
        <v>3</v>
      </c>
      <c r="J2205">
        <v>41.293799999999997</v>
      </c>
      <c r="K2205">
        <v>2014</v>
      </c>
      <c r="L2205">
        <v>5</v>
      </c>
      <c r="M2205" t="s">
        <v>47</v>
      </c>
      <c r="N2205">
        <v>7</v>
      </c>
      <c r="O2205">
        <v>3</v>
      </c>
      <c r="P2205">
        <v>27</v>
      </c>
      <c r="Q2205">
        <v>50.98</v>
      </c>
      <c r="R2205" t="s">
        <v>48</v>
      </c>
      <c r="S2205" t="b">
        <v>0</v>
      </c>
      <c r="T2205" t="b">
        <v>0</v>
      </c>
    </row>
    <row r="2206" spans="1:20" x14ac:dyDescent="0.3">
      <c r="A2206" t="s">
        <v>3231</v>
      </c>
      <c r="B2206" s="1">
        <v>40906</v>
      </c>
      <c r="C2206" s="1">
        <v>40911</v>
      </c>
      <c r="D2206" t="s">
        <v>2362</v>
      </c>
      <c r="E2206" t="s">
        <v>198</v>
      </c>
      <c r="F2206" t="s">
        <v>23</v>
      </c>
      <c r="G2206" t="s">
        <v>330</v>
      </c>
      <c r="H2206">
        <v>88.8</v>
      </c>
      <c r="I2206">
        <v>6</v>
      </c>
      <c r="J2206">
        <v>44.4</v>
      </c>
      <c r="K2206">
        <v>2011</v>
      </c>
      <c r="L2206">
        <v>12</v>
      </c>
      <c r="M2206" t="s">
        <v>41</v>
      </c>
      <c r="N2206">
        <v>29</v>
      </c>
      <c r="O2206">
        <v>5</v>
      </c>
      <c r="P2206">
        <v>50</v>
      </c>
      <c r="Q2206">
        <v>14.8</v>
      </c>
      <c r="R2206" t="s">
        <v>26</v>
      </c>
      <c r="S2206" t="b">
        <v>0</v>
      </c>
      <c r="T2206" t="b">
        <v>0</v>
      </c>
    </row>
    <row r="2207" spans="1:20" x14ac:dyDescent="0.3">
      <c r="A2207" t="s">
        <v>3231</v>
      </c>
      <c r="B2207" s="1">
        <v>40906</v>
      </c>
      <c r="C2207" s="1">
        <v>40911</v>
      </c>
      <c r="D2207" t="s">
        <v>2362</v>
      </c>
      <c r="E2207" t="s">
        <v>198</v>
      </c>
      <c r="F2207" t="s">
        <v>54</v>
      </c>
      <c r="G2207" t="s">
        <v>1264</v>
      </c>
      <c r="H2207">
        <v>319.96800000000002</v>
      </c>
      <c r="I2207">
        <v>4</v>
      </c>
      <c r="J2207">
        <v>35.996400000000001</v>
      </c>
      <c r="K2207">
        <v>2011</v>
      </c>
      <c r="L2207">
        <v>12</v>
      </c>
      <c r="M2207" t="s">
        <v>41</v>
      </c>
      <c r="N2207">
        <v>29</v>
      </c>
      <c r="O2207">
        <v>5</v>
      </c>
      <c r="P2207">
        <v>11.25</v>
      </c>
      <c r="Q2207">
        <v>79.992000000000004</v>
      </c>
      <c r="R2207" t="s">
        <v>26</v>
      </c>
      <c r="S2207" t="b">
        <v>0</v>
      </c>
      <c r="T2207" t="b">
        <v>1</v>
      </c>
    </row>
    <row r="2208" spans="1:20" x14ac:dyDescent="0.3">
      <c r="A2208" t="s">
        <v>3232</v>
      </c>
      <c r="B2208" s="1">
        <v>41356</v>
      </c>
      <c r="C2208" s="1">
        <v>41356</v>
      </c>
      <c r="D2208" t="s">
        <v>1145</v>
      </c>
      <c r="E2208" t="s">
        <v>39</v>
      </c>
      <c r="F2208" t="s">
        <v>110</v>
      </c>
      <c r="G2208" t="s">
        <v>2963</v>
      </c>
      <c r="H2208">
        <v>167.88800000000001</v>
      </c>
      <c r="I2208">
        <v>7</v>
      </c>
      <c r="J2208">
        <v>14.690200000000001</v>
      </c>
      <c r="K2208">
        <v>2013</v>
      </c>
      <c r="L2208">
        <v>3</v>
      </c>
      <c r="M2208" t="s">
        <v>135</v>
      </c>
      <c r="N2208">
        <v>23</v>
      </c>
      <c r="O2208">
        <v>0</v>
      </c>
      <c r="P2208">
        <v>8.75</v>
      </c>
      <c r="Q2208">
        <v>23.984000000000002</v>
      </c>
      <c r="R2208" t="s">
        <v>26</v>
      </c>
      <c r="S2208" t="b">
        <v>0</v>
      </c>
      <c r="T2208" t="b">
        <v>0</v>
      </c>
    </row>
    <row r="2209" spans="1:20" x14ac:dyDescent="0.3">
      <c r="A2209" t="s">
        <v>3233</v>
      </c>
      <c r="B2209" s="1">
        <v>41928</v>
      </c>
      <c r="C2209" s="1">
        <v>41932</v>
      </c>
      <c r="D2209" t="s">
        <v>3234</v>
      </c>
      <c r="E2209" t="s">
        <v>468</v>
      </c>
      <c r="F2209" t="s">
        <v>31</v>
      </c>
      <c r="G2209" t="s">
        <v>3235</v>
      </c>
      <c r="H2209">
        <v>11.68</v>
      </c>
      <c r="I2209">
        <v>2</v>
      </c>
      <c r="J2209">
        <v>4.2047999999999996</v>
      </c>
      <c r="K2209">
        <v>2014</v>
      </c>
      <c r="L2209">
        <v>10</v>
      </c>
      <c r="M2209" t="s">
        <v>82</v>
      </c>
      <c r="N2209">
        <v>16</v>
      </c>
      <c r="O2209">
        <v>4</v>
      </c>
      <c r="P2209">
        <v>36</v>
      </c>
      <c r="Q2209">
        <v>5.84</v>
      </c>
      <c r="R2209" t="s">
        <v>48</v>
      </c>
      <c r="S2209" t="b">
        <v>0</v>
      </c>
      <c r="T2209" t="b">
        <v>0</v>
      </c>
    </row>
    <row r="2210" spans="1:20" x14ac:dyDescent="0.3">
      <c r="A2210" t="s">
        <v>3236</v>
      </c>
      <c r="B2210" s="1">
        <v>41001</v>
      </c>
      <c r="C2210" s="1">
        <v>41006</v>
      </c>
      <c r="D2210" t="s">
        <v>580</v>
      </c>
      <c r="E2210" t="s">
        <v>368</v>
      </c>
      <c r="F2210" t="s">
        <v>54</v>
      </c>
      <c r="G2210" t="s">
        <v>1859</v>
      </c>
      <c r="H2210">
        <v>87.8</v>
      </c>
      <c r="I2210">
        <v>5</v>
      </c>
      <c r="J2210">
        <v>32.924999999999997</v>
      </c>
      <c r="K2210">
        <v>2012</v>
      </c>
      <c r="L2210">
        <v>4</v>
      </c>
      <c r="M2210" t="s">
        <v>236</v>
      </c>
      <c r="N2210">
        <v>2</v>
      </c>
      <c r="O2210">
        <v>5</v>
      </c>
      <c r="P2210">
        <v>37.5</v>
      </c>
      <c r="Q2210">
        <v>17.559999999999999</v>
      </c>
      <c r="R2210" t="s">
        <v>26</v>
      </c>
      <c r="S2210" t="b">
        <v>0</v>
      </c>
      <c r="T2210" t="b">
        <v>0</v>
      </c>
    </row>
    <row r="2211" spans="1:20" x14ac:dyDescent="0.3">
      <c r="A2211" t="s">
        <v>3237</v>
      </c>
      <c r="B2211" s="1">
        <v>40882</v>
      </c>
      <c r="C2211" s="1">
        <v>40884</v>
      </c>
      <c r="D2211" t="s">
        <v>3238</v>
      </c>
      <c r="E2211" t="s">
        <v>22</v>
      </c>
      <c r="F2211" t="s">
        <v>35</v>
      </c>
      <c r="G2211" t="s">
        <v>2919</v>
      </c>
      <c r="H2211">
        <v>250.26</v>
      </c>
      <c r="I2211">
        <v>6</v>
      </c>
      <c r="J2211">
        <v>72.575400000000002</v>
      </c>
      <c r="K2211">
        <v>2011</v>
      </c>
      <c r="L2211">
        <v>12</v>
      </c>
      <c r="M2211" t="s">
        <v>41</v>
      </c>
      <c r="N2211">
        <v>5</v>
      </c>
      <c r="O2211">
        <v>2</v>
      </c>
      <c r="P2211">
        <v>29</v>
      </c>
      <c r="Q2211">
        <v>41.71</v>
      </c>
      <c r="R2211" t="s">
        <v>48</v>
      </c>
      <c r="S2211" t="b">
        <v>0</v>
      </c>
      <c r="T2211" t="b">
        <v>1</v>
      </c>
    </row>
    <row r="2212" spans="1:20" x14ac:dyDescent="0.3">
      <c r="A2212" t="s">
        <v>3239</v>
      </c>
      <c r="B2212" s="1">
        <v>40914</v>
      </c>
      <c r="C2212" s="1">
        <v>40920</v>
      </c>
      <c r="D2212" t="s">
        <v>1034</v>
      </c>
      <c r="E2212" t="s">
        <v>216</v>
      </c>
      <c r="F2212" t="s">
        <v>72</v>
      </c>
      <c r="G2212" t="s">
        <v>3240</v>
      </c>
      <c r="H2212">
        <v>29.6</v>
      </c>
      <c r="I2212">
        <v>5</v>
      </c>
      <c r="J2212">
        <v>9.25</v>
      </c>
      <c r="K2212">
        <v>2012</v>
      </c>
      <c r="L2212">
        <v>1</v>
      </c>
      <c r="M2212" t="s">
        <v>60</v>
      </c>
      <c r="N2212">
        <v>6</v>
      </c>
      <c r="O2212">
        <v>6</v>
      </c>
      <c r="P2212">
        <v>31.25</v>
      </c>
      <c r="Q2212">
        <v>5.92</v>
      </c>
      <c r="R2212" t="s">
        <v>26</v>
      </c>
      <c r="S2212" t="b">
        <v>0</v>
      </c>
      <c r="T2212" t="b">
        <v>0</v>
      </c>
    </row>
    <row r="2213" spans="1:20" x14ac:dyDescent="0.3">
      <c r="A2213" t="s">
        <v>3239</v>
      </c>
      <c r="B2213" s="1">
        <v>40914</v>
      </c>
      <c r="C2213" s="1">
        <v>40920</v>
      </c>
      <c r="D2213" t="s">
        <v>1034</v>
      </c>
      <c r="E2213" t="s">
        <v>216</v>
      </c>
      <c r="F2213" t="s">
        <v>33</v>
      </c>
      <c r="G2213" t="s">
        <v>409</v>
      </c>
      <c r="H2213">
        <v>1.9379999999999999</v>
      </c>
      <c r="I2213">
        <v>2</v>
      </c>
      <c r="J2213">
        <v>-1.3566</v>
      </c>
      <c r="K2213">
        <v>2012</v>
      </c>
      <c r="L2213">
        <v>1</v>
      </c>
      <c r="M2213" t="s">
        <v>60</v>
      </c>
      <c r="N2213">
        <v>6</v>
      </c>
      <c r="O2213">
        <v>6</v>
      </c>
      <c r="P2213">
        <v>-70</v>
      </c>
      <c r="Q2213">
        <v>0.96899999999999997</v>
      </c>
      <c r="R2213" t="s">
        <v>26</v>
      </c>
      <c r="S2213" t="b">
        <v>1</v>
      </c>
      <c r="T2213" t="b">
        <v>0</v>
      </c>
    </row>
    <row r="2214" spans="1:20" x14ac:dyDescent="0.3">
      <c r="A2214" t="s">
        <v>3241</v>
      </c>
      <c r="B2214" s="1">
        <v>41892</v>
      </c>
      <c r="C2214" s="1">
        <v>41897</v>
      </c>
      <c r="D2214" t="s">
        <v>2500</v>
      </c>
      <c r="E2214" t="s">
        <v>22</v>
      </c>
      <c r="F2214" t="s">
        <v>61</v>
      </c>
      <c r="G2214" t="s">
        <v>2922</v>
      </c>
      <c r="H2214">
        <v>159.96</v>
      </c>
      <c r="I2214">
        <v>4</v>
      </c>
      <c r="J2214">
        <v>51.187199999999997</v>
      </c>
      <c r="K2214">
        <v>2014</v>
      </c>
      <c r="L2214">
        <v>9</v>
      </c>
      <c r="M2214" t="s">
        <v>87</v>
      </c>
      <c r="N2214">
        <v>10</v>
      </c>
      <c r="O2214">
        <v>5</v>
      </c>
      <c r="P2214">
        <v>32</v>
      </c>
      <c r="Q2214">
        <v>39.99</v>
      </c>
      <c r="R2214" t="s">
        <v>26</v>
      </c>
      <c r="S2214" t="b">
        <v>0</v>
      </c>
      <c r="T2214" t="b">
        <v>0</v>
      </c>
    </row>
    <row r="2215" spans="1:20" x14ac:dyDescent="0.3">
      <c r="A2215" t="s">
        <v>3242</v>
      </c>
      <c r="B2215" s="1">
        <v>41746</v>
      </c>
      <c r="C2215" s="1">
        <v>41750</v>
      </c>
      <c r="D2215" t="s">
        <v>926</v>
      </c>
      <c r="E2215" t="s">
        <v>51</v>
      </c>
      <c r="F2215" t="s">
        <v>35</v>
      </c>
      <c r="G2215" t="s">
        <v>3243</v>
      </c>
      <c r="H2215">
        <v>40.74</v>
      </c>
      <c r="I2215">
        <v>3</v>
      </c>
      <c r="J2215">
        <v>12.222</v>
      </c>
      <c r="K2215">
        <v>2014</v>
      </c>
      <c r="L2215">
        <v>4</v>
      </c>
      <c r="M2215" t="s">
        <v>236</v>
      </c>
      <c r="N2215">
        <v>17</v>
      </c>
      <c r="O2215">
        <v>4</v>
      </c>
      <c r="P2215">
        <v>30</v>
      </c>
      <c r="Q2215">
        <v>13.58</v>
      </c>
      <c r="R2215" t="s">
        <v>26</v>
      </c>
      <c r="S2215" t="b">
        <v>0</v>
      </c>
      <c r="T2215" t="b">
        <v>0</v>
      </c>
    </row>
    <row r="2216" spans="1:20" x14ac:dyDescent="0.3">
      <c r="A2216" t="s">
        <v>3244</v>
      </c>
      <c r="B2216" s="1">
        <v>41804</v>
      </c>
      <c r="C2216" s="1">
        <v>41810</v>
      </c>
      <c r="D2216" t="s">
        <v>132</v>
      </c>
      <c r="E2216" t="s">
        <v>39</v>
      </c>
      <c r="F2216" t="s">
        <v>110</v>
      </c>
      <c r="G2216" t="s">
        <v>2990</v>
      </c>
      <c r="H2216">
        <v>291.13600000000002</v>
      </c>
      <c r="I2216">
        <v>4</v>
      </c>
      <c r="J2216">
        <v>-25.474399999999999</v>
      </c>
      <c r="K2216">
        <v>2014</v>
      </c>
      <c r="L2216">
        <v>6</v>
      </c>
      <c r="M2216" t="s">
        <v>25</v>
      </c>
      <c r="N2216">
        <v>14</v>
      </c>
      <c r="O2216">
        <v>6</v>
      </c>
      <c r="P2216">
        <v>-8.75</v>
      </c>
      <c r="Q2216">
        <v>72.784000000000006</v>
      </c>
      <c r="R2216" t="s">
        <v>26</v>
      </c>
      <c r="S2216" t="b">
        <v>1</v>
      </c>
      <c r="T2216" t="b">
        <v>1</v>
      </c>
    </row>
    <row r="2217" spans="1:20" x14ac:dyDescent="0.3">
      <c r="A2217" t="s">
        <v>3245</v>
      </c>
      <c r="B2217" s="1">
        <v>41898</v>
      </c>
      <c r="C2217" s="1">
        <v>41903</v>
      </c>
      <c r="D2217" t="s">
        <v>1142</v>
      </c>
      <c r="E2217" t="s">
        <v>39</v>
      </c>
      <c r="F2217" t="s">
        <v>31</v>
      </c>
      <c r="G2217" t="s">
        <v>2154</v>
      </c>
      <c r="H2217">
        <v>12.42</v>
      </c>
      <c r="I2217">
        <v>3</v>
      </c>
      <c r="J2217">
        <v>5.2164000000000001</v>
      </c>
      <c r="K2217">
        <v>2014</v>
      </c>
      <c r="L2217">
        <v>9</v>
      </c>
      <c r="M2217" t="s">
        <v>87</v>
      </c>
      <c r="N2217">
        <v>16</v>
      </c>
      <c r="O2217">
        <v>5</v>
      </c>
      <c r="P2217">
        <v>42</v>
      </c>
      <c r="Q2217">
        <v>4.1399999999999997</v>
      </c>
      <c r="R2217" t="s">
        <v>26</v>
      </c>
      <c r="S2217" t="b">
        <v>0</v>
      </c>
      <c r="T2217" t="b">
        <v>0</v>
      </c>
    </row>
    <row r="2218" spans="1:20" x14ac:dyDescent="0.3">
      <c r="A2218" t="s">
        <v>3246</v>
      </c>
      <c r="B2218" s="1">
        <v>41509</v>
      </c>
      <c r="C2218" s="1">
        <v>41513</v>
      </c>
      <c r="D2218" t="s">
        <v>3247</v>
      </c>
      <c r="E2218" t="s">
        <v>39</v>
      </c>
      <c r="F2218" t="s">
        <v>72</v>
      </c>
      <c r="G2218" t="s">
        <v>542</v>
      </c>
      <c r="H2218">
        <v>19.440000000000001</v>
      </c>
      <c r="I2218">
        <v>3</v>
      </c>
      <c r="J2218">
        <v>9.3312000000000008</v>
      </c>
      <c r="K2218">
        <v>2013</v>
      </c>
      <c r="L2218">
        <v>8</v>
      </c>
      <c r="M2218" t="s">
        <v>53</v>
      </c>
      <c r="N2218">
        <v>23</v>
      </c>
      <c r="O2218">
        <v>4</v>
      </c>
      <c r="P2218">
        <v>48</v>
      </c>
      <c r="Q2218">
        <v>6.48</v>
      </c>
      <c r="R2218" t="s">
        <v>26</v>
      </c>
      <c r="S2218" t="b">
        <v>0</v>
      </c>
      <c r="T2218" t="b">
        <v>0</v>
      </c>
    </row>
    <row r="2219" spans="1:20" x14ac:dyDescent="0.3">
      <c r="A2219" t="s">
        <v>3248</v>
      </c>
      <c r="B2219" s="1">
        <v>40868</v>
      </c>
      <c r="C2219" s="1">
        <v>40873</v>
      </c>
      <c r="D2219" t="s">
        <v>2701</v>
      </c>
      <c r="E2219" t="s">
        <v>51</v>
      </c>
      <c r="F2219" t="s">
        <v>72</v>
      </c>
      <c r="G2219" t="s">
        <v>2234</v>
      </c>
      <c r="H2219">
        <v>6.58</v>
      </c>
      <c r="I2219">
        <v>2</v>
      </c>
      <c r="J2219">
        <v>3.0268000000000002</v>
      </c>
      <c r="K2219">
        <v>2011</v>
      </c>
      <c r="L2219">
        <v>11</v>
      </c>
      <c r="M2219" t="s">
        <v>70</v>
      </c>
      <c r="N2219">
        <v>21</v>
      </c>
      <c r="O2219">
        <v>5</v>
      </c>
      <c r="P2219">
        <v>46</v>
      </c>
      <c r="Q2219">
        <v>3.29</v>
      </c>
      <c r="R2219" t="s">
        <v>26</v>
      </c>
      <c r="S2219" t="b">
        <v>0</v>
      </c>
      <c r="T2219" t="b">
        <v>0</v>
      </c>
    </row>
    <row r="2220" spans="1:20" x14ac:dyDescent="0.3">
      <c r="A2220" t="s">
        <v>3248</v>
      </c>
      <c r="B2220" s="1">
        <v>40868</v>
      </c>
      <c r="C2220" s="1">
        <v>40873</v>
      </c>
      <c r="D2220" t="s">
        <v>2701</v>
      </c>
      <c r="E2220" t="s">
        <v>51</v>
      </c>
      <c r="F2220" t="s">
        <v>61</v>
      </c>
      <c r="G2220" t="s">
        <v>2591</v>
      </c>
      <c r="H2220">
        <v>94.99</v>
      </c>
      <c r="I2220">
        <v>1</v>
      </c>
      <c r="J2220">
        <v>28.497</v>
      </c>
      <c r="K2220">
        <v>2011</v>
      </c>
      <c r="L2220">
        <v>11</v>
      </c>
      <c r="M2220" t="s">
        <v>70</v>
      </c>
      <c r="N2220">
        <v>21</v>
      </c>
      <c r="O2220">
        <v>5</v>
      </c>
      <c r="P2220">
        <v>30</v>
      </c>
      <c r="Q2220">
        <v>94.99</v>
      </c>
      <c r="R2220" t="s">
        <v>26</v>
      </c>
      <c r="S2220" t="b">
        <v>0</v>
      </c>
      <c r="T2220" t="b">
        <v>0</v>
      </c>
    </row>
    <row r="2221" spans="1:20" x14ac:dyDescent="0.3">
      <c r="A2221" t="s">
        <v>3249</v>
      </c>
      <c r="B2221" s="1">
        <v>41176</v>
      </c>
      <c r="C2221" s="1">
        <v>41178</v>
      </c>
      <c r="D2221" t="s">
        <v>3250</v>
      </c>
      <c r="E2221" t="s">
        <v>257</v>
      </c>
      <c r="F2221" t="s">
        <v>54</v>
      </c>
      <c r="G2221" t="s">
        <v>1859</v>
      </c>
      <c r="H2221">
        <v>35.119999999999997</v>
      </c>
      <c r="I2221">
        <v>2</v>
      </c>
      <c r="J2221">
        <v>13.17</v>
      </c>
      <c r="K2221">
        <v>2012</v>
      </c>
      <c r="L2221">
        <v>9</v>
      </c>
      <c r="M2221" t="s">
        <v>87</v>
      </c>
      <c r="N2221">
        <v>24</v>
      </c>
      <c r="O2221">
        <v>2</v>
      </c>
      <c r="P2221">
        <v>37.5</v>
      </c>
      <c r="Q2221">
        <v>17.559999999999999</v>
      </c>
      <c r="R2221" t="s">
        <v>48</v>
      </c>
      <c r="S2221" t="b">
        <v>0</v>
      </c>
      <c r="T2221" t="b">
        <v>0</v>
      </c>
    </row>
    <row r="2222" spans="1:20" x14ac:dyDescent="0.3">
      <c r="A2222" t="s">
        <v>3251</v>
      </c>
      <c r="B2222" s="1">
        <v>41872</v>
      </c>
      <c r="C2222" s="1">
        <v>41879</v>
      </c>
      <c r="D2222" t="s">
        <v>1195</v>
      </c>
      <c r="E2222" t="s">
        <v>22</v>
      </c>
      <c r="F2222" t="s">
        <v>72</v>
      </c>
      <c r="G2222" t="s">
        <v>2677</v>
      </c>
      <c r="H2222">
        <v>25.92</v>
      </c>
      <c r="I2222">
        <v>4</v>
      </c>
      <c r="J2222">
        <v>12.441599999999999</v>
      </c>
      <c r="K2222">
        <v>2014</v>
      </c>
      <c r="L2222">
        <v>8</v>
      </c>
      <c r="M2222" t="s">
        <v>53</v>
      </c>
      <c r="N2222">
        <v>21</v>
      </c>
      <c r="O2222">
        <v>7</v>
      </c>
      <c r="P2222">
        <v>48</v>
      </c>
      <c r="Q2222">
        <v>6.48</v>
      </c>
      <c r="R2222" t="s">
        <v>26</v>
      </c>
      <c r="S2222" t="b">
        <v>0</v>
      </c>
      <c r="T2222" t="b">
        <v>0</v>
      </c>
    </row>
    <row r="2223" spans="1:20" x14ac:dyDescent="0.3">
      <c r="A2223" t="s">
        <v>3252</v>
      </c>
      <c r="B2223" s="1">
        <v>41909</v>
      </c>
      <c r="C2223" s="1">
        <v>41911</v>
      </c>
      <c r="D2223" t="s">
        <v>3253</v>
      </c>
      <c r="E2223" t="s">
        <v>412</v>
      </c>
      <c r="F2223" t="s">
        <v>31</v>
      </c>
      <c r="G2223" t="s">
        <v>1480</v>
      </c>
      <c r="H2223">
        <v>2.2240000000000002</v>
      </c>
      <c r="I2223">
        <v>1</v>
      </c>
      <c r="J2223">
        <v>0.55600000000000005</v>
      </c>
      <c r="K2223">
        <v>2014</v>
      </c>
      <c r="L2223">
        <v>9</v>
      </c>
      <c r="M2223" t="s">
        <v>87</v>
      </c>
      <c r="N2223">
        <v>27</v>
      </c>
      <c r="O2223">
        <v>2</v>
      </c>
      <c r="P2223">
        <v>25</v>
      </c>
      <c r="Q2223">
        <v>2.2240000000000002</v>
      </c>
      <c r="R2223" t="s">
        <v>48</v>
      </c>
      <c r="S2223" t="b">
        <v>0</v>
      </c>
      <c r="T2223" t="b">
        <v>0</v>
      </c>
    </row>
    <row r="2224" spans="1:20" x14ac:dyDescent="0.3">
      <c r="A2224" t="s">
        <v>3254</v>
      </c>
      <c r="B2224" s="1">
        <v>41145</v>
      </c>
      <c r="C2224" s="1">
        <v>41147</v>
      </c>
      <c r="D2224" t="s">
        <v>1868</v>
      </c>
      <c r="E2224" t="s">
        <v>92</v>
      </c>
      <c r="F2224" t="s">
        <v>31</v>
      </c>
      <c r="G2224" t="s">
        <v>81</v>
      </c>
      <c r="H2224">
        <v>7.1520000000000001</v>
      </c>
      <c r="I2224">
        <v>3</v>
      </c>
      <c r="J2224">
        <v>0.71519999999999995</v>
      </c>
      <c r="K2224">
        <v>2012</v>
      </c>
      <c r="L2224">
        <v>8</v>
      </c>
      <c r="M2224" t="s">
        <v>53</v>
      </c>
      <c r="N2224">
        <v>24</v>
      </c>
      <c r="O2224">
        <v>2</v>
      </c>
      <c r="P2224">
        <v>10</v>
      </c>
      <c r="Q2224">
        <v>2.3839999999999999</v>
      </c>
      <c r="R2224" t="s">
        <v>26</v>
      </c>
      <c r="S2224" t="b">
        <v>0</v>
      </c>
      <c r="T2224" t="b">
        <v>0</v>
      </c>
    </row>
    <row r="2225" spans="1:20" x14ac:dyDescent="0.3">
      <c r="A2225" t="s">
        <v>3255</v>
      </c>
      <c r="B2225" s="1">
        <v>41488</v>
      </c>
      <c r="C2225" s="1">
        <v>41488</v>
      </c>
      <c r="D2225" t="s">
        <v>1723</v>
      </c>
      <c r="E2225" t="s">
        <v>569</v>
      </c>
      <c r="F2225" t="s">
        <v>35</v>
      </c>
      <c r="G2225" t="s">
        <v>36</v>
      </c>
      <c r="H2225">
        <v>45.96</v>
      </c>
      <c r="I2225">
        <v>2</v>
      </c>
      <c r="J2225">
        <v>13.788</v>
      </c>
      <c r="K2225">
        <v>2013</v>
      </c>
      <c r="L2225">
        <v>8</v>
      </c>
      <c r="M2225" t="s">
        <v>53</v>
      </c>
      <c r="N2225">
        <v>2</v>
      </c>
      <c r="O2225">
        <v>0</v>
      </c>
      <c r="P2225">
        <v>30</v>
      </c>
      <c r="Q2225">
        <v>22.98</v>
      </c>
      <c r="R2225" t="s">
        <v>26</v>
      </c>
      <c r="S2225" t="b">
        <v>0</v>
      </c>
      <c r="T2225" t="b">
        <v>0</v>
      </c>
    </row>
    <row r="2226" spans="1:20" x14ac:dyDescent="0.3">
      <c r="A2226" t="s">
        <v>3256</v>
      </c>
      <c r="B2226" s="1">
        <v>41378</v>
      </c>
      <c r="C2226" s="1">
        <v>41380</v>
      </c>
      <c r="D2226" t="s">
        <v>1950</v>
      </c>
      <c r="E2226" t="s">
        <v>51</v>
      </c>
      <c r="F2226" t="s">
        <v>128</v>
      </c>
      <c r="G2226" t="s">
        <v>170</v>
      </c>
      <c r="H2226">
        <v>6.12</v>
      </c>
      <c r="I2226">
        <v>3</v>
      </c>
      <c r="J2226">
        <v>2.8763999999999998</v>
      </c>
      <c r="K2226">
        <v>2013</v>
      </c>
      <c r="L2226">
        <v>4</v>
      </c>
      <c r="M2226" t="s">
        <v>236</v>
      </c>
      <c r="N2226">
        <v>14</v>
      </c>
      <c r="O2226">
        <v>2</v>
      </c>
      <c r="P2226">
        <v>47</v>
      </c>
      <c r="Q2226">
        <v>2.04</v>
      </c>
      <c r="R2226" t="s">
        <v>26</v>
      </c>
      <c r="S2226" t="b">
        <v>0</v>
      </c>
      <c r="T2226" t="b">
        <v>0</v>
      </c>
    </row>
    <row r="2227" spans="1:20" x14ac:dyDescent="0.3">
      <c r="A2227" t="s">
        <v>3257</v>
      </c>
      <c r="B2227" s="1">
        <v>40904</v>
      </c>
      <c r="C2227" s="1">
        <v>40908</v>
      </c>
      <c r="D2227" t="s">
        <v>995</v>
      </c>
      <c r="E2227" t="s">
        <v>2369</v>
      </c>
      <c r="F2227" t="s">
        <v>35</v>
      </c>
      <c r="G2227" t="s">
        <v>155</v>
      </c>
      <c r="H2227">
        <v>10.98</v>
      </c>
      <c r="I2227">
        <v>1</v>
      </c>
      <c r="J2227">
        <v>2.9645999999999999</v>
      </c>
      <c r="K2227">
        <v>2011</v>
      </c>
      <c r="L2227">
        <v>12</v>
      </c>
      <c r="M2227" t="s">
        <v>41</v>
      </c>
      <c r="N2227">
        <v>27</v>
      </c>
      <c r="O2227">
        <v>4</v>
      </c>
      <c r="P2227">
        <v>27</v>
      </c>
      <c r="Q2227">
        <v>10.98</v>
      </c>
      <c r="R2227" t="s">
        <v>26</v>
      </c>
      <c r="S2227" t="b">
        <v>0</v>
      </c>
      <c r="T2227" t="b">
        <v>0</v>
      </c>
    </row>
    <row r="2228" spans="1:20" x14ac:dyDescent="0.3">
      <c r="A2228" t="s">
        <v>3257</v>
      </c>
      <c r="B2228" s="1">
        <v>40904</v>
      </c>
      <c r="C2228" s="1">
        <v>40908</v>
      </c>
      <c r="D2228" t="s">
        <v>995</v>
      </c>
      <c r="E2228" t="s">
        <v>2369</v>
      </c>
      <c r="F2228" t="s">
        <v>119</v>
      </c>
      <c r="G2228" t="s">
        <v>155</v>
      </c>
      <c r="H2228">
        <v>7.86</v>
      </c>
      <c r="I2228">
        <v>3</v>
      </c>
      <c r="J2228">
        <v>3.6156000000000001</v>
      </c>
      <c r="K2228">
        <v>2011</v>
      </c>
      <c r="L2228">
        <v>12</v>
      </c>
      <c r="M2228" t="s">
        <v>41</v>
      </c>
      <c r="N2228">
        <v>27</v>
      </c>
      <c r="O2228">
        <v>4</v>
      </c>
      <c r="P2228">
        <v>46</v>
      </c>
      <c r="Q2228">
        <v>2.62</v>
      </c>
      <c r="R2228" t="s">
        <v>26</v>
      </c>
      <c r="S2228" t="b">
        <v>0</v>
      </c>
      <c r="T2228" t="b">
        <v>0</v>
      </c>
    </row>
    <row r="2229" spans="1:20" x14ac:dyDescent="0.3">
      <c r="A2229" t="s">
        <v>3257</v>
      </c>
      <c r="B2229" s="1">
        <v>40904</v>
      </c>
      <c r="C2229" s="1">
        <v>40908</v>
      </c>
      <c r="D2229" t="s">
        <v>995</v>
      </c>
      <c r="E2229" t="s">
        <v>2369</v>
      </c>
      <c r="F2229" t="s">
        <v>45</v>
      </c>
      <c r="G2229" t="s">
        <v>355</v>
      </c>
      <c r="H2229">
        <v>51.45</v>
      </c>
      <c r="I2229">
        <v>3</v>
      </c>
      <c r="J2229">
        <v>13.891500000000001</v>
      </c>
      <c r="K2229">
        <v>2011</v>
      </c>
      <c r="L2229">
        <v>12</v>
      </c>
      <c r="M2229" t="s">
        <v>41</v>
      </c>
      <c r="N2229">
        <v>27</v>
      </c>
      <c r="O2229">
        <v>4</v>
      </c>
      <c r="P2229">
        <v>27</v>
      </c>
      <c r="Q2229">
        <v>17.149999999999999</v>
      </c>
      <c r="R2229" t="s">
        <v>26</v>
      </c>
      <c r="S2229" t="b">
        <v>0</v>
      </c>
      <c r="T2229" t="b">
        <v>0</v>
      </c>
    </row>
    <row r="2230" spans="1:20" x14ac:dyDescent="0.3">
      <c r="A2230" t="s">
        <v>3257</v>
      </c>
      <c r="B2230" s="1">
        <v>40904</v>
      </c>
      <c r="C2230" s="1">
        <v>40908</v>
      </c>
      <c r="D2230" t="s">
        <v>995</v>
      </c>
      <c r="E2230" t="s">
        <v>2369</v>
      </c>
      <c r="F2230" t="s">
        <v>33</v>
      </c>
      <c r="G2230" t="s">
        <v>2698</v>
      </c>
      <c r="H2230">
        <v>37.055999999999997</v>
      </c>
      <c r="I2230">
        <v>3</v>
      </c>
      <c r="J2230">
        <v>13.896000000000001</v>
      </c>
      <c r="K2230">
        <v>2011</v>
      </c>
      <c r="L2230">
        <v>12</v>
      </c>
      <c r="M2230" t="s">
        <v>41</v>
      </c>
      <c r="N2230">
        <v>27</v>
      </c>
      <c r="O2230">
        <v>4</v>
      </c>
      <c r="P2230">
        <v>37.5</v>
      </c>
      <c r="Q2230">
        <v>12.352</v>
      </c>
      <c r="R2230" t="s">
        <v>26</v>
      </c>
      <c r="S2230" t="b">
        <v>0</v>
      </c>
      <c r="T2230" t="b">
        <v>0</v>
      </c>
    </row>
    <row r="2231" spans="1:20" x14ac:dyDescent="0.3">
      <c r="A2231" t="s">
        <v>3258</v>
      </c>
      <c r="B2231" s="1">
        <v>41255</v>
      </c>
      <c r="C2231" s="1">
        <v>41258</v>
      </c>
      <c r="D2231" t="s">
        <v>2042</v>
      </c>
      <c r="E2231" t="s">
        <v>271</v>
      </c>
      <c r="F2231" t="s">
        <v>72</v>
      </c>
      <c r="G2231" t="s">
        <v>2132</v>
      </c>
      <c r="H2231">
        <v>32.4</v>
      </c>
      <c r="I2231">
        <v>5</v>
      </c>
      <c r="J2231">
        <v>15.875999999999999</v>
      </c>
      <c r="K2231">
        <v>2012</v>
      </c>
      <c r="L2231">
        <v>12</v>
      </c>
      <c r="M2231" t="s">
        <v>41</v>
      </c>
      <c r="N2231">
        <v>12</v>
      </c>
      <c r="O2231">
        <v>3</v>
      </c>
      <c r="P2231">
        <v>49</v>
      </c>
      <c r="Q2231">
        <v>6.48</v>
      </c>
      <c r="R2231" t="s">
        <v>26</v>
      </c>
      <c r="S2231" t="b">
        <v>0</v>
      </c>
      <c r="T2231" t="b">
        <v>0</v>
      </c>
    </row>
    <row r="2232" spans="1:20" x14ac:dyDescent="0.3">
      <c r="A2232" t="s">
        <v>3258</v>
      </c>
      <c r="B2232" s="1">
        <v>41255</v>
      </c>
      <c r="C2232" s="1">
        <v>41258</v>
      </c>
      <c r="D2232" t="s">
        <v>2042</v>
      </c>
      <c r="E2232" t="s">
        <v>271</v>
      </c>
      <c r="F2232" t="s">
        <v>72</v>
      </c>
      <c r="G2232" t="s">
        <v>3029</v>
      </c>
      <c r="H2232">
        <v>97.88</v>
      </c>
      <c r="I2232">
        <v>2</v>
      </c>
      <c r="J2232">
        <v>48.94</v>
      </c>
      <c r="K2232">
        <v>2012</v>
      </c>
      <c r="L2232">
        <v>12</v>
      </c>
      <c r="M2232" t="s">
        <v>41</v>
      </c>
      <c r="N2232">
        <v>12</v>
      </c>
      <c r="O2232">
        <v>3</v>
      </c>
      <c r="P2232">
        <v>50</v>
      </c>
      <c r="Q2232">
        <v>48.94</v>
      </c>
      <c r="R2232" t="s">
        <v>26</v>
      </c>
      <c r="S2232" t="b">
        <v>0</v>
      </c>
      <c r="T2232" t="b">
        <v>0</v>
      </c>
    </row>
    <row r="2233" spans="1:20" x14ac:dyDescent="0.3">
      <c r="A2233" t="s">
        <v>3259</v>
      </c>
      <c r="B2233" s="1">
        <v>40626</v>
      </c>
      <c r="C2233" s="1">
        <v>40631</v>
      </c>
      <c r="D2233" t="s">
        <v>653</v>
      </c>
      <c r="E2233" t="s">
        <v>737</v>
      </c>
      <c r="F2233" t="s">
        <v>29</v>
      </c>
      <c r="G2233" t="s">
        <v>2676</v>
      </c>
      <c r="H2233">
        <v>40.479999999999997</v>
      </c>
      <c r="I2233">
        <v>2</v>
      </c>
      <c r="J2233">
        <v>14.572800000000001</v>
      </c>
      <c r="K2233">
        <v>2011</v>
      </c>
      <c r="L2233">
        <v>3</v>
      </c>
      <c r="M2233" t="s">
        <v>135</v>
      </c>
      <c r="N2233">
        <v>24</v>
      </c>
      <c r="O2233">
        <v>5</v>
      </c>
      <c r="P2233">
        <v>36</v>
      </c>
      <c r="Q2233">
        <v>20.239999999999998</v>
      </c>
      <c r="R2233" t="s">
        <v>26</v>
      </c>
      <c r="S2233" t="b">
        <v>0</v>
      </c>
      <c r="T2233" t="b">
        <v>0</v>
      </c>
    </row>
    <row r="2234" spans="1:20" x14ac:dyDescent="0.3">
      <c r="A2234" t="s">
        <v>3260</v>
      </c>
      <c r="B2234" s="1">
        <v>41799</v>
      </c>
      <c r="C2234" s="1">
        <v>41801</v>
      </c>
      <c r="D2234" t="s">
        <v>3261</v>
      </c>
      <c r="E2234" t="s">
        <v>22</v>
      </c>
      <c r="F2234" t="s">
        <v>54</v>
      </c>
      <c r="G2234" t="s">
        <v>3262</v>
      </c>
      <c r="H2234">
        <v>17.52</v>
      </c>
      <c r="I2234">
        <v>2</v>
      </c>
      <c r="J2234">
        <v>-3.504</v>
      </c>
      <c r="K2234">
        <v>2014</v>
      </c>
      <c r="L2234">
        <v>6</v>
      </c>
      <c r="M2234" t="s">
        <v>25</v>
      </c>
      <c r="N2234">
        <v>9</v>
      </c>
      <c r="O2234">
        <v>2</v>
      </c>
      <c r="P2234">
        <v>-20</v>
      </c>
      <c r="Q2234">
        <v>8.76</v>
      </c>
      <c r="R2234" t="s">
        <v>26</v>
      </c>
      <c r="S2234" t="b">
        <v>1</v>
      </c>
      <c r="T2234" t="b">
        <v>0</v>
      </c>
    </row>
    <row r="2235" spans="1:20" x14ac:dyDescent="0.3">
      <c r="A2235" t="s">
        <v>3263</v>
      </c>
      <c r="B2235" s="1">
        <v>41569</v>
      </c>
      <c r="C2235" s="1">
        <v>41574</v>
      </c>
      <c r="D2235" t="s">
        <v>1792</v>
      </c>
      <c r="E2235" t="s">
        <v>981</v>
      </c>
      <c r="F2235" t="s">
        <v>31</v>
      </c>
      <c r="G2235" t="s">
        <v>3264</v>
      </c>
      <c r="H2235">
        <v>113.22</v>
      </c>
      <c r="I2235">
        <v>3</v>
      </c>
      <c r="J2235">
        <v>29.437200000000001</v>
      </c>
      <c r="K2235">
        <v>2013</v>
      </c>
      <c r="L2235">
        <v>10</v>
      </c>
      <c r="M2235" t="s">
        <v>82</v>
      </c>
      <c r="N2235">
        <v>22</v>
      </c>
      <c r="O2235">
        <v>5</v>
      </c>
      <c r="P2235">
        <v>26</v>
      </c>
      <c r="Q2235">
        <v>37.74</v>
      </c>
      <c r="R2235" t="s">
        <v>26</v>
      </c>
      <c r="S2235" t="b">
        <v>0</v>
      </c>
      <c r="T2235" t="b">
        <v>0</v>
      </c>
    </row>
    <row r="2236" spans="1:20" x14ac:dyDescent="0.3">
      <c r="A2236" t="s">
        <v>3263</v>
      </c>
      <c r="B2236" s="1">
        <v>41569</v>
      </c>
      <c r="C2236" s="1">
        <v>41574</v>
      </c>
      <c r="D2236" t="s">
        <v>1792</v>
      </c>
      <c r="E2236" t="s">
        <v>981</v>
      </c>
      <c r="F2236" t="s">
        <v>72</v>
      </c>
      <c r="G2236" t="s">
        <v>3265</v>
      </c>
      <c r="H2236">
        <v>35.880000000000003</v>
      </c>
      <c r="I2236">
        <v>6</v>
      </c>
      <c r="J2236">
        <v>17.581199999999999</v>
      </c>
      <c r="K2236">
        <v>2013</v>
      </c>
      <c r="L2236">
        <v>10</v>
      </c>
      <c r="M2236" t="s">
        <v>82</v>
      </c>
      <c r="N2236">
        <v>22</v>
      </c>
      <c r="O2236">
        <v>5</v>
      </c>
      <c r="P2236">
        <v>49</v>
      </c>
      <c r="Q2236">
        <v>5.98</v>
      </c>
      <c r="R2236" t="s">
        <v>26</v>
      </c>
      <c r="S2236" t="b">
        <v>0</v>
      </c>
      <c r="T2236" t="b">
        <v>0</v>
      </c>
    </row>
    <row r="2237" spans="1:20" x14ac:dyDescent="0.3">
      <c r="A2237" t="s">
        <v>3266</v>
      </c>
      <c r="B2237" s="1">
        <v>41666</v>
      </c>
      <c r="C2237" s="1">
        <v>41670</v>
      </c>
      <c r="D2237" t="s">
        <v>285</v>
      </c>
      <c r="E2237" t="s">
        <v>51</v>
      </c>
      <c r="F2237" t="s">
        <v>119</v>
      </c>
      <c r="G2237" t="s">
        <v>969</v>
      </c>
      <c r="H2237">
        <v>11.84</v>
      </c>
      <c r="I2237">
        <v>8</v>
      </c>
      <c r="J2237">
        <v>5.6832000000000003</v>
      </c>
      <c r="K2237">
        <v>2014</v>
      </c>
      <c r="L2237">
        <v>1</v>
      </c>
      <c r="M2237" t="s">
        <v>60</v>
      </c>
      <c r="N2237">
        <v>27</v>
      </c>
      <c r="O2237">
        <v>4</v>
      </c>
      <c r="P2237">
        <v>48</v>
      </c>
      <c r="Q2237">
        <v>1.48</v>
      </c>
      <c r="R2237" t="s">
        <v>26</v>
      </c>
      <c r="S2237" t="b">
        <v>0</v>
      </c>
      <c r="T2237" t="b">
        <v>0</v>
      </c>
    </row>
    <row r="2238" spans="1:20" x14ac:dyDescent="0.3">
      <c r="A2238" t="s">
        <v>3267</v>
      </c>
      <c r="B2238" s="1">
        <v>40679</v>
      </c>
      <c r="C2238" s="1">
        <v>40686</v>
      </c>
      <c r="D2238" t="s">
        <v>3268</v>
      </c>
      <c r="E2238" t="s">
        <v>22</v>
      </c>
      <c r="F2238" t="s">
        <v>110</v>
      </c>
      <c r="G2238" t="s">
        <v>2478</v>
      </c>
      <c r="H2238">
        <v>232.88</v>
      </c>
      <c r="I2238">
        <v>5</v>
      </c>
      <c r="J2238">
        <v>17.466000000000001</v>
      </c>
      <c r="K2238">
        <v>2011</v>
      </c>
      <c r="L2238">
        <v>5</v>
      </c>
      <c r="M2238" t="s">
        <v>47</v>
      </c>
      <c r="N2238">
        <v>16</v>
      </c>
      <c r="O2238">
        <v>7</v>
      </c>
      <c r="P2238">
        <v>7.5</v>
      </c>
      <c r="Q2238">
        <v>46.576000000000001</v>
      </c>
      <c r="R2238" t="s">
        <v>26</v>
      </c>
      <c r="S2238" t="b">
        <v>0</v>
      </c>
      <c r="T2238" t="b">
        <v>1</v>
      </c>
    </row>
    <row r="2239" spans="1:20" x14ac:dyDescent="0.3">
      <c r="A2239" t="s">
        <v>3269</v>
      </c>
      <c r="B2239" s="1">
        <v>41025</v>
      </c>
      <c r="C2239" s="1">
        <v>41030</v>
      </c>
      <c r="D2239" t="s">
        <v>2868</v>
      </c>
      <c r="E2239" t="s">
        <v>194</v>
      </c>
      <c r="F2239" t="s">
        <v>110</v>
      </c>
      <c r="G2239" t="s">
        <v>1440</v>
      </c>
      <c r="H2239">
        <v>63.936</v>
      </c>
      <c r="I2239">
        <v>3</v>
      </c>
      <c r="J2239">
        <v>6.3936000000000002</v>
      </c>
      <c r="K2239">
        <v>2012</v>
      </c>
      <c r="L2239">
        <v>4</v>
      </c>
      <c r="M2239" t="s">
        <v>236</v>
      </c>
      <c r="N2239">
        <v>26</v>
      </c>
      <c r="O2239">
        <v>5</v>
      </c>
      <c r="P2239">
        <v>10</v>
      </c>
      <c r="Q2239">
        <v>21.312000000000001</v>
      </c>
      <c r="R2239" t="s">
        <v>26</v>
      </c>
      <c r="S2239" t="b">
        <v>0</v>
      </c>
      <c r="T2239" t="b">
        <v>0</v>
      </c>
    </row>
    <row r="2240" spans="1:20" x14ac:dyDescent="0.3">
      <c r="A2240" t="s">
        <v>3269</v>
      </c>
      <c r="B2240" s="1">
        <v>41025</v>
      </c>
      <c r="C2240" s="1">
        <v>41030</v>
      </c>
      <c r="D2240" t="s">
        <v>2868</v>
      </c>
      <c r="E2240" t="s">
        <v>194</v>
      </c>
      <c r="F2240" t="s">
        <v>31</v>
      </c>
      <c r="G2240" t="s">
        <v>1547</v>
      </c>
      <c r="H2240">
        <v>59.52</v>
      </c>
      <c r="I2240">
        <v>3</v>
      </c>
      <c r="J2240">
        <v>15.475199999999999</v>
      </c>
      <c r="K2240">
        <v>2012</v>
      </c>
      <c r="L2240">
        <v>4</v>
      </c>
      <c r="M2240" t="s">
        <v>236</v>
      </c>
      <c r="N2240">
        <v>26</v>
      </c>
      <c r="O2240">
        <v>5</v>
      </c>
      <c r="P2240">
        <v>26</v>
      </c>
      <c r="Q2240">
        <v>19.84</v>
      </c>
      <c r="R2240" t="s">
        <v>26</v>
      </c>
      <c r="S2240" t="b">
        <v>0</v>
      </c>
      <c r="T2240" t="b">
        <v>0</v>
      </c>
    </row>
    <row r="2241" spans="1:20" x14ac:dyDescent="0.3">
      <c r="A2241" t="s">
        <v>3269</v>
      </c>
      <c r="B2241" s="1">
        <v>41025</v>
      </c>
      <c r="C2241" s="1">
        <v>41030</v>
      </c>
      <c r="D2241" t="s">
        <v>2868</v>
      </c>
      <c r="E2241" t="s">
        <v>194</v>
      </c>
      <c r="F2241" t="s">
        <v>54</v>
      </c>
      <c r="G2241" t="s">
        <v>2674</v>
      </c>
      <c r="H2241">
        <v>311.976</v>
      </c>
      <c r="I2241">
        <v>3</v>
      </c>
      <c r="J2241">
        <v>38.997</v>
      </c>
      <c r="K2241">
        <v>2012</v>
      </c>
      <c r="L2241">
        <v>4</v>
      </c>
      <c r="M2241" t="s">
        <v>236</v>
      </c>
      <c r="N2241">
        <v>26</v>
      </c>
      <c r="O2241">
        <v>5</v>
      </c>
      <c r="P2241">
        <v>12.5</v>
      </c>
      <c r="Q2241">
        <v>103.992</v>
      </c>
      <c r="R2241" t="s">
        <v>26</v>
      </c>
      <c r="S2241" t="b">
        <v>0</v>
      </c>
      <c r="T2241" t="b">
        <v>1</v>
      </c>
    </row>
    <row r="2242" spans="1:20" x14ac:dyDescent="0.3">
      <c r="A2242" t="s">
        <v>3269</v>
      </c>
      <c r="B2242" s="1">
        <v>41025</v>
      </c>
      <c r="C2242" s="1">
        <v>41030</v>
      </c>
      <c r="D2242" t="s">
        <v>2868</v>
      </c>
      <c r="E2242" t="s">
        <v>194</v>
      </c>
      <c r="F2242" t="s">
        <v>33</v>
      </c>
      <c r="G2242" t="s">
        <v>2067</v>
      </c>
      <c r="H2242">
        <v>50.351999999999997</v>
      </c>
      <c r="I2242">
        <v>3</v>
      </c>
      <c r="J2242">
        <v>17.623200000000001</v>
      </c>
      <c r="K2242">
        <v>2012</v>
      </c>
      <c r="L2242">
        <v>4</v>
      </c>
      <c r="M2242" t="s">
        <v>236</v>
      </c>
      <c r="N2242">
        <v>26</v>
      </c>
      <c r="O2242">
        <v>5</v>
      </c>
      <c r="P2242">
        <v>35</v>
      </c>
      <c r="Q2242">
        <v>16.783999999999999</v>
      </c>
      <c r="R2242" t="s">
        <v>26</v>
      </c>
      <c r="S2242" t="b">
        <v>0</v>
      </c>
      <c r="T2242" t="b">
        <v>0</v>
      </c>
    </row>
    <row r="2243" spans="1:20" x14ac:dyDescent="0.3">
      <c r="A2243" t="s">
        <v>3270</v>
      </c>
      <c r="B2243" s="1">
        <v>41012</v>
      </c>
      <c r="C2243" s="1">
        <v>41016</v>
      </c>
      <c r="D2243" t="s">
        <v>2436</v>
      </c>
      <c r="E2243" t="s">
        <v>22</v>
      </c>
      <c r="F2243" t="s">
        <v>174</v>
      </c>
      <c r="G2243" t="s">
        <v>2601</v>
      </c>
      <c r="H2243">
        <v>241.56800000000001</v>
      </c>
      <c r="I2243">
        <v>2</v>
      </c>
      <c r="J2243">
        <v>-15.098000000000001</v>
      </c>
      <c r="K2243">
        <v>2012</v>
      </c>
      <c r="L2243">
        <v>4</v>
      </c>
      <c r="M2243" t="s">
        <v>236</v>
      </c>
      <c r="N2243">
        <v>13</v>
      </c>
      <c r="O2243">
        <v>4</v>
      </c>
      <c r="P2243">
        <v>-6.25</v>
      </c>
      <c r="Q2243">
        <v>120.78400000000001</v>
      </c>
      <c r="R2243" t="s">
        <v>26</v>
      </c>
      <c r="S2243" t="b">
        <v>1</v>
      </c>
      <c r="T2243" t="b">
        <v>1</v>
      </c>
    </row>
    <row r="2244" spans="1:20" x14ac:dyDescent="0.3">
      <c r="A2244" t="s">
        <v>3270</v>
      </c>
      <c r="B2244" s="1">
        <v>41012</v>
      </c>
      <c r="C2244" s="1">
        <v>41016</v>
      </c>
      <c r="D2244" t="s">
        <v>2436</v>
      </c>
      <c r="E2244" t="s">
        <v>22</v>
      </c>
      <c r="F2244" t="s">
        <v>54</v>
      </c>
      <c r="G2244" t="s">
        <v>3271</v>
      </c>
      <c r="H2244">
        <v>479.92</v>
      </c>
      <c r="I2244">
        <v>2</v>
      </c>
      <c r="J2244">
        <v>41.993000000000002</v>
      </c>
      <c r="K2244">
        <v>2012</v>
      </c>
      <c r="L2244">
        <v>4</v>
      </c>
      <c r="M2244" t="s">
        <v>236</v>
      </c>
      <c r="N2244">
        <v>13</v>
      </c>
      <c r="O2244">
        <v>4</v>
      </c>
      <c r="P2244">
        <v>8.75</v>
      </c>
      <c r="Q2244">
        <v>239.96</v>
      </c>
      <c r="R2244" t="s">
        <v>26</v>
      </c>
      <c r="S2244" t="b">
        <v>0</v>
      </c>
      <c r="T2244" t="b">
        <v>1</v>
      </c>
    </row>
    <row r="2245" spans="1:20" x14ac:dyDescent="0.3">
      <c r="A2245" t="s">
        <v>3272</v>
      </c>
      <c r="B2245" s="1">
        <v>41177</v>
      </c>
      <c r="C2245" s="1">
        <v>41182</v>
      </c>
      <c r="D2245" t="s">
        <v>126</v>
      </c>
      <c r="E2245" t="s">
        <v>39</v>
      </c>
      <c r="F2245" t="s">
        <v>110</v>
      </c>
      <c r="G2245" t="s">
        <v>1556</v>
      </c>
      <c r="H2245">
        <v>307.13600000000002</v>
      </c>
      <c r="I2245">
        <v>4</v>
      </c>
      <c r="J2245">
        <v>-11.5176</v>
      </c>
      <c r="K2245">
        <v>2012</v>
      </c>
      <c r="L2245">
        <v>9</v>
      </c>
      <c r="M2245" t="s">
        <v>87</v>
      </c>
      <c r="N2245">
        <v>25</v>
      </c>
      <c r="O2245">
        <v>5</v>
      </c>
      <c r="P2245">
        <v>-3.75</v>
      </c>
      <c r="Q2245">
        <v>76.784000000000006</v>
      </c>
      <c r="R2245" t="s">
        <v>26</v>
      </c>
      <c r="S2245" t="b">
        <v>1</v>
      </c>
      <c r="T2245" t="b">
        <v>1</v>
      </c>
    </row>
    <row r="2246" spans="1:20" x14ac:dyDescent="0.3">
      <c r="A2246" t="s">
        <v>3272</v>
      </c>
      <c r="B2246" s="1">
        <v>41177</v>
      </c>
      <c r="C2246" s="1">
        <v>41182</v>
      </c>
      <c r="D2246" t="s">
        <v>126</v>
      </c>
      <c r="E2246" t="s">
        <v>39</v>
      </c>
      <c r="F2246" t="s">
        <v>23</v>
      </c>
      <c r="G2246" t="s">
        <v>3273</v>
      </c>
      <c r="H2246">
        <v>12.6</v>
      </c>
      <c r="I2246">
        <v>2</v>
      </c>
      <c r="J2246">
        <v>5.7960000000000003</v>
      </c>
      <c r="K2246">
        <v>2012</v>
      </c>
      <c r="L2246">
        <v>9</v>
      </c>
      <c r="M2246" t="s">
        <v>87</v>
      </c>
      <c r="N2246">
        <v>25</v>
      </c>
      <c r="O2246">
        <v>5</v>
      </c>
      <c r="P2246">
        <v>46</v>
      </c>
      <c r="Q2246">
        <v>6.3</v>
      </c>
      <c r="R2246" t="s">
        <v>26</v>
      </c>
      <c r="S2246" t="b">
        <v>0</v>
      </c>
      <c r="T2246" t="b">
        <v>0</v>
      </c>
    </row>
    <row r="2247" spans="1:20" x14ac:dyDescent="0.3">
      <c r="A2247" t="s">
        <v>3272</v>
      </c>
      <c r="B2247" s="1">
        <v>41177</v>
      </c>
      <c r="C2247" s="1">
        <v>41182</v>
      </c>
      <c r="D2247" t="s">
        <v>126</v>
      </c>
      <c r="E2247" t="s">
        <v>39</v>
      </c>
      <c r="F2247" t="s">
        <v>61</v>
      </c>
      <c r="G2247" t="s">
        <v>3274</v>
      </c>
      <c r="H2247">
        <v>159.97999999999999</v>
      </c>
      <c r="I2247">
        <v>2</v>
      </c>
      <c r="J2247">
        <v>57.592799999999997</v>
      </c>
      <c r="K2247">
        <v>2012</v>
      </c>
      <c r="L2247">
        <v>9</v>
      </c>
      <c r="M2247" t="s">
        <v>87</v>
      </c>
      <c r="N2247">
        <v>25</v>
      </c>
      <c r="O2247">
        <v>5</v>
      </c>
      <c r="P2247">
        <v>36</v>
      </c>
      <c r="Q2247">
        <v>79.989999999999995</v>
      </c>
      <c r="R2247" t="s">
        <v>26</v>
      </c>
      <c r="S2247" t="b">
        <v>0</v>
      </c>
      <c r="T2247" t="b">
        <v>0</v>
      </c>
    </row>
    <row r="2248" spans="1:20" x14ac:dyDescent="0.3">
      <c r="A2248" t="s">
        <v>3275</v>
      </c>
      <c r="B2248" s="1">
        <v>41268</v>
      </c>
      <c r="C2248" s="1">
        <v>41272</v>
      </c>
      <c r="D2248" t="s">
        <v>3276</v>
      </c>
      <c r="E2248" t="s">
        <v>22</v>
      </c>
      <c r="F2248" t="s">
        <v>72</v>
      </c>
      <c r="G2248" t="s">
        <v>3277</v>
      </c>
      <c r="H2248">
        <v>9.9600000000000009</v>
      </c>
      <c r="I2248">
        <v>2</v>
      </c>
      <c r="J2248">
        <v>4.8803999999999998</v>
      </c>
      <c r="K2248">
        <v>2012</v>
      </c>
      <c r="L2248">
        <v>12</v>
      </c>
      <c r="M2248" t="s">
        <v>41</v>
      </c>
      <c r="N2248">
        <v>25</v>
      </c>
      <c r="O2248">
        <v>4</v>
      </c>
      <c r="P2248">
        <v>49</v>
      </c>
      <c r="Q2248">
        <v>4.9800000000000004</v>
      </c>
      <c r="R2248" t="s">
        <v>48</v>
      </c>
      <c r="S2248" t="b">
        <v>0</v>
      </c>
      <c r="T2248" t="b">
        <v>0</v>
      </c>
    </row>
    <row r="2249" spans="1:20" x14ac:dyDescent="0.3">
      <c r="A2249" t="s">
        <v>3278</v>
      </c>
      <c r="B2249" s="1">
        <v>41194</v>
      </c>
      <c r="C2249" s="1">
        <v>41199</v>
      </c>
      <c r="D2249" t="s">
        <v>1169</v>
      </c>
      <c r="E2249" t="s">
        <v>39</v>
      </c>
      <c r="F2249" t="s">
        <v>61</v>
      </c>
      <c r="G2249" t="s">
        <v>1008</v>
      </c>
      <c r="H2249">
        <v>17.899999999999999</v>
      </c>
      <c r="I2249">
        <v>2</v>
      </c>
      <c r="J2249">
        <v>3.4009999999999998</v>
      </c>
      <c r="K2249">
        <v>2012</v>
      </c>
      <c r="L2249">
        <v>10</v>
      </c>
      <c r="M2249" t="s">
        <v>82</v>
      </c>
      <c r="N2249">
        <v>12</v>
      </c>
      <c r="O2249">
        <v>5</v>
      </c>
      <c r="P2249">
        <v>19</v>
      </c>
      <c r="Q2249">
        <v>8.9499999999999993</v>
      </c>
      <c r="R2249" t="s">
        <v>26</v>
      </c>
      <c r="S2249" t="b">
        <v>0</v>
      </c>
      <c r="T2249" t="b">
        <v>0</v>
      </c>
    </row>
    <row r="2250" spans="1:20" x14ac:dyDescent="0.3">
      <c r="A2250" t="s">
        <v>3278</v>
      </c>
      <c r="B2250" s="1">
        <v>41194</v>
      </c>
      <c r="C2250" s="1">
        <v>41199</v>
      </c>
      <c r="D2250" t="s">
        <v>1169</v>
      </c>
      <c r="E2250" t="s">
        <v>39</v>
      </c>
      <c r="F2250" t="s">
        <v>45</v>
      </c>
      <c r="G2250" t="s">
        <v>3279</v>
      </c>
      <c r="H2250">
        <v>81.96</v>
      </c>
      <c r="I2250">
        <v>2</v>
      </c>
      <c r="J2250">
        <v>0</v>
      </c>
      <c r="K2250">
        <v>2012</v>
      </c>
      <c r="L2250">
        <v>10</v>
      </c>
      <c r="M2250" t="s">
        <v>82</v>
      </c>
      <c r="N2250">
        <v>12</v>
      </c>
      <c r="O2250">
        <v>5</v>
      </c>
      <c r="P2250">
        <v>0</v>
      </c>
      <c r="Q2250">
        <v>40.98</v>
      </c>
      <c r="R2250" t="s">
        <v>26</v>
      </c>
      <c r="S2250" t="b">
        <v>0</v>
      </c>
      <c r="T2250" t="b">
        <v>0</v>
      </c>
    </row>
    <row r="2251" spans="1:20" x14ac:dyDescent="0.3">
      <c r="A2251" t="s">
        <v>3280</v>
      </c>
      <c r="B2251" s="1">
        <v>41104</v>
      </c>
      <c r="C2251" s="1">
        <v>41109</v>
      </c>
      <c r="D2251" t="s">
        <v>1270</v>
      </c>
      <c r="E2251" t="s">
        <v>368</v>
      </c>
      <c r="F2251" t="s">
        <v>45</v>
      </c>
      <c r="G2251" t="s">
        <v>316</v>
      </c>
      <c r="H2251">
        <v>272.73599999999999</v>
      </c>
      <c r="I2251">
        <v>3</v>
      </c>
      <c r="J2251">
        <v>-64.774799999999999</v>
      </c>
      <c r="K2251">
        <v>2012</v>
      </c>
      <c r="L2251">
        <v>7</v>
      </c>
      <c r="M2251" t="s">
        <v>66</v>
      </c>
      <c r="N2251">
        <v>14</v>
      </c>
      <c r="O2251">
        <v>5</v>
      </c>
      <c r="P2251">
        <v>-23.75</v>
      </c>
      <c r="Q2251">
        <v>90.911999999999992</v>
      </c>
      <c r="R2251" t="s">
        <v>26</v>
      </c>
      <c r="S2251" t="b">
        <v>1</v>
      </c>
      <c r="T2251" t="b">
        <v>1</v>
      </c>
    </row>
    <row r="2252" spans="1:20" x14ac:dyDescent="0.3">
      <c r="A2252" t="s">
        <v>3280</v>
      </c>
      <c r="B2252" s="1">
        <v>41104</v>
      </c>
      <c r="C2252" s="1">
        <v>41109</v>
      </c>
      <c r="D2252" t="s">
        <v>1270</v>
      </c>
      <c r="E2252" t="s">
        <v>368</v>
      </c>
      <c r="F2252" t="s">
        <v>72</v>
      </c>
      <c r="G2252" t="s">
        <v>3281</v>
      </c>
      <c r="H2252">
        <v>18.495999999999999</v>
      </c>
      <c r="I2252">
        <v>4</v>
      </c>
      <c r="J2252">
        <v>6.7047999999999996</v>
      </c>
      <c r="K2252">
        <v>2012</v>
      </c>
      <c r="L2252">
        <v>7</v>
      </c>
      <c r="M2252" t="s">
        <v>66</v>
      </c>
      <c r="N2252">
        <v>14</v>
      </c>
      <c r="O2252">
        <v>5</v>
      </c>
      <c r="P2252">
        <v>36.25</v>
      </c>
      <c r="Q2252">
        <v>4.6239999999999997</v>
      </c>
      <c r="R2252" t="s">
        <v>26</v>
      </c>
      <c r="S2252" t="b">
        <v>0</v>
      </c>
      <c r="T2252" t="b">
        <v>0</v>
      </c>
    </row>
    <row r="2253" spans="1:20" x14ac:dyDescent="0.3">
      <c r="A2253" t="s">
        <v>3280</v>
      </c>
      <c r="B2253" s="1">
        <v>41104</v>
      </c>
      <c r="C2253" s="1">
        <v>41109</v>
      </c>
      <c r="D2253" t="s">
        <v>1270</v>
      </c>
      <c r="E2253" t="s">
        <v>368</v>
      </c>
      <c r="F2253" t="s">
        <v>110</v>
      </c>
      <c r="G2253" t="s">
        <v>1441</v>
      </c>
      <c r="H2253">
        <v>441.92</v>
      </c>
      <c r="I2253">
        <v>2</v>
      </c>
      <c r="J2253">
        <v>49.716000000000001</v>
      </c>
      <c r="K2253">
        <v>2012</v>
      </c>
      <c r="L2253">
        <v>7</v>
      </c>
      <c r="M2253" t="s">
        <v>66</v>
      </c>
      <c r="N2253">
        <v>14</v>
      </c>
      <c r="O2253">
        <v>5</v>
      </c>
      <c r="P2253">
        <v>11.25</v>
      </c>
      <c r="Q2253">
        <v>220.96</v>
      </c>
      <c r="R2253" t="s">
        <v>26</v>
      </c>
      <c r="S2253" t="b">
        <v>0</v>
      </c>
      <c r="T2253" t="b">
        <v>1</v>
      </c>
    </row>
    <row r="2254" spans="1:20" x14ac:dyDescent="0.3">
      <c r="A2254" t="s">
        <v>3280</v>
      </c>
      <c r="B2254" s="1">
        <v>41104</v>
      </c>
      <c r="C2254" s="1">
        <v>41109</v>
      </c>
      <c r="D2254" t="s">
        <v>1270</v>
      </c>
      <c r="E2254" t="s">
        <v>368</v>
      </c>
      <c r="F2254" t="s">
        <v>317</v>
      </c>
      <c r="G2254" t="s">
        <v>3282</v>
      </c>
      <c r="H2254">
        <v>127.764</v>
      </c>
      <c r="I2254">
        <v>6</v>
      </c>
      <c r="J2254">
        <v>-191.64599999999999</v>
      </c>
      <c r="K2254">
        <v>2012</v>
      </c>
      <c r="L2254">
        <v>7</v>
      </c>
      <c r="M2254" t="s">
        <v>66</v>
      </c>
      <c r="N2254">
        <v>14</v>
      </c>
      <c r="O2254">
        <v>5</v>
      </c>
      <c r="P2254">
        <v>-150</v>
      </c>
      <c r="Q2254">
        <v>21.294</v>
      </c>
      <c r="R2254" t="s">
        <v>26</v>
      </c>
      <c r="S2254" t="b">
        <v>1</v>
      </c>
      <c r="T2254" t="b">
        <v>0</v>
      </c>
    </row>
    <row r="2255" spans="1:20" x14ac:dyDescent="0.3">
      <c r="A2255" t="s">
        <v>3283</v>
      </c>
      <c r="B2255" s="1">
        <v>40866</v>
      </c>
      <c r="C2255" s="1">
        <v>40871</v>
      </c>
      <c r="D2255" t="s">
        <v>3284</v>
      </c>
      <c r="E2255" t="s">
        <v>1231</v>
      </c>
      <c r="F2255" t="s">
        <v>72</v>
      </c>
      <c r="G2255" t="s">
        <v>1457</v>
      </c>
      <c r="H2255">
        <v>166.44</v>
      </c>
      <c r="I2255">
        <v>3</v>
      </c>
      <c r="J2255">
        <v>79.891199999999998</v>
      </c>
      <c r="K2255">
        <v>2011</v>
      </c>
      <c r="L2255">
        <v>11</v>
      </c>
      <c r="M2255" t="s">
        <v>70</v>
      </c>
      <c r="N2255">
        <v>19</v>
      </c>
      <c r="O2255">
        <v>5</v>
      </c>
      <c r="P2255">
        <v>48</v>
      </c>
      <c r="Q2255">
        <v>55.48</v>
      </c>
      <c r="R2255" t="s">
        <v>26</v>
      </c>
      <c r="S2255" t="b">
        <v>0</v>
      </c>
      <c r="T2255" t="b">
        <v>0</v>
      </c>
    </row>
    <row r="2256" spans="1:20" x14ac:dyDescent="0.3">
      <c r="A2256" t="s">
        <v>3285</v>
      </c>
      <c r="B2256" s="1">
        <v>41422</v>
      </c>
      <c r="C2256" s="1">
        <v>41428</v>
      </c>
      <c r="D2256" t="s">
        <v>2687</v>
      </c>
      <c r="E2256" t="s">
        <v>22</v>
      </c>
      <c r="F2256" t="s">
        <v>72</v>
      </c>
      <c r="G2256" t="s">
        <v>1127</v>
      </c>
      <c r="H2256">
        <v>13.38</v>
      </c>
      <c r="I2256">
        <v>2</v>
      </c>
      <c r="J2256">
        <v>6.1547999999999998</v>
      </c>
      <c r="K2256">
        <v>2013</v>
      </c>
      <c r="L2256">
        <v>5</v>
      </c>
      <c r="M2256" t="s">
        <v>47</v>
      </c>
      <c r="N2256">
        <v>28</v>
      </c>
      <c r="O2256">
        <v>6</v>
      </c>
      <c r="P2256">
        <v>46</v>
      </c>
      <c r="Q2256">
        <v>6.69</v>
      </c>
      <c r="R2256" t="s">
        <v>26</v>
      </c>
      <c r="S2256" t="b">
        <v>0</v>
      </c>
      <c r="T2256" t="b">
        <v>0</v>
      </c>
    </row>
    <row r="2257" spans="1:20" x14ac:dyDescent="0.3">
      <c r="A2257" t="s">
        <v>3286</v>
      </c>
      <c r="B2257" s="1">
        <v>41551</v>
      </c>
      <c r="C2257" s="1">
        <v>41555</v>
      </c>
      <c r="D2257" t="s">
        <v>3043</v>
      </c>
      <c r="E2257" t="s">
        <v>2635</v>
      </c>
      <c r="F2257" t="s">
        <v>23</v>
      </c>
      <c r="G2257" t="s">
        <v>2027</v>
      </c>
      <c r="H2257">
        <v>6.16</v>
      </c>
      <c r="I2257">
        <v>2</v>
      </c>
      <c r="J2257">
        <v>2.9567999999999999</v>
      </c>
      <c r="K2257">
        <v>2013</v>
      </c>
      <c r="L2257">
        <v>10</v>
      </c>
      <c r="M2257" t="s">
        <v>82</v>
      </c>
      <c r="N2257">
        <v>4</v>
      </c>
      <c r="O2257">
        <v>4</v>
      </c>
      <c r="P2257">
        <v>48</v>
      </c>
      <c r="Q2257">
        <v>3.08</v>
      </c>
      <c r="R2257" t="s">
        <v>26</v>
      </c>
      <c r="S2257" t="b">
        <v>0</v>
      </c>
      <c r="T2257" t="b">
        <v>0</v>
      </c>
    </row>
    <row r="2258" spans="1:20" x14ac:dyDescent="0.3">
      <c r="A2258" t="s">
        <v>3286</v>
      </c>
      <c r="B2258" s="1">
        <v>41551</v>
      </c>
      <c r="C2258" s="1">
        <v>41555</v>
      </c>
      <c r="D2258" t="s">
        <v>3043</v>
      </c>
      <c r="E2258" t="s">
        <v>2635</v>
      </c>
      <c r="F2258" t="s">
        <v>72</v>
      </c>
      <c r="G2258" t="s">
        <v>3169</v>
      </c>
      <c r="H2258">
        <v>8.56</v>
      </c>
      <c r="I2258">
        <v>2</v>
      </c>
      <c r="J2258">
        <v>3.8519999999999999</v>
      </c>
      <c r="K2258">
        <v>2013</v>
      </c>
      <c r="L2258">
        <v>10</v>
      </c>
      <c r="M2258" t="s">
        <v>82</v>
      </c>
      <c r="N2258">
        <v>4</v>
      </c>
      <c r="O2258">
        <v>4</v>
      </c>
      <c r="P2258">
        <v>45</v>
      </c>
      <c r="Q2258">
        <v>4.28</v>
      </c>
      <c r="R2258" t="s">
        <v>26</v>
      </c>
      <c r="S2258" t="b">
        <v>0</v>
      </c>
      <c r="T2258" t="b">
        <v>0</v>
      </c>
    </row>
    <row r="2259" spans="1:20" x14ac:dyDescent="0.3">
      <c r="A2259" t="s">
        <v>3286</v>
      </c>
      <c r="B2259" s="1">
        <v>41551</v>
      </c>
      <c r="C2259" s="1">
        <v>41555</v>
      </c>
      <c r="D2259" t="s">
        <v>3043</v>
      </c>
      <c r="E2259" t="s">
        <v>2635</v>
      </c>
      <c r="F2259" t="s">
        <v>72</v>
      </c>
      <c r="G2259" t="s">
        <v>1414</v>
      </c>
      <c r="H2259">
        <v>97.82</v>
      </c>
      <c r="I2259">
        <v>2</v>
      </c>
      <c r="J2259">
        <v>45.9754</v>
      </c>
      <c r="K2259">
        <v>2013</v>
      </c>
      <c r="L2259">
        <v>10</v>
      </c>
      <c r="M2259" t="s">
        <v>82</v>
      </c>
      <c r="N2259">
        <v>4</v>
      </c>
      <c r="O2259">
        <v>4</v>
      </c>
      <c r="P2259">
        <v>47</v>
      </c>
      <c r="Q2259">
        <v>48.91</v>
      </c>
      <c r="R2259" t="s">
        <v>26</v>
      </c>
      <c r="S2259" t="b">
        <v>0</v>
      </c>
      <c r="T2259" t="b">
        <v>0</v>
      </c>
    </row>
    <row r="2260" spans="1:20" x14ac:dyDescent="0.3">
      <c r="A2260" t="s">
        <v>3287</v>
      </c>
      <c r="B2260" s="1">
        <v>41892</v>
      </c>
      <c r="C2260" s="1">
        <v>41898</v>
      </c>
      <c r="D2260" t="s">
        <v>828</v>
      </c>
      <c r="E2260" t="s">
        <v>92</v>
      </c>
      <c r="F2260" t="s">
        <v>72</v>
      </c>
      <c r="G2260" t="s">
        <v>2132</v>
      </c>
      <c r="H2260">
        <v>31.103999999999999</v>
      </c>
      <c r="I2260">
        <v>6</v>
      </c>
      <c r="J2260">
        <v>11.2752</v>
      </c>
      <c r="K2260">
        <v>2014</v>
      </c>
      <c r="L2260">
        <v>9</v>
      </c>
      <c r="M2260" t="s">
        <v>87</v>
      </c>
      <c r="N2260">
        <v>10</v>
      </c>
      <c r="O2260">
        <v>6</v>
      </c>
      <c r="P2260">
        <v>36.25</v>
      </c>
      <c r="Q2260">
        <v>5.1840000000000002</v>
      </c>
      <c r="R2260" t="s">
        <v>26</v>
      </c>
      <c r="S2260" t="b">
        <v>0</v>
      </c>
      <c r="T2260" t="b">
        <v>0</v>
      </c>
    </row>
    <row r="2261" spans="1:20" x14ac:dyDescent="0.3">
      <c r="A2261" t="s">
        <v>3287</v>
      </c>
      <c r="B2261" s="1">
        <v>41892</v>
      </c>
      <c r="C2261" s="1">
        <v>41898</v>
      </c>
      <c r="D2261" t="s">
        <v>828</v>
      </c>
      <c r="E2261" t="s">
        <v>92</v>
      </c>
      <c r="F2261" t="s">
        <v>35</v>
      </c>
      <c r="G2261" t="s">
        <v>3288</v>
      </c>
      <c r="H2261">
        <v>11.176</v>
      </c>
      <c r="I2261">
        <v>1</v>
      </c>
      <c r="J2261">
        <v>0.83819999999999995</v>
      </c>
      <c r="K2261">
        <v>2014</v>
      </c>
      <c r="L2261">
        <v>9</v>
      </c>
      <c r="M2261" t="s">
        <v>87</v>
      </c>
      <c r="N2261">
        <v>10</v>
      </c>
      <c r="O2261">
        <v>6</v>
      </c>
      <c r="P2261">
        <v>7.5</v>
      </c>
      <c r="Q2261">
        <v>11.176</v>
      </c>
      <c r="R2261" t="s">
        <v>26</v>
      </c>
      <c r="S2261" t="b">
        <v>0</v>
      </c>
      <c r="T2261" t="b">
        <v>0</v>
      </c>
    </row>
    <row r="2262" spans="1:20" x14ac:dyDescent="0.3">
      <c r="A2262" t="s">
        <v>3289</v>
      </c>
      <c r="B2262" s="1">
        <v>41977</v>
      </c>
      <c r="C2262" s="1">
        <v>41980</v>
      </c>
      <c r="D2262" t="s">
        <v>98</v>
      </c>
      <c r="E2262" t="s">
        <v>1908</v>
      </c>
      <c r="F2262" t="s">
        <v>31</v>
      </c>
      <c r="G2262" t="s">
        <v>1274</v>
      </c>
      <c r="H2262">
        <v>13.343999999999999</v>
      </c>
      <c r="I2262">
        <v>6</v>
      </c>
      <c r="J2262">
        <v>1.0007999999999999</v>
      </c>
      <c r="K2262">
        <v>2014</v>
      </c>
      <c r="L2262">
        <v>12</v>
      </c>
      <c r="M2262" t="s">
        <v>41</v>
      </c>
      <c r="N2262">
        <v>4</v>
      </c>
      <c r="O2262">
        <v>3</v>
      </c>
      <c r="P2262">
        <v>7.5</v>
      </c>
      <c r="Q2262">
        <v>2.2240000000000002</v>
      </c>
      <c r="R2262" t="s">
        <v>26</v>
      </c>
      <c r="S2262" t="b">
        <v>0</v>
      </c>
      <c r="T2262" t="b">
        <v>0</v>
      </c>
    </row>
    <row r="2263" spans="1:20" x14ac:dyDescent="0.3">
      <c r="A2263" t="s">
        <v>3289</v>
      </c>
      <c r="B2263" s="1">
        <v>41977</v>
      </c>
      <c r="C2263" s="1">
        <v>41980</v>
      </c>
      <c r="D2263" t="s">
        <v>98</v>
      </c>
      <c r="E2263" t="s">
        <v>1908</v>
      </c>
      <c r="F2263" t="s">
        <v>61</v>
      </c>
      <c r="G2263" t="s">
        <v>2872</v>
      </c>
      <c r="H2263">
        <v>76.751999999999995</v>
      </c>
      <c r="I2263">
        <v>6</v>
      </c>
      <c r="J2263">
        <v>10.5534</v>
      </c>
      <c r="K2263">
        <v>2014</v>
      </c>
      <c r="L2263">
        <v>12</v>
      </c>
      <c r="M2263" t="s">
        <v>41</v>
      </c>
      <c r="N2263">
        <v>4</v>
      </c>
      <c r="O2263">
        <v>3</v>
      </c>
      <c r="P2263">
        <v>13.75</v>
      </c>
      <c r="Q2263">
        <v>12.792</v>
      </c>
      <c r="R2263" t="s">
        <v>26</v>
      </c>
      <c r="S2263" t="b">
        <v>0</v>
      </c>
      <c r="T2263" t="b">
        <v>0</v>
      </c>
    </row>
    <row r="2264" spans="1:20" x14ac:dyDescent="0.3">
      <c r="A2264" t="s">
        <v>3289</v>
      </c>
      <c r="B2264" s="1">
        <v>41977</v>
      </c>
      <c r="C2264" s="1">
        <v>41980</v>
      </c>
      <c r="D2264" t="s">
        <v>98</v>
      </c>
      <c r="E2264" t="s">
        <v>1908</v>
      </c>
      <c r="F2264" t="s">
        <v>61</v>
      </c>
      <c r="G2264" t="s">
        <v>2872</v>
      </c>
      <c r="H2264">
        <v>102.336</v>
      </c>
      <c r="I2264">
        <v>8</v>
      </c>
      <c r="J2264">
        <v>14.071199999999999</v>
      </c>
      <c r="K2264">
        <v>2014</v>
      </c>
      <c r="L2264">
        <v>12</v>
      </c>
      <c r="M2264" t="s">
        <v>41</v>
      </c>
      <c r="N2264">
        <v>4</v>
      </c>
      <c r="O2264">
        <v>3</v>
      </c>
      <c r="P2264">
        <v>13.75</v>
      </c>
      <c r="Q2264">
        <v>12.792</v>
      </c>
      <c r="R2264" t="s">
        <v>26</v>
      </c>
      <c r="S2264" t="b">
        <v>0</v>
      </c>
      <c r="T2264" t="b">
        <v>0</v>
      </c>
    </row>
    <row r="2265" spans="1:20" x14ac:dyDescent="0.3">
      <c r="A2265" t="s">
        <v>3289</v>
      </c>
      <c r="B2265" s="1">
        <v>41977</v>
      </c>
      <c r="C2265" s="1">
        <v>41980</v>
      </c>
      <c r="D2265" t="s">
        <v>98</v>
      </c>
      <c r="E2265" t="s">
        <v>1908</v>
      </c>
      <c r="F2265" t="s">
        <v>72</v>
      </c>
      <c r="G2265" t="s">
        <v>1468</v>
      </c>
      <c r="H2265">
        <v>10.32</v>
      </c>
      <c r="I2265">
        <v>2</v>
      </c>
      <c r="J2265">
        <v>3.7410000000000001</v>
      </c>
      <c r="K2265">
        <v>2014</v>
      </c>
      <c r="L2265">
        <v>12</v>
      </c>
      <c r="M2265" t="s">
        <v>41</v>
      </c>
      <c r="N2265">
        <v>4</v>
      </c>
      <c r="O2265">
        <v>3</v>
      </c>
      <c r="P2265">
        <v>36.25</v>
      </c>
      <c r="Q2265">
        <v>5.16</v>
      </c>
      <c r="R2265" t="s">
        <v>26</v>
      </c>
      <c r="S2265" t="b">
        <v>0</v>
      </c>
      <c r="T2265" t="b">
        <v>0</v>
      </c>
    </row>
    <row r="2266" spans="1:20" x14ac:dyDescent="0.3">
      <c r="A2266" t="s">
        <v>3289</v>
      </c>
      <c r="B2266" s="1">
        <v>41977</v>
      </c>
      <c r="C2266" s="1">
        <v>41980</v>
      </c>
      <c r="D2266" t="s">
        <v>98</v>
      </c>
      <c r="E2266" t="s">
        <v>1908</v>
      </c>
      <c r="F2266" t="s">
        <v>122</v>
      </c>
      <c r="G2266" t="s">
        <v>1856</v>
      </c>
      <c r="H2266">
        <v>47.32</v>
      </c>
      <c r="I2266">
        <v>7</v>
      </c>
      <c r="J2266">
        <v>5.915</v>
      </c>
      <c r="K2266">
        <v>2014</v>
      </c>
      <c r="L2266">
        <v>12</v>
      </c>
      <c r="M2266" t="s">
        <v>41</v>
      </c>
      <c r="N2266">
        <v>4</v>
      </c>
      <c r="O2266">
        <v>3</v>
      </c>
      <c r="P2266">
        <v>12.5</v>
      </c>
      <c r="Q2266">
        <v>6.76</v>
      </c>
      <c r="R2266" t="s">
        <v>26</v>
      </c>
      <c r="S2266" t="b">
        <v>0</v>
      </c>
      <c r="T2266" t="b">
        <v>0</v>
      </c>
    </row>
    <row r="2267" spans="1:20" x14ac:dyDescent="0.3">
      <c r="A2267" t="s">
        <v>3289</v>
      </c>
      <c r="B2267" s="1">
        <v>41977</v>
      </c>
      <c r="C2267" s="1">
        <v>41980</v>
      </c>
      <c r="D2267" t="s">
        <v>98</v>
      </c>
      <c r="E2267" t="s">
        <v>1908</v>
      </c>
      <c r="F2267" t="s">
        <v>29</v>
      </c>
      <c r="G2267" t="s">
        <v>155</v>
      </c>
      <c r="H2267">
        <v>23.376000000000001</v>
      </c>
      <c r="I2267">
        <v>3</v>
      </c>
      <c r="J2267">
        <v>7.0128000000000004</v>
      </c>
      <c r="K2267">
        <v>2014</v>
      </c>
      <c r="L2267">
        <v>12</v>
      </c>
      <c r="M2267" t="s">
        <v>41</v>
      </c>
      <c r="N2267">
        <v>4</v>
      </c>
      <c r="O2267">
        <v>3</v>
      </c>
      <c r="P2267">
        <v>30</v>
      </c>
      <c r="Q2267">
        <v>7.7920000000000007</v>
      </c>
      <c r="R2267" t="s">
        <v>26</v>
      </c>
      <c r="S2267" t="b">
        <v>0</v>
      </c>
      <c r="T2267" t="b">
        <v>0</v>
      </c>
    </row>
    <row r="2268" spans="1:20" x14ac:dyDescent="0.3">
      <c r="A2268" t="s">
        <v>3289</v>
      </c>
      <c r="B2268" s="1">
        <v>41977</v>
      </c>
      <c r="C2268" s="1">
        <v>41980</v>
      </c>
      <c r="D2268" t="s">
        <v>98</v>
      </c>
      <c r="E2268" t="s">
        <v>1908</v>
      </c>
      <c r="F2268" t="s">
        <v>29</v>
      </c>
      <c r="G2268" t="s">
        <v>881</v>
      </c>
      <c r="H2268">
        <v>16.72</v>
      </c>
      <c r="I2268">
        <v>5</v>
      </c>
      <c r="J2268">
        <v>3.3439999999999999</v>
      </c>
      <c r="K2268">
        <v>2014</v>
      </c>
      <c r="L2268">
        <v>12</v>
      </c>
      <c r="M2268" t="s">
        <v>41</v>
      </c>
      <c r="N2268">
        <v>4</v>
      </c>
      <c r="O2268">
        <v>3</v>
      </c>
      <c r="P2268">
        <v>20</v>
      </c>
      <c r="Q2268">
        <v>3.3439999999999999</v>
      </c>
      <c r="R2268" t="s">
        <v>26</v>
      </c>
      <c r="S2268" t="b">
        <v>0</v>
      </c>
      <c r="T2268" t="b">
        <v>0</v>
      </c>
    </row>
    <row r="2269" spans="1:20" x14ac:dyDescent="0.3">
      <c r="A2269" t="s">
        <v>3289</v>
      </c>
      <c r="B2269" s="1">
        <v>41977</v>
      </c>
      <c r="C2269" s="1">
        <v>41980</v>
      </c>
      <c r="D2269" t="s">
        <v>98</v>
      </c>
      <c r="E2269" t="s">
        <v>1908</v>
      </c>
      <c r="F2269" t="s">
        <v>29</v>
      </c>
      <c r="G2269" t="s">
        <v>3290</v>
      </c>
      <c r="H2269">
        <v>16.192</v>
      </c>
      <c r="I2269">
        <v>1</v>
      </c>
      <c r="J2269">
        <v>4.6551999999999998</v>
      </c>
      <c r="K2269">
        <v>2014</v>
      </c>
      <c r="L2269">
        <v>12</v>
      </c>
      <c r="M2269" t="s">
        <v>41</v>
      </c>
      <c r="N2269">
        <v>4</v>
      </c>
      <c r="O2269">
        <v>3</v>
      </c>
      <c r="P2269">
        <v>28.75</v>
      </c>
      <c r="Q2269">
        <v>16.192</v>
      </c>
      <c r="R2269" t="s">
        <v>26</v>
      </c>
      <c r="S2269" t="b">
        <v>0</v>
      </c>
      <c r="T2269" t="b">
        <v>0</v>
      </c>
    </row>
    <row r="2270" spans="1:20" x14ac:dyDescent="0.3">
      <c r="A2270" t="s">
        <v>3291</v>
      </c>
      <c r="B2270" s="1">
        <v>41503</v>
      </c>
      <c r="C2270" s="1">
        <v>41509</v>
      </c>
      <c r="D2270" t="s">
        <v>315</v>
      </c>
      <c r="E2270" t="s">
        <v>3292</v>
      </c>
      <c r="F2270" t="s">
        <v>72</v>
      </c>
      <c r="G2270" t="s">
        <v>563</v>
      </c>
      <c r="H2270">
        <v>32.4</v>
      </c>
      <c r="I2270">
        <v>5</v>
      </c>
      <c r="J2270">
        <v>15.552</v>
      </c>
      <c r="K2270">
        <v>2013</v>
      </c>
      <c r="L2270">
        <v>8</v>
      </c>
      <c r="M2270" t="s">
        <v>53</v>
      </c>
      <c r="N2270">
        <v>17</v>
      </c>
      <c r="O2270">
        <v>6</v>
      </c>
      <c r="P2270">
        <v>48</v>
      </c>
      <c r="Q2270">
        <v>6.48</v>
      </c>
      <c r="R2270" t="s">
        <v>26</v>
      </c>
      <c r="S2270" t="b">
        <v>0</v>
      </c>
      <c r="T2270" t="b">
        <v>0</v>
      </c>
    </row>
    <row r="2271" spans="1:20" x14ac:dyDescent="0.3">
      <c r="A2271" t="s">
        <v>3293</v>
      </c>
      <c r="B2271" s="1">
        <v>41612</v>
      </c>
      <c r="C2271" s="1">
        <v>41616</v>
      </c>
      <c r="D2271" t="s">
        <v>2892</v>
      </c>
      <c r="E2271" t="s">
        <v>3294</v>
      </c>
      <c r="F2271" t="s">
        <v>174</v>
      </c>
      <c r="G2271" t="s">
        <v>672</v>
      </c>
      <c r="H2271">
        <v>268.70400000000001</v>
      </c>
      <c r="I2271">
        <v>3</v>
      </c>
      <c r="J2271">
        <v>6.7176</v>
      </c>
      <c r="K2271">
        <v>2013</v>
      </c>
      <c r="L2271">
        <v>12</v>
      </c>
      <c r="M2271" t="s">
        <v>41</v>
      </c>
      <c r="N2271">
        <v>4</v>
      </c>
      <c r="O2271">
        <v>4</v>
      </c>
      <c r="P2271">
        <v>2.5</v>
      </c>
      <c r="Q2271">
        <v>89.567999999999998</v>
      </c>
      <c r="R2271" t="s">
        <v>26</v>
      </c>
      <c r="S2271" t="b">
        <v>0</v>
      </c>
      <c r="T2271" t="b">
        <v>1</v>
      </c>
    </row>
    <row r="2272" spans="1:20" x14ac:dyDescent="0.3">
      <c r="A2272" t="s">
        <v>3293</v>
      </c>
      <c r="B2272" s="1">
        <v>41612</v>
      </c>
      <c r="C2272" s="1">
        <v>41616</v>
      </c>
      <c r="D2272" t="s">
        <v>2892</v>
      </c>
      <c r="E2272" t="s">
        <v>3294</v>
      </c>
      <c r="F2272" t="s">
        <v>31</v>
      </c>
      <c r="G2272" t="s">
        <v>3295</v>
      </c>
      <c r="H2272">
        <v>21.92</v>
      </c>
      <c r="I2272">
        <v>8</v>
      </c>
      <c r="J2272">
        <v>5.9184000000000001</v>
      </c>
      <c r="K2272">
        <v>2013</v>
      </c>
      <c r="L2272">
        <v>12</v>
      </c>
      <c r="M2272" t="s">
        <v>41</v>
      </c>
      <c r="N2272">
        <v>4</v>
      </c>
      <c r="O2272">
        <v>4</v>
      </c>
      <c r="P2272">
        <v>27</v>
      </c>
      <c r="Q2272">
        <v>2.74</v>
      </c>
      <c r="R2272" t="s">
        <v>26</v>
      </c>
      <c r="S2272" t="b">
        <v>0</v>
      </c>
      <c r="T2272" t="b">
        <v>0</v>
      </c>
    </row>
    <row r="2273" spans="1:20" x14ac:dyDescent="0.3">
      <c r="A2273" t="s">
        <v>3293</v>
      </c>
      <c r="B2273" s="1">
        <v>41612</v>
      </c>
      <c r="C2273" s="1">
        <v>41616</v>
      </c>
      <c r="D2273" t="s">
        <v>2892</v>
      </c>
      <c r="E2273" t="s">
        <v>3294</v>
      </c>
      <c r="F2273" t="s">
        <v>45</v>
      </c>
      <c r="G2273" t="s">
        <v>3296</v>
      </c>
      <c r="H2273">
        <v>48.72</v>
      </c>
      <c r="I2273">
        <v>3</v>
      </c>
      <c r="J2273">
        <v>7.3079999999999998</v>
      </c>
      <c r="K2273">
        <v>2013</v>
      </c>
      <c r="L2273">
        <v>12</v>
      </c>
      <c r="M2273" t="s">
        <v>41</v>
      </c>
      <c r="N2273">
        <v>4</v>
      </c>
      <c r="O2273">
        <v>4</v>
      </c>
      <c r="P2273">
        <v>15</v>
      </c>
      <c r="Q2273">
        <v>16.239999999999998</v>
      </c>
      <c r="R2273" t="s">
        <v>26</v>
      </c>
      <c r="S2273" t="b">
        <v>0</v>
      </c>
      <c r="T2273" t="b">
        <v>0</v>
      </c>
    </row>
    <row r="2274" spans="1:20" x14ac:dyDescent="0.3">
      <c r="A2274" t="s">
        <v>3293</v>
      </c>
      <c r="B2274" s="1">
        <v>41612</v>
      </c>
      <c r="C2274" s="1">
        <v>41616</v>
      </c>
      <c r="D2274" t="s">
        <v>2892</v>
      </c>
      <c r="E2274" t="s">
        <v>3294</v>
      </c>
      <c r="F2274" t="s">
        <v>317</v>
      </c>
      <c r="G2274" t="s">
        <v>1411</v>
      </c>
      <c r="H2274">
        <v>205.666</v>
      </c>
      <c r="I2274">
        <v>2</v>
      </c>
      <c r="J2274">
        <v>-12.098000000000001</v>
      </c>
      <c r="K2274">
        <v>2013</v>
      </c>
      <c r="L2274">
        <v>12</v>
      </c>
      <c r="M2274" t="s">
        <v>41</v>
      </c>
      <c r="N2274">
        <v>4</v>
      </c>
      <c r="O2274">
        <v>4</v>
      </c>
      <c r="P2274">
        <v>-5.88</v>
      </c>
      <c r="Q2274">
        <v>102.833</v>
      </c>
      <c r="R2274" t="s">
        <v>26</v>
      </c>
      <c r="S2274" t="b">
        <v>1</v>
      </c>
      <c r="T2274" t="b">
        <v>0</v>
      </c>
    </row>
    <row r="2275" spans="1:20" x14ac:dyDescent="0.3">
      <c r="A2275" t="s">
        <v>3297</v>
      </c>
      <c r="B2275" s="1">
        <v>41094</v>
      </c>
      <c r="C2275" s="1">
        <v>41098</v>
      </c>
      <c r="D2275" t="s">
        <v>2633</v>
      </c>
      <c r="E2275" t="s">
        <v>194</v>
      </c>
      <c r="F2275" t="s">
        <v>33</v>
      </c>
      <c r="G2275" t="s">
        <v>1621</v>
      </c>
      <c r="H2275">
        <v>22.847999999999999</v>
      </c>
      <c r="I2275">
        <v>2</v>
      </c>
      <c r="J2275">
        <v>7.4256000000000002</v>
      </c>
      <c r="K2275">
        <v>2012</v>
      </c>
      <c r="L2275">
        <v>7</v>
      </c>
      <c r="M2275" t="s">
        <v>66</v>
      </c>
      <c r="N2275">
        <v>4</v>
      </c>
      <c r="O2275">
        <v>4</v>
      </c>
      <c r="P2275">
        <v>32.5</v>
      </c>
      <c r="Q2275">
        <v>11.423999999999999</v>
      </c>
      <c r="R2275" t="s">
        <v>26</v>
      </c>
      <c r="S2275" t="b">
        <v>0</v>
      </c>
      <c r="T2275" t="b">
        <v>0</v>
      </c>
    </row>
    <row r="2276" spans="1:20" x14ac:dyDescent="0.3">
      <c r="A2276" t="s">
        <v>3298</v>
      </c>
      <c r="B2276" s="1">
        <v>41471</v>
      </c>
      <c r="C2276" s="1">
        <v>41476</v>
      </c>
      <c r="D2276" t="s">
        <v>3299</v>
      </c>
      <c r="E2276" t="s">
        <v>92</v>
      </c>
      <c r="F2276" t="s">
        <v>110</v>
      </c>
      <c r="G2276" t="s">
        <v>290</v>
      </c>
      <c r="H2276">
        <v>230.28</v>
      </c>
      <c r="I2276">
        <v>3</v>
      </c>
      <c r="J2276">
        <v>23.027999999999999</v>
      </c>
      <c r="K2276">
        <v>2013</v>
      </c>
      <c r="L2276">
        <v>7</v>
      </c>
      <c r="M2276" t="s">
        <v>66</v>
      </c>
      <c r="N2276">
        <v>16</v>
      </c>
      <c r="O2276">
        <v>5</v>
      </c>
      <c r="P2276">
        <v>10</v>
      </c>
      <c r="Q2276">
        <v>76.760000000000005</v>
      </c>
      <c r="R2276" t="s">
        <v>26</v>
      </c>
      <c r="S2276" t="b">
        <v>0</v>
      </c>
      <c r="T2276" t="b">
        <v>1</v>
      </c>
    </row>
    <row r="2277" spans="1:20" x14ac:dyDescent="0.3">
      <c r="A2277" t="s">
        <v>3298</v>
      </c>
      <c r="B2277" s="1">
        <v>41471</v>
      </c>
      <c r="C2277" s="1">
        <v>41476</v>
      </c>
      <c r="D2277" t="s">
        <v>3299</v>
      </c>
      <c r="E2277" t="s">
        <v>92</v>
      </c>
      <c r="F2277" t="s">
        <v>72</v>
      </c>
      <c r="G2277" t="s">
        <v>2323</v>
      </c>
      <c r="H2277">
        <v>105.52</v>
      </c>
      <c r="I2277">
        <v>5</v>
      </c>
      <c r="J2277">
        <v>34.293999999999997</v>
      </c>
      <c r="K2277">
        <v>2013</v>
      </c>
      <c r="L2277">
        <v>7</v>
      </c>
      <c r="M2277" t="s">
        <v>66</v>
      </c>
      <c r="N2277">
        <v>16</v>
      </c>
      <c r="O2277">
        <v>5</v>
      </c>
      <c r="P2277">
        <v>32.5</v>
      </c>
      <c r="Q2277">
        <v>21.103999999999999</v>
      </c>
      <c r="R2277" t="s">
        <v>26</v>
      </c>
      <c r="S2277" t="b">
        <v>0</v>
      </c>
      <c r="T2277" t="b">
        <v>0</v>
      </c>
    </row>
    <row r="2278" spans="1:20" x14ac:dyDescent="0.3">
      <c r="A2278" t="s">
        <v>3300</v>
      </c>
      <c r="B2278" s="1">
        <v>41869</v>
      </c>
      <c r="C2278" s="1">
        <v>41876</v>
      </c>
      <c r="D2278" t="s">
        <v>821</v>
      </c>
      <c r="E2278" t="s">
        <v>198</v>
      </c>
      <c r="F2278" t="s">
        <v>128</v>
      </c>
      <c r="G2278" t="s">
        <v>155</v>
      </c>
      <c r="H2278">
        <v>23.36</v>
      </c>
      <c r="I2278">
        <v>2</v>
      </c>
      <c r="J2278">
        <v>11.68</v>
      </c>
      <c r="K2278">
        <v>2014</v>
      </c>
      <c r="L2278">
        <v>8</v>
      </c>
      <c r="M2278" t="s">
        <v>53</v>
      </c>
      <c r="N2278">
        <v>18</v>
      </c>
      <c r="O2278">
        <v>7</v>
      </c>
      <c r="P2278">
        <v>50</v>
      </c>
      <c r="Q2278">
        <v>11.68</v>
      </c>
      <c r="R2278" t="s">
        <v>26</v>
      </c>
      <c r="S2278" t="b">
        <v>0</v>
      </c>
      <c r="T2278" t="b">
        <v>0</v>
      </c>
    </row>
    <row r="2279" spans="1:20" x14ac:dyDescent="0.3">
      <c r="A2279" t="s">
        <v>3300</v>
      </c>
      <c r="B2279" s="1">
        <v>41869</v>
      </c>
      <c r="C2279" s="1">
        <v>41876</v>
      </c>
      <c r="D2279" t="s">
        <v>821</v>
      </c>
      <c r="E2279" t="s">
        <v>198</v>
      </c>
      <c r="F2279" t="s">
        <v>54</v>
      </c>
      <c r="G2279" t="s">
        <v>2703</v>
      </c>
      <c r="H2279">
        <v>71.975999999999999</v>
      </c>
      <c r="I2279">
        <v>3</v>
      </c>
      <c r="J2279">
        <v>8.9969999999999999</v>
      </c>
      <c r="K2279">
        <v>2014</v>
      </c>
      <c r="L2279">
        <v>8</v>
      </c>
      <c r="M2279" t="s">
        <v>53</v>
      </c>
      <c r="N2279">
        <v>18</v>
      </c>
      <c r="O2279">
        <v>7</v>
      </c>
      <c r="P2279">
        <v>12.5</v>
      </c>
      <c r="Q2279">
        <v>23.992000000000001</v>
      </c>
      <c r="R2279" t="s">
        <v>26</v>
      </c>
      <c r="S2279" t="b">
        <v>0</v>
      </c>
      <c r="T2279" t="b">
        <v>0</v>
      </c>
    </row>
    <row r="2280" spans="1:20" x14ac:dyDescent="0.3">
      <c r="A2280" t="s">
        <v>3300</v>
      </c>
      <c r="B2280" s="1">
        <v>41869</v>
      </c>
      <c r="C2280" s="1">
        <v>41876</v>
      </c>
      <c r="D2280" t="s">
        <v>821</v>
      </c>
      <c r="E2280" t="s">
        <v>198</v>
      </c>
      <c r="F2280" t="s">
        <v>72</v>
      </c>
      <c r="G2280" t="s">
        <v>1016</v>
      </c>
      <c r="H2280">
        <v>8.56</v>
      </c>
      <c r="I2280">
        <v>2</v>
      </c>
      <c r="J2280">
        <v>3.8519999999999999</v>
      </c>
      <c r="K2280">
        <v>2014</v>
      </c>
      <c r="L2280">
        <v>8</v>
      </c>
      <c r="M2280" t="s">
        <v>53</v>
      </c>
      <c r="N2280">
        <v>18</v>
      </c>
      <c r="O2280">
        <v>7</v>
      </c>
      <c r="P2280">
        <v>45</v>
      </c>
      <c r="Q2280">
        <v>4.28</v>
      </c>
      <c r="R2280" t="s">
        <v>26</v>
      </c>
      <c r="S2280" t="b">
        <v>0</v>
      </c>
      <c r="T2280" t="b">
        <v>0</v>
      </c>
    </row>
    <row r="2281" spans="1:20" x14ac:dyDescent="0.3">
      <c r="A2281" t="s">
        <v>3300</v>
      </c>
      <c r="B2281" s="1">
        <v>41869</v>
      </c>
      <c r="C2281" s="1">
        <v>41876</v>
      </c>
      <c r="D2281" t="s">
        <v>821</v>
      </c>
      <c r="E2281" t="s">
        <v>198</v>
      </c>
      <c r="F2281" t="s">
        <v>33</v>
      </c>
      <c r="G2281" t="s">
        <v>1591</v>
      </c>
      <c r="H2281">
        <v>13.92</v>
      </c>
      <c r="I2281">
        <v>3</v>
      </c>
      <c r="J2281">
        <v>4.8719999999999999</v>
      </c>
      <c r="K2281">
        <v>2014</v>
      </c>
      <c r="L2281">
        <v>8</v>
      </c>
      <c r="M2281" t="s">
        <v>53</v>
      </c>
      <c r="N2281">
        <v>18</v>
      </c>
      <c r="O2281">
        <v>7</v>
      </c>
      <c r="P2281">
        <v>35</v>
      </c>
      <c r="Q2281">
        <v>4.6399999999999997</v>
      </c>
      <c r="R2281" t="s">
        <v>26</v>
      </c>
      <c r="S2281" t="b">
        <v>0</v>
      </c>
      <c r="T2281" t="b">
        <v>0</v>
      </c>
    </row>
    <row r="2282" spans="1:20" x14ac:dyDescent="0.3">
      <c r="A2282" t="s">
        <v>3300</v>
      </c>
      <c r="B2282" s="1">
        <v>41869</v>
      </c>
      <c r="C2282" s="1">
        <v>41876</v>
      </c>
      <c r="D2282" t="s">
        <v>821</v>
      </c>
      <c r="E2282" t="s">
        <v>198</v>
      </c>
      <c r="F2282" t="s">
        <v>33</v>
      </c>
      <c r="G2282" t="s">
        <v>908</v>
      </c>
      <c r="H2282">
        <v>221.05600000000001</v>
      </c>
      <c r="I2282">
        <v>8</v>
      </c>
      <c r="J2282">
        <v>77.369600000000005</v>
      </c>
      <c r="K2282">
        <v>2014</v>
      </c>
      <c r="L2282">
        <v>8</v>
      </c>
      <c r="M2282" t="s">
        <v>53</v>
      </c>
      <c r="N2282">
        <v>18</v>
      </c>
      <c r="O2282">
        <v>7</v>
      </c>
      <c r="P2282">
        <v>35</v>
      </c>
      <c r="Q2282">
        <v>27.632000000000001</v>
      </c>
      <c r="R2282" t="s">
        <v>26</v>
      </c>
      <c r="S2282" t="b">
        <v>0</v>
      </c>
      <c r="T2282" t="b">
        <v>1</v>
      </c>
    </row>
    <row r="2283" spans="1:20" x14ac:dyDescent="0.3">
      <c r="A2283" t="s">
        <v>3301</v>
      </c>
      <c r="B2283" s="1">
        <v>41623</v>
      </c>
      <c r="C2283" s="1">
        <v>41626</v>
      </c>
      <c r="D2283" t="s">
        <v>2196</v>
      </c>
      <c r="E2283" t="s">
        <v>194</v>
      </c>
      <c r="F2283" t="s">
        <v>110</v>
      </c>
      <c r="G2283" t="s">
        <v>111</v>
      </c>
      <c r="H2283">
        <v>81.424000000000007</v>
      </c>
      <c r="I2283">
        <v>2</v>
      </c>
      <c r="J2283">
        <v>-9.1601999999999997</v>
      </c>
      <c r="K2283">
        <v>2013</v>
      </c>
      <c r="L2283">
        <v>12</v>
      </c>
      <c r="M2283" t="s">
        <v>41</v>
      </c>
      <c r="N2283">
        <v>15</v>
      </c>
      <c r="O2283">
        <v>3</v>
      </c>
      <c r="P2283">
        <v>-11.25</v>
      </c>
      <c r="Q2283">
        <v>40.712000000000003</v>
      </c>
      <c r="R2283" t="s">
        <v>26</v>
      </c>
      <c r="S2283" t="b">
        <v>1</v>
      </c>
      <c r="T2283" t="b">
        <v>0</v>
      </c>
    </row>
    <row r="2284" spans="1:20" x14ac:dyDescent="0.3">
      <c r="A2284" t="s">
        <v>3301</v>
      </c>
      <c r="B2284" s="1">
        <v>41623</v>
      </c>
      <c r="C2284" s="1">
        <v>41626</v>
      </c>
      <c r="D2284" t="s">
        <v>2196</v>
      </c>
      <c r="E2284" t="s">
        <v>194</v>
      </c>
      <c r="F2284" t="s">
        <v>45</v>
      </c>
      <c r="G2284" t="s">
        <v>142</v>
      </c>
      <c r="H2284">
        <v>134.80000000000001</v>
      </c>
      <c r="I2284">
        <v>10</v>
      </c>
      <c r="J2284">
        <v>35.048000000000002</v>
      </c>
      <c r="K2284">
        <v>2013</v>
      </c>
      <c r="L2284">
        <v>12</v>
      </c>
      <c r="M2284" t="s">
        <v>41</v>
      </c>
      <c r="N2284">
        <v>15</v>
      </c>
      <c r="O2284">
        <v>3</v>
      </c>
      <c r="P2284">
        <v>26</v>
      </c>
      <c r="Q2284">
        <v>13.48</v>
      </c>
      <c r="R2284" t="s">
        <v>26</v>
      </c>
      <c r="S2284" t="b">
        <v>0</v>
      </c>
      <c r="T2284" t="b">
        <v>0</v>
      </c>
    </row>
    <row r="2285" spans="1:20" x14ac:dyDescent="0.3">
      <c r="A2285" t="s">
        <v>3302</v>
      </c>
      <c r="B2285" s="1">
        <v>41918</v>
      </c>
      <c r="C2285" s="1">
        <v>41923</v>
      </c>
      <c r="D2285" t="s">
        <v>688</v>
      </c>
      <c r="E2285" t="s">
        <v>2652</v>
      </c>
      <c r="F2285" t="s">
        <v>110</v>
      </c>
      <c r="G2285" t="s">
        <v>1386</v>
      </c>
      <c r="H2285">
        <v>435.16800000000001</v>
      </c>
      <c r="I2285">
        <v>4</v>
      </c>
      <c r="J2285">
        <v>-59.835599999999999</v>
      </c>
      <c r="K2285">
        <v>2014</v>
      </c>
      <c r="L2285">
        <v>10</v>
      </c>
      <c r="M2285" t="s">
        <v>82</v>
      </c>
      <c r="N2285">
        <v>6</v>
      </c>
      <c r="O2285">
        <v>5</v>
      </c>
      <c r="P2285">
        <v>-13.75</v>
      </c>
      <c r="Q2285">
        <v>108.792</v>
      </c>
      <c r="R2285" t="s">
        <v>26</v>
      </c>
      <c r="S2285" t="b">
        <v>1</v>
      </c>
      <c r="T2285" t="b">
        <v>1</v>
      </c>
    </row>
    <row r="2286" spans="1:20" x14ac:dyDescent="0.3">
      <c r="A2286" t="s">
        <v>3302</v>
      </c>
      <c r="B2286" s="1">
        <v>41918</v>
      </c>
      <c r="C2286" s="1">
        <v>41923</v>
      </c>
      <c r="D2286" t="s">
        <v>688</v>
      </c>
      <c r="E2286" t="s">
        <v>2652</v>
      </c>
      <c r="F2286" t="s">
        <v>119</v>
      </c>
      <c r="G2286" t="s">
        <v>155</v>
      </c>
      <c r="H2286">
        <v>14.9</v>
      </c>
      <c r="I2286">
        <v>5</v>
      </c>
      <c r="J2286">
        <v>6.8540000000000001</v>
      </c>
      <c r="K2286">
        <v>2014</v>
      </c>
      <c r="L2286">
        <v>10</v>
      </c>
      <c r="M2286" t="s">
        <v>82</v>
      </c>
      <c r="N2286">
        <v>6</v>
      </c>
      <c r="O2286">
        <v>5</v>
      </c>
      <c r="P2286">
        <v>46</v>
      </c>
      <c r="Q2286">
        <v>2.98</v>
      </c>
      <c r="R2286" t="s">
        <v>26</v>
      </c>
      <c r="S2286" t="b">
        <v>0</v>
      </c>
      <c r="T2286" t="b">
        <v>0</v>
      </c>
    </row>
    <row r="2287" spans="1:20" x14ac:dyDescent="0.3">
      <c r="A2287" t="s">
        <v>3302</v>
      </c>
      <c r="B2287" s="1">
        <v>41918</v>
      </c>
      <c r="C2287" s="1">
        <v>41923</v>
      </c>
      <c r="D2287" t="s">
        <v>688</v>
      </c>
      <c r="E2287" t="s">
        <v>2652</v>
      </c>
      <c r="F2287" t="s">
        <v>35</v>
      </c>
      <c r="G2287" t="s">
        <v>2188</v>
      </c>
      <c r="H2287">
        <v>15.8</v>
      </c>
      <c r="I2287">
        <v>4</v>
      </c>
      <c r="J2287">
        <v>4.1079999999999997</v>
      </c>
      <c r="K2287">
        <v>2014</v>
      </c>
      <c r="L2287">
        <v>10</v>
      </c>
      <c r="M2287" t="s">
        <v>82</v>
      </c>
      <c r="N2287">
        <v>6</v>
      </c>
      <c r="O2287">
        <v>5</v>
      </c>
      <c r="P2287">
        <v>26</v>
      </c>
      <c r="Q2287">
        <v>3.95</v>
      </c>
      <c r="R2287" t="s">
        <v>26</v>
      </c>
      <c r="S2287" t="b">
        <v>0</v>
      </c>
      <c r="T2287" t="b">
        <v>0</v>
      </c>
    </row>
    <row r="2288" spans="1:20" x14ac:dyDescent="0.3">
      <c r="A2288" t="s">
        <v>3302</v>
      </c>
      <c r="B2288" s="1">
        <v>41918</v>
      </c>
      <c r="C2288" s="1">
        <v>41923</v>
      </c>
      <c r="D2288" t="s">
        <v>688</v>
      </c>
      <c r="E2288" t="s">
        <v>2652</v>
      </c>
      <c r="F2288" t="s">
        <v>29</v>
      </c>
      <c r="G2288" t="s">
        <v>3303</v>
      </c>
      <c r="H2288">
        <v>72.900000000000006</v>
      </c>
      <c r="I2288">
        <v>5</v>
      </c>
      <c r="J2288">
        <v>26.972999999999999</v>
      </c>
      <c r="K2288">
        <v>2014</v>
      </c>
      <c r="L2288">
        <v>10</v>
      </c>
      <c r="M2288" t="s">
        <v>82</v>
      </c>
      <c r="N2288">
        <v>6</v>
      </c>
      <c r="O2288">
        <v>5</v>
      </c>
      <c r="P2288">
        <v>37</v>
      </c>
      <c r="Q2288">
        <v>14.58</v>
      </c>
      <c r="R2288" t="s">
        <v>26</v>
      </c>
      <c r="S2288" t="b">
        <v>0</v>
      </c>
      <c r="T2288" t="b">
        <v>0</v>
      </c>
    </row>
    <row r="2289" spans="1:20" x14ac:dyDescent="0.3">
      <c r="A2289" t="s">
        <v>3302</v>
      </c>
      <c r="B2289" s="1">
        <v>41918</v>
      </c>
      <c r="C2289" s="1">
        <v>41923</v>
      </c>
      <c r="D2289" t="s">
        <v>688</v>
      </c>
      <c r="E2289" t="s">
        <v>2652</v>
      </c>
      <c r="F2289" t="s">
        <v>174</v>
      </c>
      <c r="G2289" t="s">
        <v>916</v>
      </c>
      <c r="H2289">
        <v>206.352</v>
      </c>
      <c r="I2289">
        <v>3</v>
      </c>
      <c r="J2289">
        <v>5.1588000000000003</v>
      </c>
      <c r="K2289">
        <v>2014</v>
      </c>
      <c r="L2289">
        <v>10</v>
      </c>
      <c r="M2289" t="s">
        <v>82</v>
      </c>
      <c r="N2289">
        <v>6</v>
      </c>
      <c r="O2289">
        <v>5</v>
      </c>
      <c r="P2289">
        <v>2.5</v>
      </c>
      <c r="Q2289">
        <v>68.784000000000006</v>
      </c>
      <c r="R2289" t="s">
        <v>26</v>
      </c>
      <c r="S2289" t="b">
        <v>0</v>
      </c>
      <c r="T2289" t="b">
        <v>0</v>
      </c>
    </row>
    <row r="2290" spans="1:20" x14ac:dyDescent="0.3">
      <c r="A2290" t="s">
        <v>3302</v>
      </c>
      <c r="B2290" s="1">
        <v>41918</v>
      </c>
      <c r="C2290" s="1">
        <v>41923</v>
      </c>
      <c r="D2290" t="s">
        <v>688</v>
      </c>
      <c r="E2290" t="s">
        <v>2652</v>
      </c>
      <c r="F2290" t="s">
        <v>54</v>
      </c>
      <c r="G2290" t="s">
        <v>1352</v>
      </c>
      <c r="H2290">
        <v>7.992</v>
      </c>
      <c r="I2290">
        <v>1</v>
      </c>
      <c r="J2290">
        <v>2.6972999999999998</v>
      </c>
      <c r="K2290">
        <v>2014</v>
      </c>
      <c r="L2290">
        <v>10</v>
      </c>
      <c r="M2290" t="s">
        <v>82</v>
      </c>
      <c r="N2290">
        <v>6</v>
      </c>
      <c r="O2290">
        <v>5</v>
      </c>
      <c r="P2290">
        <v>33.75</v>
      </c>
      <c r="Q2290">
        <v>7.992</v>
      </c>
      <c r="R2290" t="s">
        <v>26</v>
      </c>
      <c r="S2290" t="b">
        <v>0</v>
      </c>
      <c r="T2290" t="b">
        <v>0</v>
      </c>
    </row>
    <row r="2291" spans="1:20" x14ac:dyDescent="0.3">
      <c r="A2291" t="s">
        <v>3304</v>
      </c>
      <c r="B2291" s="1">
        <v>40991</v>
      </c>
      <c r="C2291" s="1">
        <v>40998</v>
      </c>
      <c r="D2291" t="s">
        <v>2100</v>
      </c>
      <c r="E2291" t="s">
        <v>22</v>
      </c>
      <c r="F2291" t="s">
        <v>72</v>
      </c>
      <c r="G2291" t="s">
        <v>1321</v>
      </c>
      <c r="H2291">
        <v>33.36</v>
      </c>
      <c r="I2291">
        <v>4</v>
      </c>
      <c r="J2291">
        <v>16.68</v>
      </c>
      <c r="K2291">
        <v>2012</v>
      </c>
      <c r="L2291">
        <v>3</v>
      </c>
      <c r="M2291" t="s">
        <v>135</v>
      </c>
      <c r="N2291">
        <v>23</v>
      </c>
      <c r="O2291">
        <v>7</v>
      </c>
      <c r="P2291">
        <v>50</v>
      </c>
      <c r="Q2291">
        <v>8.34</v>
      </c>
      <c r="R2291" t="s">
        <v>26</v>
      </c>
      <c r="S2291" t="b">
        <v>0</v>
      </c>
      <c r="T2291" t="b">
        <v>0</v>
      </c>
    </row>
    <row r="2292" spans="1:20" x14ac:dyDescent="0.3">
      <c r="A2292" t="s">
        <v>3305</v>
      </c>
      <c r="B2292" s="1">
        <v>41558</v>
      </c>
      <c r="C2292" s="1">
        <v>41560</v>
      </c>
      <c r="D2292" t="s">
        <v>3306</v>
      </c>
      <c r="E2292" t="s">
        <v>173</v>
      </c>
      <c r="F2292" t="s">
        <v>317</v>
      </c>
      <c r="G2292" t="s">
        <v>3307</v>
      </c>
      <c r="H2292">
        <v>90.882000000000005</v>
      </c>
      <c r="I2292">
        <v>3</v>
      </c>
      <c r="J2292">
        <v>-190.85220000000001</v>
      </c>
      <c r="K2292">
        <v>2013</v>
      </c>
      <c r="L2292">
        <v>10</v>
      </c>
      <c r="M2292" t="s">
        <v>82</v>
      </c>
      <c r="N2292">
        <v>11</v>
      </c>
      <c r="O2292">
        <v>2</v>
      </c>
      <c r="P2292">
        <v>-210</v>
      </c>
      <c r="Q2292">
        <v>30.294</v>
      </c>
      <c r="R2292" t="s">
        <v>26</v>
      </c>
      <c r="S2292" t="b">
        <v>1</v>
      </c>
      <c r="T2292" t="b">
        <v>0</v>
      </c>
    </row>
    <row r="2293" spans="1:20" x14ac:dyDescent="0.3">
      <c r="A2293" t="s">
        <v>3305</v>
      </c>
      <c r="B2293" s="1">
        <v>41558</v>
      </c>
      <c r="C2293" s="1">
        <v>41560</v>
      </c>
      <c r="D2293" t="s">
        <v>3306</v>
      </c>
      <c r="E2293" t="s">
        <v>173</v>
      </c>
      <c r="F2293" t="s">
        <v>54</v>
      </c>
      <c r="G2293" t="s">
        <v>3308</v>
      </c>
      <c r="H2293">
        <v>15.992000000000001</v>
      </c>
      <c r="I2293">
        <v>1</v>
      </c>
      <c r="J2293">
        <v>-2.9984999999999999</v>
      </c>
      <c r="K2293">
        <v>2013</v>
      </c>
      <c r="L2293">
        <v>10</v>
      </c>
      <c r="M2293" t="s">
        <v>82</v>
      </c>
      <c r="N2293">
        <v>11</v>
      </c>
      <c r="O2293">
        <v>2</v>
      </c>
      <c r="P2293">
        <v>-18.75</v>
      </c>
      <c r="Q2293">
        <v>15.992000000000001</v>
      </c>
      <c r="R2293" t="s">
        <v>26</v>
      </c>
      <c r="S2293" t="b">
        <v>1</v>
      </c>
      <c r="T2293" t="b">
        <v>0</v>
      </c>
    </row>
    <row r="2294" spans="1:20" x14ac:dyDescent="0.3">
      <c r="A2294" t="s">
        <v>3305</v>
      </c>
      <c r="B2294" s="1">
        <v>41558</v>
      </c>
      <c r="C2294" s="1">
        <v>41560</v>
      </c>
      <c r="D2294" t="s">
        <v>3306</v>
      </c>
      <c r="E2294" t="s">
        <v>173</v>
      </c>
      <c r="F2294" t="s">
        <v>110</v>
      </c>
      <c r="G2294" t="s">
        <v>3193</v>
      </c>
      <c r="H2294">
        <v>120.78400000000001</v>
      </c>
      <c r="I2294">
        <v>1</v>
      </c>
      <c r="J2294">
        <v>13.588200000000001</v>
      </c>
      <c r="K2294">
        <v>2013</v>
      </c>
      <c r="L2294">
        <v>10</v>
      </c>
      <c r="M2294" t="s">
        <v>82</v>
      </c>
      <c r="N2294">
        <v>11</v>
      </c>
      <c r="O2294">
        <v>2</v>
      </c>
      <c r="P2294">
        <v>11.25</v>
      </c>
      <c r="Q2294">
        <v>120.78400000000001</v>
      </c>
      <c r="R2294" t="s">
        <v>26</v>
      </c>
      <c r="S2294" t="b">
        <v>0</v>
      </c>
      <c r="T2294" t="b">
        <v>0</v>
      </c>
    </row>
    <row r="2295" spans="1:20" x14ac:dyDescent="0.3">
      <c r="A2295" t="s">
        <v>3309</v>
      </c>
      <c r="B2295" s="1">
        <v>41148</v>
      </c>
      <c r="C2295" s="1">
        <v>41152</v>
      </c>
      <c r="D2295" t="s">
        <v>1670</v>
      </c>
      <c r="E2295" t="s">
        <v>22</v>
      </c>
      <c r="F2295" t="s">
        <v>33</v>
      </c>
      <c r="G2295" t="s">
        <v>3310</v>
      </c>
      <c r="H2295">
        <v>5.1040000000000001</v>
      </c>
      <c r="I2295">
        <v>1</v>
      </c>
      <c r="J2295">
        <v>1.6588000000000001</v>
      </c>
      <c r="K2295">
        <v>2012</v>
      </c>
      <c r="L2295">
        <v>8</v>
      </c>
      <c r="M2295" t="s">
        <v>53</v>
      </c>
      <c r="N2295">
        <v>27</v>
      </c>
      <c r="O2295">
        <v>4</v>
      </c>
      <c r="P2295">
        <v>32.5</v>
      </c>
      <c r="Q2295">
        <v>5.1040000000000001</v>
      </c>
      <c r="R2295" t="s">
        <v>26</v>
      </c>
      <c r="S2295" t="b">
        <v>0</v>
      </c>
      <c r="T2295" t="b">
        <v>0</v>
      </c>
    </row>
    <row r="2296" spans="1:20" x14ac:dyDescent="0.3">
      <c r="A2296" t="s">
        <v>3311</v>
      </c>
      <c r="B2296" s="1">
        <v>41386</v>
      </c>
      <c r="C2296" s="1">
        <v>41389</v>
      </c>
      <c r="D2296" t="s">
        <v>80</v>
      </c>
      <c r="E2296" t="s">
        <v>39</v>
      </c>
      <c r="F2296" t="s">
        <v>33</v>
      </c>
      <c r="G2296" t="s">
        <v>655</v>
      </c>
      <c r="H2296">
        <v>8.32</v>
      </c>
      <c r="I2296">
        <v>5</v>
      </c>
      <c r="J2296">
        <v>2.8079999999999998</v>
      </c>
      <c r="K2296">
        <v>2013</v>
      </c>
      <c r="L2296">
        <v>4</v>
      </c>
      <c r="M2296" t="s">
        <v>236</v>
      </c>
      <c r="N2296">
        <v>22</v>
      </c>
      <c r="O2296">
        <v>3</v>
      </c>
      <c r="P2296">
        <v>33.75</v>
      </c>
      <c r="Q2296">
        <v>1.6639999999999999</v>
      </c>
      <c r="R2296" t="s">
        <v>26</v>
      </c>
      <c r="S2296" t="b">
        <v>0</v>
      </c>
      <c r="T2296" t="b">
        <v>0</v>
      </c>
    </row>
    <row r="2297" spans="1:20" x14ac:dyDescent="0.3">
      <c r="A2297" t="s">
        <v>3312</v>
      </c>
      <c r="B2297" s="1">
        <v>41233</v>
      </c>
      <c r="C2297" s="1">
        <v>41236</v>
      </c>
      <c r="D2297" t="s">
        <v>976</v>
      </c>
      <c r="E2297" t="s">
        <v>99</v>
      </c>
      <c r="F2297" t="s">
        <v>33</v>
      </c>
      <c r="G2297" t="s">
        <v>258</v>
      </c>
      <c r="H2297">
        <v>4.8959999999999999</v>
      </c>
      <c r="I2297">
        <v>3</v>
      </c>
      <c r="J2297">
        <v>-3.4272</v>
      </c>
      <c r="K2297">
        <v>2012</v>
      </c>
      <c r="L2297">
        <v>11</v>
      </c>
      <c r="M2297" t="s">
        <v>70</v>
      </c>
      <c r="N2297">
        <v>20</v>
      </c>
      <c r="O2297">
        <v>3</v>
      </c>
      <c r="P2297">
        <v>-70</v>
      </c>
      <c r="Q2297">
        <v>1.6319999999999999</v>
      </c>
      <c r="R2297" t="s">
        <v>26</v>
      </c>
      <c r="S2297" t="b">
        <v>1</v>
      </c>
      <c r="T2297" t="b">
        <v>0</v>
      </c>
    </row>
    <row r="2298" spans="1:20" x14ac:dyDescent="0.3">
      <c r="A2298" t="s">
        <v>3312</v>
      </c>
      <c r="B2298" s="1">
        <v>41233</v>
      </c>
      <c r="C2298" s="1">
        <v>41236</v>
      </c>
      <c r="D2298" t="s">
        <v>976</v>
      </c>
      <c r="E2298" t="s">
        <v>99</v>
      </c>
      <c r="F2298" t="s">
        <v>317</v>
      </c>
      <c r="G2298" t="s">
        <v>3313</v>
      </c>
      <c r="H2298">
        <v>145.76400000000001</v>
      </c>
      <c r="I2298">
        <v>6</v>
      </c>
      <c r="J2298">
        <v>-247.7988</v>
      </c>
      <c r="K2298">
        <v>2012</v>
      </c>
      <c r="L2298">
        <v>11</v>
      </c>
      <c r="M2298" t="s">
        <v>70</v>
      </c>
      <c r="N2298">
        <v>20</v>
      </c>
      <c r="O2298">
        <v>3</v>
      </c>
      <c r="P2298">
        <v>-170</v>
      </c>
      <c r="Q2298">
        <v>24.294</v>
      </c>
      <c r="R2298" t="s">
        <v>26</v>
      </c>
      <c r="S2298" t="b">
        <v>1</v>
      </c>
      <c r="T2298" t="b">
        <v>0</v>
      </c>
    </row>
    <row r="2299" spans="1:20" x14ac:dyDescent="0.3">
      <c r="A2299" t="s">
        <v>3312</v>
      </c>
      <c r="B2299" s="1">
        <v>41233</v>
      </c>
      <c r="C2299" s="1">
        <v>41236</v>
      </c>
      <c r="D2299" t="s">
        <v>976</v>
      </c>
      <c r="E2299" t="s">
        <v>99</v>
      </c>
      <c r="F2299" t="s">
        <v>33</v>
      </c>
      <c r="G2299" t="s">
        <v>3314</v>
      </c>
      <c r="H2299">
        <v>9.6120000000000001</v>
      </c>
      <c r="I2299">
        <v>6</v>
      </c>
      <c r="J2299">
        <v>-7.3692000000000002</v>
      </c>
      <c r="K2299">
        <v>2012</v>
      </c>
      <c r="L2299">
        <v>11</v>
      </c>
      <c r="M2299" t="s">
        <v>70</v>
      </c>
      <c r="N2299">
        <v>20</v>
      </c>
      <c r="O2299">
        <v>3</v>
      </c>
      <c r="P2299">
        <v>-76.67</v>
      </c>
      <c r="Q2299">
        <v>1.6020000000000001</v>
      </c>
      <c r="R2299" t="s">
        <v>26</v>
      </c>
      <c r="S2299" t="b">
        <v>1</v>
      </c>
      <c r="T2299" t="b">
        <v>0</v>
      </c>
    </row>
    <row r="2300" spans="1:20" x14ac:dyDescent="0.3">
      <c r="A2300" t="s">
        <v>3315</v>
      </c>
      <c r="B2300" s="1">
        <v>41947</v>
      </c>
      <c r="C2300" s="1">
        <v>41949</v>
      </c>
      <c r="D2300" t="s">
        <v>2812</v>
      </c>
      <c r="E2300" t="s">
        <v>194</v>
      </c>
      <c r="F2300" t="s">
        <v>61</v>
      </c>
      <c r="G2300" t="s">
        <v>199</v>
      </c>
      <c r="H2300">
        <v>199.75</v>
      </c>
      <c r="I2300">
        <v>5</v>
      </c>
      <c r="J2300">
        <v>87.89</v>
      </c>
      <c r="K2300">
        <v>2014</v>
      </c>
      <c r="L2300">
        <v>11</v>
      </c>
      <c r="M2300" t="s">
        <v>70</v>
      </c>
      <c r="N2300">
        <v>4</v>
      </c>
      <c r="O2300">
        <v>2</v>
      </c>
      <c r="P2300">
        <v>44</v>
      </c>
      <c r="Q2300">
        <v>39.950000000000003</v>
      </c>
      <c r="R2300" t="s">
        <v>26</v>
      </c>
      <c r="S2300" t="b">
        <v>0</v>
      </c>
      <c r="T2300" t="b">
        <v>0</v>
      </c>
    </row>
    <row r="2301" spans="1:20" x14ac:dyDescent="0.3">
      <c r="A2301" t="s">
        <v>3316</v>
      </c>
      <c r="B2301" s="1">
        <v>40667</v>
      </c>
      <c r="C2301" s="1">
        <v>40670</v>
      </c>
      <c r="D2301" t="s">
        <v>3317</v>
      </c>
      <c r="E2301" t="s">
        <v>39</v>
      </c>
      <c r="F2301" t="s">
        <v>29</v>
      </c>
      <c r="G2301" t="s">
        <v>1558</v>
      </c>
      <c r="H2301">
        <v>12.18</v>
      </c>
      <c r="I2301">
        <v>7</v>
      </c>
      <c r="J2301">
        <v>3.8976000000000002</v>
      </c>
      <c r="K2301">
        <v>2011</v>
      </c>
      <c r="L2301">
        <v>5</v>
      </c>
      <c r="M2301" t="s">
        <v>47</v>
      </c>
      <c r="N2301">
        <v>4</v>
      </c>
      <c r="O2301">
        <v>3</v>
      </c>
      <c r="P2301">
        <v>32</v>
      </c>
      <c r="Q2301">
        <v>1.74</v>
      </c>
      <c r="R2301" t="s">
        <v>26</v>
      </c>
      <c r="S2301" t="b">
        <v>0</v>
      </c>
      <c r="T2301" t="b">
        <v>0</v>
      </c>
    </row>
    <row r="2302" spans="1:20" x14ac:dyDescent="0.3">
      <c r="A2302" t="s">
        <v>3316</v>
      </c>
      <c r="B2302" s="1">
        <v>40667</v>
      </c>
      <c r="C2302" s="1">
        <v>40670</v>
      </c>
      <c r="D2302" t="s">
        <v>3317</v>
      </c>
      <c r="E2302" t="s">
        <v>39</v>
      </c>
      <c r="F2302" t="s">
        <v>35</v>
      </c>
      <c r="G2302" t="s">
        <v>1285</v>
      </c>
      <c r="H2302">
        <v>57.68</v>
      </c>
      <c r="I2302">
        <v>4</v>
      </c>
      <c r="J2302">
        <v>19.034400000000002</v>
      </c>
      <c r="K2302">
        <v>2011</v>
      </c>
      <c r="L2302">
        <v>5</v>
      </c>
      <c r="M2302" t="s">
        <v>47</v>
      </c>
      <c r="N2302">
        <v>4</v>
      </c>
      <c r="O2302">
        <v>3</v>
      </c>
      <c r="P2302">
        <v>33</v>
      </c>
      <c r="Q2302">
        <v>14.42</v>
      </c>
      <c r="R2302" t="s">
        <v>26</v>
      </c>
      <c r="S2302" t="b">
        <v>0</v>
      </c>
      <c r="T2302" t="b">
        <v>0</v>
      </c>
    </row>
    <row r="2303" spans="1:20" x14ac:dyDescent="0.3">
      <c r="A2303" t="s">
        <v>3318</v>
      </c>
      <c r="B2303" s="1">
        <v>41255</v>
      </c>
      <c r="C2303" s="1">
        <v>41258</v>
      </c>
      <c r="D2303" t="s">
        <v>3319</v>
      </c>
      <c r="E2303" t="s">
        <v>22</v>
      </c>
      <c r="F2303" t="s">
        <v>61</v>
      </c>
      <c r="G2303" t="s">
        <v>1193</v>
      </c>
      <c r="H2303">
        <v>299.94</v>
      </c>
      <c r="I2303">
        <v>6</v>
      </c>
      <c r="J2303">
        <v>128.9742</v>
      </c>
      <c r="K2303">
        <v>2012</v>
      </c>
      <c r="L2303">
        <v>12</v>
      </c>
      <c r="M2303" t="s">
        <v>41</v>
      </c>
      <c r="N2303">
        <v>12</v>
      </c>
      <c r="O2303">
        <v>3</v>
      </c>
      <c r="P2303">
        <v>43</v>
      </c>
      <c r="Q2303">
        <v>49.99</v>
      </c>
      <c r="R2303" t="s">
        <v>26</v>
      </c>
      <c r="S2303" t="b">
        <v>0</v>
      </c>
      <c r="T2303" t="b">
        <v>1</v>
      </c>
    </row>
    <row r="2304" spans="1:20" x14ac:dyDescent="0.3">
      <c r="A2304" t="s">
        <v>3318</v>
      </c>
      <c r="B2304" s="1">
        <v>41255</v>
      </c>
      <c r="C2304" s="1">
        <v>41258</v>
      </c>
      <c r="D2304" t="s">
        <v>3319</v>
      </c>
      <c r="E2304" t="s">
        <v>22</v>
      </c>
      <c r="F2304" t="s">
        <v>122</v>
      </c>
      <c r="G2304" t="s">
        <v>155</v>
      </c>
      <c r="H2304">
        <v>25.76</v>
      </c>
      <c r="I2304">
        <v>7</v>
      </c>
      <c r="J2304">
        <v>0.51519999999999999</v>
      </c>
      <c r="K2304">
        <v>2012</v>
      </c>
      <c r="L2304">
        <v>12</v>
      </c>
      <c r="M2304" t="s">
        <v>41</v>
      </c>
      <c r="N2304">
        <v>12</v>
      </c>
      <c r="O2304">
        <v>3</v>
      </c>
      <c r="P2304">
        <v>2</v>
      </c>
      <c r="Q2304">
        <v>3.68</v>
      </c>
      <c r="R2304" t="s">
        <v>26</v>
      </c>
      <c r="S2304" t="b">
        <v>0</v>
      </c>
      <c r="T2304" t="b">
        <v>0</v>
      </c>
    </row>
    <row r="2305" spans="1:20" x14ac:dyDescent="0.3">
      <c r="A2305" t="s">
        <v>3320</v>
      </c>
      <c r="B2305" s="1">
        <v>41555</v>
      </c>
      <c r="C2305" s="1">
        <v>41559</v>
      </c>
      <c r="D2305" t="s">
        <v>1583</v>
      </c>
      <c r="E2305" t="s">
        <v>395</v>
      </c>
      <c r="F2305" t="s">
        <v>119</v>
      </c>
      <c r="G2305" t="s">
        <v>2866</v>
      </c>
      <c r="H2305">
        <v>93.36</v>
      </c>
      <c r="I2305">
        <v>12</v>
      </c>
      <c r="J2305">
        <v>0.93359999999999999</v>
      </c>
      <c r="K2305">
        <v>2013</v>
      </c>
      <c r="L2305">
        <v>10</v>
      </c>
      <c r="M2305" t="s">
        <v>82</v>
      </c>
      <c r="N2305">
        <v>8</v>
      </c>
      <c r="O2305">
        <v>4</v>
      </c>
      <c r="P2305">
        <v>1</v>
      </c>
      <c r="Q2305">
        <v>7.78</v>
      </c>
      <c r="R2305" t="s">
        <v>26</v>
      </c>
      <c r="S2305" t="b">
        <v>0</v>
      </c>
      <c r="T2305" t="b">
        <v>0</v>
      </c>
    </row>
    <row r="2306" spans="1:20" x14ac:dyDescent="0.3">
      <c r="A2306" t="s">
        <v>3321</v>
      </c>
      <c r="B2306" s="1">
        <v>41080</v>
      </c>
      <c r="C2306" s="1">
        <v>41083</v>
      </c>
      <c r="D2306" t="s">
        <v>1278</v>
      </c>
      <c r="E2306" t="s">
        <v>99</v>
      </c>
      <c r="F2306" t="s">
        <v>54</v>
      </c>
      <c r="G2306" t="s">
        <v>3116</v>
      </c>
      <c r="H2306">
        <v>125.944</v>
      </c>
      <c r="I2306">
        <v>7</v>
      </c>
      <c r="J2306">
        <v>15.743</v>
      </c>
      <c r="K2306">
        <v>2012</v>
      </c>
      <c r="L2306">
        <v>6</v>
      </c>
      <c r="M2306" t="s">
        <v>25</v>
      </c>
      <c r="N2306">
        <v>20</v>
      </c>
      <c r="O2306">
        <v>3</v>
      </c>
      <c r="P2306">
        <v>12.5</v>
      </c>
      <c r="Q2306">
        <v>17.992000000000001</v>
      </c>
      <c r="R2306" t="s">
        <v>26</v>
      </c>
      <c r="S2306" t="b">
        <v>0</v>
      </c>
      <c r="T2306" t="b">
        <v>0</v>
      </c>
    </row>
    <row r="2307" spans="1:20" x14ac:dyDescent="0.3">
      <c r="A2307" t="s">
        <v>3322</v>
      </c>
      <c r="B2307" s="1">
        <v>41930</v>
      </c>
      <c r="C2307" s="1">
        <v>41932</v>
      </c>
      <c r="D2307" t="s">
        <v>2442</v>
      </c>
      <c r="E2307" t="s">
        <v>3137</v>
      </c>
      <c r="F2307" t="s">
        <v>54</v>
      </c>
      <c r="G2307" t="s">
        <v>2407</v>
      </c>
      <c r="H2307">
        <v>52.792000000000002</v>
      </c>
      <c r="I2307">
        <v>1</v>
      </c>
      <c r="J2307">
        <v>4.6193</v>
      </c>
      <c r="K2307">
        <v>2014</v>
      </c>
      <c r="L2307">
        <v>10</v>
      </c>
      <c r="M2307" t="s">
        <v>82</v>
      </c>
      <c r="N2307">
        <v>18</v>
      </c>
      <c r="O2307">
        <v>2</v>
      </c>
      <c r="P2307">
        <v>8.75</v>
      </c>
      <c r="Q2307">
        <v>52.792000000000002</v>
      </c>
      <c r="R2307" t="s">
        <v>26</v>
      </c>
      <c r="S2307" t="b">
        <v>0</v>
      </c>
      <c r="T2307" t="b">
        <v>0</v>
      </c>
    </row>
    <row r="2308" spans="1:20" x14ac:dyDescent="0.3">
      <c r="A2308" t="s">
        <v>3323</v>
      </c>
      <c r="B2308" s="1">
        <v>41821</v>
      </c>
      <c r="C2308" s="1">
        <v>41823</v>
      </c>
      <c r="D2308" t="s">
        <v>3324</v>
      </c>
      <c r="E2308" t="s">
        <v>22</v>
      </c>
      <c r="F2308" t="s">
        <v>317</v>
      </c>
      <c r="G2308" t="s">
        <v>1760</v>
      </c>
      <c r="H2308">
        <v>435.99900000000002</v>
      </c>
      <c r="I2308">
        <v>3</v>
      </c>
      <c r="J2308">
        <v>5.1294000000000004</v>
      </c>
      <c r="K2308">
        <v>2014</v>
      </c>
      <c r="L2308">
        <v>7</v>
      </c>
      <c r="M2308" t="s">
        <v>66</v>
      </c>
      <c r="N2308">
        <v>1</v>
      </c>
      <c r="O2308">
        <v>2</v>
      </c>
      <c r="P2308">
        <v>1.18</v>
      </c>
      <c r="Q2308">
        <v>145.333</v>
      </c>
      <c r="R2308" t="s">
        <v>26</v>
      </c>
      <c r="S2308" t="b">
        <v>0</v>
      </c>
      <c r="T2308" t="b">
        <v>1</v>
      </c>
    </row>
    <row r="2309" spans="1:20" x14ac:dyDescent="0.3">
      <c r="A2309" t="s">
        <v>3325</v>
      </c>
      <c r="B2309" s="1">
        <v>41873</v>
      </c>
      <c r="C2309" s="1">
        <v>41877</v>
      </c>
      <c r="D2309" t="s">
        <v>2439</v>
      </c>
      <c r="E2309" t="s">
        <v>39</v>
      </c>
      <c r="F2309" t="s">
        <v>110</v>
      </c>
      <c r="G2309" t="s">
        <v>3326</v>
      </c>
      <c r="H2309">
        <v>388.70400000000001</v>
      </c>
      <c r="I2309">
        <v>6</v>
      </c>
      <c r="J2309">
        <v>38.870399999999997</v>
      </c>
      <c r="K2309">
        <v>2014</v>
      </c>
      <c r="L2309">
        <v>8</v>
      </c>
      <c r="M2309" t="s">
        <v>53</v>
      </c>
      <c r="N2309">
        <v>22</v>
      </c>
      <c r="O2309">
        <v>4</v>
      </c>
      <c r="P2309">
        <v>10</v>
      </c>
      <c r="Q2309">
        <v>64.784000000000006</v>
      </c>
      <c r="R2309" t="s">
        <v>26</v>
      </c>
      <c r="S2309" t="b">
        <v>0</v>
      </c>
      <c r="T2309" t="b">
        <v>1</v>
      </c>
    </row>
    <row r="2310" spans="1:20" x14ac:dyDescent="0.3">
      <c r="A2310" t="s">
        <v>3325</v>
      </c>
      <c r="B2310" s="1">
        <v>41873</v>
      </c>
      <c r="C2310" s="1">
        <v>41877</v>
      </c>
      <c r="D2310" t="s">
        <v>2439</v>
      </c>
      <c r="E2310" t="s">
        <v>39</v>
      </c>
      <c r="F2310" t="s">
        <v>61</v>
      </c>
      <c r="G2310" t="s">
        <v>1387</v>
      </c>
      <c r="H2310">
        <v>33.18</v>
      </c>
      <c r="I2310">
        <v>2</v>
      </c>
      <c r="J2310">
        <v>11.613</v>
      </c>
      <c r="K2310">
        <v>2014</v>
      </c>
      <c r="L2310">
        <v>8</v>
      </c>
      <c r="M2310" t="s">
        <v>53</v>
      </c>
      <c r="N2310">
        <v>22</v>
      </c>
      <c r="O2310">
        <v>4</v>
      </c>
      <c r="P2310">
        <v>35</v>
      </c>
      <c r="Q2310">
        <v>16.59</v>
      </c>
      <c r="R2310" t="s">
        <v>26</v>
      </c>
      <c r="S2310" t="b">
        <v>0</v>
      </c>
      <c r="T2310" t="b">
        <v>0</v>
      </c>
    </row>
    <row r="2311" spans="1:20" x14ac:dyDescent="0.3">
      <c r="A2311" t="s">
        <v>3327</v>
      </c>
      <c r="B2311" s="1">
        <v>41898</v>
      </c>
      <c r="C2311" s="1">
        <v>41900</v>
      </c>
      <c r="D2311" t="s">
        <v>2668</v>
      </c>
      <c r="E2311" t="s">
        <v>1231</v>
      </c>
      <c r="F2311" t="s">
        <v>33</v>
      </c>
      <c r="G2311" t="s">
        <v>102</v>
      </c>
      <c r="H2311">
        <v>295.05599999999998</v>
      </c>
      <c r="I2311">
        <v>9</v>
      </c>
      <c r="J2311">
        <v>106.95780000000001</v>
      </c>
      <c r="K2311">
        <v>2014</v>
      </c>
      <c r="L2311">
        <v>9</v>
      </c>
      <c r="M2311" t="s">
        <v>87</v>
      </c>
      <c r="N2311">
        <v>16</v>
      </c>
      <c r="O2311">
        <v>2</v>
      </c>
      <c r="P2311">
        <v>36.25</v>
      </c>
      <c r="Q2311">
        <v>32.783999999999999</v>
      </c>
      <c r="R2311" t="s">
        <v>26</v>
      </c>
      <c r="S2311" t="b">
        <v>0</v>
      </c>
      <c r="T2311" t="b">
        <v>1</v>
      </c>
    </row>
    <row r="2312" spans="1:20" x14ac:dyDescent="0.3">
      <c r="A2312" t="s">
        <v>3328</v>
      </c>
      <c r="B2312" s="1">
        <v>41149</v>
      </c>
      <c r="C2312" s="1">
        <v>41156</v>
      </c>
      <c r="D2312" t="s">
        <v>2457</v>
      </c>
      <c r="E2312" t="s">
        <v>22</v>
      </c>
      <c r="F2312" t="s">
        <v>317</v>
      </c>
      <c r="G2312" t="s">
        <v>3329</v>
      </c>
      <c r="H2312">
        <v>307.666</v>
      </c>
      <c r="I2312">
        <v>2</v>
      </c>
      <c r="J2312">
        <v>28.956800000000001</v>
      </c>
      <c r="K2312">
        <v>2012</v>
      </c>
      <c r="L2312">
        <v>8</v>
      </c>
      <c r="M2312" t="s">
        <v>53</v>
      </c>
      <c r="N2312">
        <v>28</v>
      </c>
      <c r="O2312">
        <v>7</v>
      </c>
      <c r="P2312">
        <v>9.41</v>
      </c>
      <c r="Q2312">
        <v>153.833</v>
      </c>
      <c r="R2312" t="s">
        <v>26</v>
      </c>
      <c r="S2312" t="b">
        <v>0</v>
      </c>
      <c r="T2312" t="b">
        <v>1</v>
      </c>
    </row>
    <row r="2313" spans="1:20" x14ac:dyDescent="0.3">
      <c r="A2313" t="s">
        <v>3328</v>
      </c>
      <c r="B2313" s="1">
        <v>41149</v>
      </c>
      <c r="C2313" s="1">
        <v>41156</v>
      </c>
      <c r="D2313" t="s">
        <v>2457</v>
      </c>
      <c r="E2313" t="s">
        <v>22</v>
      </c>
      <c r="F2313" t="s">
        <v>33</v>
      </c>
      <c r="G2313" t="s">
        <v>1785</v>
      </c>
      <c r="H2313">
        <v>41.36</v>
      </c>
      <c r="I2313">
        <v>5</v>
      </c>
      <c r="J2313">
        <v>13.959</v>
      </c>
      <c r="K2313">
        <v>2012</v>
      </c>
      <c r="L2313">
        <v>8</v>
      </c>
      <c r="M2313" t="s">
        <v>53</v>
      </c>
      <c r="N2313">
        <v>28</v>
      </c>
      <c r="O2313">
        <v>7</v>
      </c>
      <c r="P2313">
        <v>33.75</v>
      </c>
      <c r="Q2313">
        <v>8.2720000000000002</v>
      </c>
      <c r="R2313" t="s">
        <v>26</v>
      </c>
      <c r="S2313" t="b">
        <v>0</v>
      </c>
      <c r="T2313" t="b">
        <v>0</v>
      </c>
    </row>
    <row r="2314" spans="1:20" x14ac:dyDescent="0.3">
      <c r="A2314" t="s">
        <v>3328</v>
      </c>
      <c r="B2314" s="1">
        <v>41149</v>
      </c>
      <c r="C2314" s="1">
        <v>41156</v>
      </c>
      <c r="D2314" t="s">
        <v>2457</v>
      </c>
      <c r="E2314" t="s">
        <v>22</v>
      </c>
      <c r="F2314" t="s">
        <v>54</v>
      </c>
      <c r="G2314" t="s">
        <v>1664</v>
      </c>
      <c r="H2314">
        <v>43.176000000000002</v>
      </c>
      <c r="I2314">
        <v>3</v>
      </c>
      <c r="J2314">
        <v>15.111599999999999</v>
      </c>
      <c r="K2314">
        <v>2012</v>
      </c>
      <c r="L2314">
        <v>8</v>
      </c>
      <c r="M2314" t="s">
        <v>53</v>
      </c>
      <c r="N2314">
        <v>28</v>
      </c>
      <c r="O2314">
        <v>7</v>
      </c>
      <c r="P2314">
        <v>35</v>
      </c>
      <c r="Q2314">
        <v>14.391999999999999</v>
      </c>
      <c r="R2314" t="s">
        <v>26</v>
      </c>
      <c r="S2314" t="b">
        <v>0</v>
      </c>
      <c r="T2314" t="b">
        <v>0</v>
      </c>
    </row>
    <row r="2315" spans="1:20" x14ac:dyDescent="0.3">
      <c r="A2315" t="s">
        <v>3328</v>
      </c>
      <c r="B2315" s="1">
        <v>41149</v>
      </c>
      <c r="C2315" s="1">
        <v>41156</v>
      </c>
      <c r="D2315" t="s">
        <v>2457</v>
      </c>
      <c r="E2315" t="s">
        <v>22</v>
      </c>
      <c r="F2315" t="s">
        <v>29</v>
      </c>
      <c r="G2315" t="s">
        <v>310</v>
      </c>
      <c r="H2315">
        <v>4.16</v>
      </c>
      <c r="I2315">
        <v>2</v>
      </c>
      <c r="J2315">
        <v>1.7472000000000001</v>
      </c>
      <c r="K2315">
        <v>2012</v>
      </c>
      <c r="L2315">
        <v>8</v>
      </c>
      <c r="M2315" t="s">
        <v>53</v>
      </c>
      <c r="N2315">
        <v>28</v>
      </c>
      <c r="O2315">
        <v>7</v>
      </c>
      <c r="P2315">
        <v>42</v>
      </c>
      <c r="Q2315">
        <v>2.08</v>
      </c>
      <c r="R2315" t="s">
        <v>26</v>
      </c>
      <c r="S2315" t="b">
        <v>0</v>
      </c>
      <c r="T2315" t="b">
        <v>0</v>
      </c>
    </row>
    <row r="2316" spans="1:20" x14ac:dyDescent="0.3">
      <c r="A2316" t="s">
        <v>3330</v>
      </c>
      <c r="B2316" s="1">
        <v>41202</v>
      </c>
      <c r="C2316" s="1">
        <v>41206</v>
      </c>
      <c r="D2316" t="s">
        <v>671</v>
      </c>
      <c r="E2316" t="s">
        <v>51</v>
      </c>
      <c r="F2316" t="s">
        <v>61</v>
      </c>
      <c r="G2316" t="s">
        <v>3274</v>
      </c>
      <c r="H2316">
        <v>239.97</v>
      </c>
      <c r="I2316">
        <v>3</v>
      </c>
      <c r="J2316">
        <v>86.389200000000002</v>
      </c>
      <c r="K2316">
        <v>2012</v>
      </c>
      <c r="L2316">
        <v>10</v>
      </c>
      <c r="M2316" t="s">
        <v>82</v>
      </c>
      <c r="N2316">
        <v>20</v>
      </c>
      <c r="O2316">
        <v>4</v>
      </c>
      <c r="P2316">
        <v>36</v>
      </c>
      <c r="Q2316">
        <v>79.989999999999995</v>
      </c>
      <c r="R2316" t="s">
        <v>26</v>
      </c>
      <c r="S2316" t="b">
        <v>0</v>
      </c>
      <c r="T2316" t="b">
        <v>1</v>
      </c>
    </row>
    <row r="2317" spans="1:20" x14ac:dyDescent="0.3">
      <c r="A2317" t="s">
        <v>3330</v>
      </c>
      <c r="B2317" s="1">
        <v>41202</v>
      </c>
      <c r="C2317" s="1">
        <v>41206</v>
      </c>
      <c r="D2317" t="s">
        <v>671</v>
      </c>
      <c r="E2317" t="s">
        <v>51</v>
      </c>
      <c r="F2317" t="s">
        <v>29</v>
      </c>
      <c r="G2317" t="s">
        <v>2401</v>
      </c>
      <c r="H2317">
        <v>16.02</v>
      </c>
      <c r="I2317">
        <v>6</v>
      </c>
      <c r="J2317">
        <v>6.0876000000000001</v>
      </c>
      <c r="K2317">
        <v>2012</v>
      </c>
      <c r="L2317">
        <v>10</v>
      </c>
      <c r="M2317" t="s">
        <v>82</v>
      </c>
      <c r="N2317">
        <v>20</v>
      </c>
      <c r="O2317">
        <v>4</v>
      </c>
      <c r="P2317">
        <v>38</v>
      </c>
      <c r="Q2317">
        <v>2.67</v>
      </c>
      <c r="R2317" t="s">
        <v>26</v>
      </c>
      <c r="S2317" t="b">
        <v>0</v>
      </c>
      <c r="T2317" t="b">
        <v>0</v>
      </c>
    </row>
    <row r="2318" spans="1:20" x14ac:dyDescent="0.3">
      <c r="A2318" t="s">
        <v>3331</v>
      </c>
      <c r="B2318" s="1">
        <v>41208</v>
      </c>
      <c r="C2318" s="1">
        <v>41214</v>
      </c>
      <c r="D2318" t="s">
        <v>323</v>
      </c>
      <c r="E2318" t="s">
        <v>1088</v>
      </c>
      <c r="F2318" t="s">
        <v>23</v>
      </c>
      <c r="G2318" t="s">
        <v>1979</v>
      </c>
      <c r="H2318">
        <v>146.54400000000001</v>
      </c>
      <c r="I2318">
        <v>6</v>
      </c>
      <c r="J2318">
        <v>47.626800000000003</v>
      </c>
      <c r="K2318">
        <v>2012</v>
      </c>
      <c r="L2318">
        <v>10</v>
      </c>
      <c r="M2318" t="s">
        <v>82</v>
      </c>
      <c r="N2318">
        <v>26</v>
      </c>
      <c r="O2318">
        <v>6</v>
      </c>
      <c r="P2318">
        <v>32.5</v>
      </c>
      <c r="Q2318">
        <v>24.423999999999999</v>
      </c>
      <c r="R2318" t="s">
        <v>26</v>
      </c>
      <c r="S2318" t="b">
        <v>0</v>
      </c>
      <c r="T2318" t="b">
        <v>0</v>
      </c>
    </row>
    <row r="2319" spans="1:20" x14ac:dyDescent="0.3">
      <c r="A2319" t="s">
        <v>3331</v>
      </c>
      <c r="B2319" s="1">
        <v>41208</v>
      </c>
      <c r="C2319" s="1">
        <v>41214</v>
      </c>
      <c r="D2319" t="s">
        <v>323</v>
      </c>
      <c r="E2319" t="s">
        <v>1088</v>
      </c>
      <c r="F2319" t="s">
        <v>72</v>
      </c>
      <c r="G2319" t="s">
        <v>2909</v>
      </c>
      <c r="H2319">
        <v>131.904</v>
      </c>
      <c r="I2319">
        <v>3</v>
      </c>
      <c r="J2319">
        <v>47.815199999999997</v>
      </c>
      <c r="K2319">
        <v>2012</v>
      </c>
      <c r="L2319">
        <v>10</v>
      </c>
      <c r="M2319" t="s">
        <v>82</v>
      </c>
      <c r="N2319">
        <v>26</v>
      </c>
      <c r="O2319">
        <v>6</v>
      </c>
      <c r="P2319">
        <v>36.25</v>
      </c>
      <c r="Q2319">
        <v>43.968000000000004</v>
      </c>
      <c r="R2319" t="s">
        <v>26</v>
      </c>
      <c r="S2319" t="b">
        <v>0</v>
      </c>
      <c r="T2319" t="b">
        <v>0</v>
      </c>
    </row>
    <row r="2320" spans="1:20" x14ac:dyDescent="0.3">
      <c r="A2320" t="s">
        <v>3331</v>
      </c>
      <c r="B2320" s="1">
        <v>41208</v>
      </c>
      <c r="C2320" s="1">
        <v>41214</v>
      </c>
      <c r="D2320" t="s">
        <v>323</v>
      </c>
      <c r="E2320" t="s">
        <v>1088</v>
      </c>
      <c r="F2320" t="s">
        <v>35</v>
      </c>
      <c r="G2320" t="s">
        <v>435</v>
      </c>
      <c r="H2320">
        <v>203.88</v>
      </c>
      <c r="I2320">
        <v>5</v>
      </c>
      <c r="J2320">
        <v>20.388000000000002</v>
      </c>
      <c r="K2320">
        <v>2012</v>
      </c>
      <c r="L2320">
        <v>10</v>
      </c>
      <c r="M2320" t="s">
        <v>82</v>
      </c>
      <c r="N2320">
        <v>26</v>
      </c>
      <c r="O2320">
        <v>6</v>
      </c>
      <c r="P2320">
        <v>10</v>
      </c>
      <c r="Q2320">
        <v>40.776000000000003</v>
      </c>
      <c r="R2320" t="s">
        <v>26</v>
      </c>
      <c r="S2320" t="b">
        <v>0</v>
      </c>
      <c r="T2320" t="b">
        <v>0</v>
      </c>
    </row>
    <row r="2321" spans="1:20" x14ac:dyDescent="0.3">
      <c r="A2321" t="s">
        <v>3331</v>
      </c>
      <c r="B2321" s="1">
        <v>41208</v>
      </c>
      <c r="C2321" s="1">
        <v>41214</v>
      </c>
      <c r="D2321" t="s">
        <v>323</v>
      </c>
      <c r="E2321" t="s">
        <v>1088</v>
      </c>
      <c r="F2321" t="s">
        <v>33</v>
      </c>
      <c r="G2321" t="s">
        <v>1271</v>
      </c>
      <c r="H2321">
        <v>14.301</v>
      </c>
      <c r="I2321">
        <v>7</v>
      </c>
      <c r="J2321">
        <v>-10.487399999999999</v>
      </c>
      <c r="K2321">
        <v>2012</v>
      </c>
      <c r="L2321">
        <v>10</v>
      </c>
      <c r="M2321" t="s">
        <v>82</v>
      </c>
      <c r="N2321">
        <v>26</v>
      </c>
      <c r="O2321">
        <v>6</v>
      </c>
      <c r="P2321">
        <v>-73.33</v>
      </c>
      <c r="Q2321">
        <v>2.0430000000000001</v>
      </c>
      <c r="R2321" t="s">
        <v>26</v>
      </c>
      <c r="S2321" t="b">
        <v>1</v>
      </c>
      <c r="T2321" t="b">
        <v>0</v>
      </c>
    </row>
    <row r="2322" spans="1:20" x14ac:dyDescent="0.3">
      <c r="A2322" t="s">
        <v>3332</v>
      </c>
      <c r="B2322" s="1">
        <v>41547</v>
      </c>
      <c r="C2322" s="1">
        <v>41549</v>
      </c>
      <c r="D2322" t="s">
        <v>1807</v>
      </c>
      <c r="E2322" t="s">
        <v>2271</v>
      </c>
      <c r="F2322" t="s">
        <v>31</v>
      </c>
      <c r="G2322" t="s">
        <v>1307</v>
      </c>
      <c r="H2322">
        <v>10.496</v>
      </c>
      <c r="I2322">
        <v>4</v>
      </c>
      <c r="J2322">
        <v>1.1808000000000001</v>
      </c>
      <c r="K2322">
        <v>2013</v>
      </c>
      <c r="L2322">
        <v>9</v>
      </c>
      <c r="M2322" t="s">
        <v>87</v>
      </c>
      <c r="N2322">
        <v>30</v>
      </c>
      <c r="O2322">
        <v>2</v>
      </c>
      <c r="P2322">
        <v>11.25</v>
      </c>
      <c r="Q2322">
        <v>2.6240000000000001</v>
      </c>
      <c r="R2322" t="s">
        <v>26</v>
      </c>
      <c r="S2322" t="b">
        <v>0</v>
      </c>
      <c r="T2322" t="b">
        <v>0</v>
      </c>
    </row>
    <row r="2323" spans="1:20" x14ac:dyDescent="0.3">
      <c r="A2323" t="s">
        <v>3333</v>
      </c>
      <c r="B2323" s="1">
        <v>41100</v>
      </c>
      <c r="C2323" s="1">
        <v>41104</v>
      </c>
      <c r="D2323" t="s">
        <v>2907</v>
      </c>
      <c r="E2323" t="s">
        <v>1137</v>
      </c>
      <c r="F2323" t="s">
        <v>33</v>
      </c>
      <c r="G2323" t="s">
        <v>3334</v>
      </c>
      <c r="H2323">
        <v>39.92</v>
      </c>
      <c r="I2323">
        <v>2</v>
      </c>
      <c r="J2323">
        <v>12.974</v>
      </c>
      <c r="K2323">
        <v>2012</v>
      </c>
      <c r="L2323">
        <v>7</v>
      </c>
      <c r="M2323" t="s">
        <v>66</v>
      </c>
      <c r="N2323">
        <v>10</v>
      </c>
      <c r="O2323">
        <v>4</v>
      </c>
      <c r="P2323">
        <v>32.5</v>
      </c>
      <c r="Q2323">
        <v>19.96</v>
      </c>
      <c r="R2323" t="s">
        <v>26</v>
      </c>
      <c r="S2323" t="b">
        <v>0</v>
      </c>
      <c r="T2323" t="b">
        <v>0</v>
      </c>
    </row>
    <row r="2324" spans="1:20" x14ac:dyDescent="0.3">
      <c r="A2324" t="s">
        <v>3335</v>
      </c>
      <c r="B2324" s="1">
        <v>40884</v>
      </c>
      <c r="C2324" s="1">
        <v>40890</v>
      </c>
      <c r="D2324" t="s">
        <v>2118</v>
      </c>
      <c r="E2324" t="s">
        <v>39</v>
      </c>
      <c r="F2324" t="s">
        <v>45</v>
      </c>
      <c r="G2324" t="s">
        <v>1497</v>
      </c>
      <c r="H2324">
        <v>269.36</v>
      </c>
      <c r="I2324">
        <v>7</v>
      </c>
      <c r="J2324">
        <v>70.033600000000007</v>
      </c>
      <c r="K2324">
        <v>2011</v>
      </c>
      <c r="L2324">
        <v>12</v>
      </c>
      <c r="M2324" t="s">
        <v>41</v>
      </c>
      <c r="N2324">
        <v>7</v>
      </c>
      <c r="O2324">
        <v>6</v>
      </c>
      <c r="P2324">
        <v>26</v>
      </c>
      <c r="Q2324">
        <v>38.479999999999997</v>
      </c>
      <c r="R2324" t="s">
        <v>26</v>
      </c>
      <c r="S2324" t="b">
        <v>0</v>
      </c>
      <c r="T2324" t="b">
        <v>1</v>
      </c>
    </row>
    <row r="2325" spans="1:20" x14ac:dyDescent="0.3">
      <c r="A2325" t="s">
        <v>3336</v>
      </c>
      <c r="B2325" s="1">
        <v>41253</v>
      </c>
      <c r="C2325" s="1">
        <v>41257</v>
      </c>
      <c r="D2325" t="s">
        <v>616</v>
      </c>
      <c r="E2325" t="s">
        <v>51</v>
      </c>
      <c r="F2325" t="s">
        <v>23</v>
      </c>
      <c r="G2325" t="s">
        <v>1348</v>
      </c>
      <c r="H2325">
        <v>5.76</v>
      </c>
      <c r="I2325">
        <v>2</v>
      </c>
      <c r="J2325">
        <v>2.8224</v>
      </c>
      <c r="K2325">
        <v>2012</v>
      </c>
      <c r="L2325">
        <v>12</v>
      </c>
      <c r="M2325" t="s">
        <v>41</v>
      </c>
      <c r="N2325">
        <v>10</v>
      </c>
      <c r="O2325">
        <v>4</v>
      </c>
      <c r="P2325">
        <v>49</v>
      </c>
      <c r="Q2325">
        <v>2.88</v>
      </c>
      <c r="R2325" t="s">
        <v>26</v>
      </c>
      <c r="S2325" t="b">
        <v>0</v>
      </c>
      <c r="T2325" t="b">
        <v>0</v>
      </c>
    </row>
    <row r="2326" spans="1:20" x14ac:dyDescent="0.3">
      <c r="A2326" t="s">
        <v>3337</v>
      </c>
      <c r="B2326" s="1">
        <v>41848</v>
      </c>
      <c r="C2326" s="1">
        <v>41853</v>
      </c>
      <c r="D2326" t="s">
        <v>1345</v>
      </c>
      <c r="E2326" t="s">
        <v>39</v>
      </c>
      <c r="F2326" t="s">
        <v>29</v>
      </c>
      <c r="G2326" t="s">
        <v>155</v>
      </c>
      <c r="H2326">
        <v>23.88</v>
      </c>
      <c r="I2326">
        <v>3</v>
      </c>
      <c r="J2326">
        <v>10.507199999999999</v>
      </c>
      <c r="K2326">
        <v>2014</v>
      </c>
      <c r="L2326">
        <v>7</v>
      </c>
      <c r="M2326" t="s">
        <v>66</v>
      </c>
      <c r="N2326">
        <v>28</v>
      </c>
      <c r="O2326">
        <v>5</v>
      </c>
      <c r="P2326">
        <v>44</v>
      </c>
      <c r="Q2326">
        <v>7.96</v>
      </c>
      <c r="R2326" t="s">
        <v>26</v>
      </c>
      <c r="S2326" t="b">
        <v>0</v>
      </c>
      <c r="T2326" t="b">
        <v>0</v>
      </c>
    </row>
    <row r="2327" spans="1:20" x14ac:dyDescent="0.3">
      <c r="A2327" t="s">
        <v>3337</v>
      </c>
      <c r="B2327" s="1">
        <v>41848</v>
      </c>
      <c r="C2327" s="1">
        <v>41853</v>
      </c>
      <c r="D2327" t="s">
        <v>1345</v>
      </c>
      <c r="E2327" t="s">
        <v>39</v>
      </c>
      <c r="F2327" t="s">
        <v>72</v>
      </c>
      <c r="G2327" t="s">
        <v>1336</v>
      </c>
      <c r="H2327">
        <v>26.2</v>
      </c>
      <c r="I2327">
        <v>4</v>
      </c>
      <c r="J2327">
        <v>12.052</v>
      </c>
      <c r="K2327">
        <v>2014</v>
      </c>
      <c r="L2327">
        <v>7</v>
      </c>
      <c r="M2327" t="s">
        <v>66</v>
      </c>
      <c r="N2327">
        <v>28</v>
      </c>
      <c r="O2327">
        <v>5</v>
      </c>
      <c r="P2327">
        <v>46</v>
      </c>
      <c r="Q2327">
        <v>6.55</v>
      </c>
      <c r="R2327" t="s">
        <v>26</v>
      </c>
      <c r="S2327" t="b">
        <v>0</v>
      </c>
      <c r="T2327" t="b">
        <v>0</v>
      </c>
    </row>
    <row r="2328" spans="1:20" x14ac:dyDescent="0.3">
      <c r="A2328" t="s">
        <v>3337</v>
      </c>
      <c r="B2328" s="1">
        <v>41848</v>
      </c>
      <c r="C2328" s="1">
        <v>41853</v>
      </c>
      <c r="D2328" t="s">
        <v>1345</v>
      </c>
      <c r="E2328" t="s">
        <v>39</v>
      </c>
      <c r="F2328" t="s">
        <v>72</v>
      </c>
      <c r="G2328" t="s">
        <v>2137</v>
      </c>
      <c r="H2328">
        <v>12.96</v>
      </c>
      <c r="I2328">
        <v>2</v>
      </c>
      <c r="J2328">
        <v>6.2207999999999997</v>
      </c>
      <c r="K2328">
        <v>2014</v>
      </c>
      <c r="L2328">
        <v>7</v>
      </c>
      <c r="M2328" t="s">
        <v>66</v>
      </c>
      <c r="N2328">
        <v>28</v>
      </c>
      <c r="O2328">
        <v>5</v>
      </c>
      <c r="P2328">
        <v>48</v>
      </c>
      <c r="Q2328">
        <v>6.48</v>
      </c>
      <c r="R2328" t="s">
        <v>26</v>
      </c>
      <c r="S2328" t="b">
        <v>0</v>
      </c>
      <c r="T2328" t="b">
        <v>0</v>
      </c>
    </row>
    <row r="2329" spans="1:20" x14ac:dyDescent="0.3">
      <c r="A2329" t="s">
        <v>3337</v>
      </c>
      <c r="B2329" s="1">
        <v>41848</v>
      </c>
      <c r="C2329" s="1">
        <v>41853</v>
      </c>
      <c r="D2329" t="s">
        <v>1345</v>
      </c>
      <c r="E2329" t="s">
        <v>39</v>
      </c>
      <c r="F2329" t="s">
        <v>61</v>
      </c>
      <c r="G2329" t="s">
        <v>334</v>
      </c>
      <c r="H2329">
        <v>234.95</v>
      </c>
      <c r="I2329">
        <v>5</v>
      </c>
      <c r="J2329">
        <v>32.893000000000001</v>
      </c>
      <c r="K2329">
        <v>2014</v>
      </c>
      <c r="L2329">
        <v>7</v>
      </c>
      <c r="M2329" t="s">
        <v>66</v>
      </c>
      <c r="N2329">
        <v>28</v>
      </c>
      <c r="O2329">
        <v>5</v>
      </c>
      <c r="P2329">
        <v>14</v>
      </c>
      <c r="Q2329">
        <v>46.989999999999988</v>
      </c>
      <c r="R2329" t="s">
        <v>26</v>
      </c>
      <c r="S2329" t="b">
        <v>0</v>
      </c>
      <c r="T2329" t="b">
        <v>1</v>
      </c>
    </row>
    <row r="2330" spans="1:20" x14ac:dyDescent="0.3">
      <c r="A2330" t="s">
        <v>3338</v>
      </c>
      <c r="B2330" s="1">
        <v>42002</v>
      </c>
      <c r="C2330" s="1">
        <v>42006</v>
      </c>
      <c r="D2330" t="s">
        <v>3339</v>
      </c>
      <c r="E2330" t="s">
        <v>1364</v>
      </c>
      <c r="F2330" t="s">
        <v>45</v>
      </c>
      <c r="G2330" t="s">
        <v>3077</v>
      </c>
      <c r="H2330">
        <v>118.25</v>
      </c>
      <c r="I2330">
        <v>5</v>
      </c>
      <c r="J2330">
        <v>34.292499999999997</v>
      </c>
      <c r="K2330">
        <v>2014</v>
      </c>
      <c r="L2330">
        <v>12</v>
      </c>
      <c r="M2330" t="s">
        <v>41</v>
      </c>
      <c r="N2330">
        <v>29</v>
      </c>
      <c r="O2330">
        <v>4</v>
      </c>
      <c r="P2330">
        <v>29</v>
      </c>
      <c r="Q2330">
        <v>23.65</v>
      </c>
      <c r="R2330" t="s">
        <v>26</v>
      </c>
      <c r="S2330" t="b">
        <v>0</v>
      </c>
      <c r="T2330" t="b">
        <v>0</v>
      </c>
    </row>
    <row r="2331" spans="1:20" x14ac:dyDescent="0.3">
      <c r="A2331" t="s">
        <v>3338</v>
      </c>
      <c r="B2331" s="1">
        <v>42002</v>
      </c>
      <c r="C2331" s="1">
        <v>42006</v>
      </c>
      <c r="D2331" t="s">
        <v>3339</v>
      </c>
      <c r="E2331" t="s">
        <v>1364</v>
      </c>
      <c r="F2331" t="s">
        <v>72</v>
      </c>
      <c r="G2331" t="s">
        <v>1529</v>
      </c>
      <c r="H2331">
        <v>4.28</v>
      </c>
      <c r="I2331">
        <v>1</v>
      </c>
      <c r="J2331">
        <v>1.9259999999999999</v>
      </c>
      <c r="K2331">
        <v>2014</v>
      </c>
      <c r="L2331">
        <v>12</v>
      </c>
      <c r="M2331" t="s">
        <v>41</v>
      </c>
      <c r="N2331">
        <v>29</v>
      </c>
      <c r="O2331">
        <v>4</v>
      </c>
      <c r="P2331">
        <v>45</v>
      </c>
      <c r="Q2331">
        <v>4.28</v>
      </c>
      <c r="R2331" t="s">
        <v>26</v>
      </c>
      <c r="S2331" t="b">
        <v>0</v>
      </c>
      <c r="T2331" t="b">
        <v>0</v>
      </c>
    </row>
    <row r="2332" spans="1:20" x14ac:dyDescent="0.3">
      <c r="A2332" t="s">
        <v>3340</v>
      </c>
      <c r="B2332" s="1">
        <v>41344</v>
      </c>
      <c r="C2332" s="1">
        <v>41347</v>
      </c>
      <c r="D2332" t="s">
        <v>1266</v>
      </c>
      <c r="E2332" t="s">
        <v>22</v>
      </c>
      <c r="F2332" t="s">
        <v>61</v>
      </c>
      <c r="G2332" t="s">
        <v>1008</v>
      </c>
      <c r="H2332">
        <v>26.85</v>
      </c>
      <c r="I2332">
        <v>3</v>
      </c>
      <c r="J2332">
        <v>5.1014999999999997</v>
      </c>
      <c r="K2332">
        <v>2013</v>
      </c>
      <c r="L2332">
        <v>3</v>
      </c>
      <c r="M2332" t="s">
        <v>135</v>
      </c>
      <c r="N2332">
        <v>11</v>
      </c>
      <c r="O2332">
        <v>3</v>
      </c>
      <c r="P2332">
        <v>19</v>
      </c>
      <c r="Q2332">
        <v>8.9500000000000011</v>
      </c>
      <c r="R2332" t="s">
        <v>26</v>
      </c>
      <c r="S2332" t="b">
        <v>0</v>
      </c>
      <c r="T2332" t="b">
        <v>0</v>
      </c>
    </row>
    <row r="2333" spans="1:20" x14ac:dyDescent="0.3">
      <c r="A2333" t="s">
        <v>3341</v>
      </c>
      <c r="B2333" s="1">
        <v>41051</v>
      </c>
      <c r="C2333" s="1">
        <v>41055</v>
      </c>
      <c r="D2333" t="s">
        <v>3342</v>
      </c>
      <c r="E2333" t="s">
        <v>22</v>
      </c>
      <c r="F2333" t="s">
        <v>23</v>
      </c>
      <c r="G2333" t="s">
        <v>2631</v>
      </c>
      <c r="H2333">
        <v>8.26</v>
      </c>
      <c r="I2333">
        <v>2</v>
      </c>
      <c r="J2333">
        <v>3.7995999999999999</v>
      </c>
      <c r="K2333">
        <v>2012</v>
      </c>
      <c r="L2333">
        <v>5</v>
      </c>
      <c r="M2333" t="s">
        <v>47</v>
      </c>
      <c r="N2333">
        <v>22</v>
      </c>
      <c r="O2333">
        <v>4</v>
      </c>
      <c r="P2333">
        <v>46</v>
      </c>
      <c r="Q2333">
        <v>4.13</v>
      </c>
      <c r="R2333" t="s">
        <v>26</v>
      </c>
      <c r="S2333" t="b">
        <v>0</v>
      </c>
      <c r="T2333" t="b">
        <v>0</v>
      </c>
    </row>
    <row r="2334" spans="1:20" x14ac:dyDescent="0.3">
      <c r="A2334" t="s">
        <v>3341</v>
      </c>
      <c r="B2334" s="1">
        <v>41051</v>
      </c>
      <c r="C2334" s="1">
        <v>41055</v>
      </c>
      <c r="D2334" t="s">
        <v>3342</v>
      </c>
      <c r="E2334" t="s">
        <v>22</v>
      </c>
      <c r="F2334" t="s">
        <v>45</v>
      </c>
      <c r="G2334" t="s">
        <v>1794</v>
      </c>
      <c r="H2334">
        <v>104.79</v>
      </c>
      <c r="I2334">
        <v>7</v>
      </c>
      <c r="J2334">
        <v>29.341200000000001</v>
      </c>
      <c r="K2334">
        <v>2012</v>
      </c>
      <c r="L2334">
        <v>5</v>
      </c>
      <c r="M2334" t="s">
        <v>47</v>
      </c>
      <c r="N2334">
        <v>22</v>
      </c>
      <c r="O2334">
        <v>4</v>
      </c>
      <c r="P2334">
        <v>28</v>
      </c>
      <c r="Q2334">
        <v>14.97</v>
      </c>
      <c r="R2334" t="s">
        <v>26</v>
      </c>
      <c r="S2334" t="b">
        <v>0</v>
      </c>
      <c r="T2334" t="b">
        <v>0</v>
      </c>
    </row>
    <row r="2335" spans="1:20" x14ac:dyDescent="0.3">
      <c r="A2335" t="s">
        <v>3343</v>
      </c>
      <c r="B2335" s="1">
        <v>41881</v>
      </c>
      <c r="C2335" s="1">
        <v>41887</v>
      </c>
      <c r="D2335" t="s">
        <v>821</v>
      </c>
      <c r="E2335" t="s">
        <v>22</v>
      </c>
      <c r="F2335" t="s">
        <v>29</v>
      </c>
      <c r="G2335" t="s">
        <v>3344</v>
      </c>
      <c r="H2335">
        <v>148.02000000000001</v>
      </c>
      <c r="I2335">
        <v>3</v>
      </c>
      <c r="J2335">
        <v>41.445599999999999</v>
      </c>
      <c r="K2335">
        <v>2014</v>
      </c>
      <c r="L2335">
        <v>8</v>
      </c>
      <c r="M2335" t="s">
        <v>53</v>
      </c>
      <c r="N2335">
        <v>30</v>
      </c>
      <c r="O2335">
        <v>6</v>
      </c>
      <c r="P2335">
        <v>28</v>
      </c>
      <c r="Q2335">
        <v>49.34</v>
      </c>
      <c r="R2335" t="s">
        <v>26</v>
      </c>
      <c r="S2335" t="b">
        <v>0</v>
      </c>
      <c r="T2335" t="b">
        <v>0</v>
      </c>
    </row>
    <row r="2336" spans="1:20" x14ac:dyDescent="0.3">
      <c r="A2336" t="s">
        <v>3345</v>
      </c>
      <c r="B2336" s="1">
        <v>41821</v>
      </c>
      <c r="C2336" s="1">
        <v>41826</v>
      </c>
      <c r="D2336" t="s">
        <v>1574</v>
      </c>
      <c r="E2336" t="s">
        <v>22</v>
      </c>
      <c r="F2336" t="s">
        <v>72</v>
      </c>
      <c r="G2336" t="s">
        <v>1023</v>
      </c>
      <c r="H2336">
        <v>204.95</v>
      </c>
      <c r="I2336">
        <v>5</v>
      </c>
      <c r="J2336">
        <v>100.4255</v>
      </c>
      <c r="K2336">
        <v>2014</v>
      </c>
      <c r="L2336">
        <v>7</v>
      </c>
      <c r="M2336" t="s">
        <v>66</v>
      </c>
      <c r="N2336">
        <v>1</v>
      </c>
      <c r="O2336">
        <v>5</v>
      </c>
      <c r="P2336">
        <v>49</v>
      </c>
      <c r="Q2336">
        <v>40.989999999999988</v>
      </c>
      <c r="R2336" t="s">
        <v>26</v>
      </c>
      <c r="S2336" t="b">
        <v>0</v>
      </c>
      <c r="T2336" t="b">
        <v>0</v>
      </c>
    </row>
    <row r="2337" spans="1:20" x14ac:dyDescent="0.3">
      <c r="A2337" t="s">
        <v>3346</v>
      </c>
      <c r="B2337" s="1">
        <v>41590</v>
      </c>
      <c r="C2337" s="1">
        <v>41595</v>
      </c>
      <c r="D2337" t="s">
        <v>378</v>
      </c>
      <c r="E2337" t="s">
        <v>51</v>
      </c>
      <c r="F2337" t="s">
        <v>29</v>
      </c>
      <c r="G2337" t="s">
        <v>3347</v>
      </c>
      <c r="H2337">
        <v>41.96</v>
      </c>
      <c r="I2337">
        <v>2</v>
      </c>
      <c r="J2337">
        <v>10.909599999999999</v>
      </c>
      <c r="K2337">
        <v>2013</v>
      </c>
      <c r="L2337">
        <v>11</v>
      </c>
      <c r="M2337" t="s">
        <v>70</v>
      </c>
      <c r="N2337">
        <v>12</v>
      </c>
      <c r="O2337">
        <v>5</v>
      </c>
      <c r="P2337">
        <v>26</v>
      </c>
      <c r="Q2337">
        <v>20.98</v>
      </c>
      <c r="R2337" t="s">
        <v>26</v>
      </c>
      <c r="S2337" t="b">
        <v>0</v>
      </c>
      <c r="T2337" t="b">
        <v>0</v>
      </c>
    </row>
    <row r="2338" spans="1:20" x14ac:dyDescent="0.3">
      <c r="A2338" t="s">
        <v>3346</v>
      </c>
      <c r="B2338" s="1">
        <v>41590</v>
      </c>
      <c r="C2338" s="1">
        <v>41595</v>
      </c>
      <c r="D2338" t="s">
        <v>378</v>
      </c>
      <c r="E2338" t="s">
        <v>51</v>
      </c>
      <c r="F2338" t="s">
        <v>110</v>
      </c>
      <c r="G2338" t="s">
        <v>392</v>
      </c>
      <c r="H2338">
        <v>451.15199999999999</v>
      </c>
      <c r="I2338">
        <v>3</v>
      </c>
      <c r="J2338">
        <v>0</v>
      </c>
      <c r="K2338">
        <v>2013</v>
      </c>
      <c r="L2338">
        <v>11</v>
      </c>
      <c r="M2338" t="s">
        <v>70</v>
      </c>
      <c r="N2338">
        <v>12</v>
      </c>
      <c r="O2338">
        <v>5</v>
      </c>
      <c r="P2338">
        <v>0</v>
      </c>
      <c r="Q2338">
        <v>150.38399999999999</v>
      </c>
      <c r="R2338" t="s">
        <v>26</v>
      </c>
      <c r="S2338" t="b">
        <v>0</v>
      </c>
      <c r="T2338" t="b">
        <v>1</v>
      </c>
    </row>
    <row r="2339" spans="1:20" x14ac:dyDescent="0.3">
      <c r="A2339" t="s">
        <v>3346</v>
      </c>
      <c r="B2339" s="1">
        <v>41590</v>
      </c>
      <c r="C2339" s="1">
        <v>41595</v>
      </c>
      <c r="D2339" t="s">
        <v>378</v>
      </c>
      <c r="E2339" t="s">
        <v>51</v>
      </c>
      <c r="F2339" t="s">
        <v>33</v>
      </c>
      <c r="G2339" t="s">
        <v>3069</v>
      </c>
      <c r="H2339">
        <v>31.504000000000001</v>
      </c>
      <c r="I2339">
        <v>11</v>
      </c>
      <c r="J2339">
        <v>11.026400000000001</v>
      </c>
      <c r="K2339">
        <v>2013</v>
      </c>
      <c r="L2339">
        <v>11</v>
      </c>
      <c r="M2339" t="s">
        <v>70</v>
      </c>
      <c r="N2339">
        <v>12</v>
      </c>
      <c r="O2339">
        <v>5</v>
      </c>
      <c r="P2339">
        <v>35</v>
      </c>
      <c r="Q2339">
        <v>2.8639999999999999</v>
      </c>
      <c r="R2339" t="s">
        <v>26</v>
      </c>
      <c r="S2339" t="b">
        <v>0</v>
      </c>
      <c r="T2339" t="b">
        <v>0</v>
      </c>
    </row>
    <row r="2340" spans="1:20" x14ac:dyDescent="0.3">
      <c r="A2340" t="s">
        <v>3348</v>
      </c>
      <c r="B2340" s="1">
        <v>41890</v>
      </c>
      <c r="C2340" s="1">
        <v>41895</v>
      </c>
      <c r="D2340" t="s">
        <v>586</v>
      </c>
      <c r="E2340" t="s">
        <v>3137</v>
      </c>
      <c r="F2340" t="s">
        <v>110</v>
      </c>
      <c r="G2340" t="s">
        <v>2217</v>
      </c>
      <c r="H2340">
        <v>161.56800000000001</v>
      </c>
      <c r="I2340">
        <v>2</v>
      </c>
      <c r="J2340">
        <v>-28.2744</v>
      </c>
      <c r="K2340">
        <v>2014</v>
      </c>
      <c r="L2340">
        <v>9</v>
      </c>
      <c r="M2340" t="s">
        <v>87</v>
      </c>
      <c r="N2340">
        <v>8</v>
      </c>
      <c r="O2340">
        <v>5</v>
      </c>
      <c r="P2340">
        <v>-17.5</v>
      </c>
      <c r="Q2340">
        <v>80.784000000000006</v>
      </c>
      <c r="R2340" t="s">
        <v>26</v>
      </c>
      <c r="S2340" t="b">
        <v>1</v>
      </c>
      <c r="T2340" t="b">
        <v>0</v>
      </c>
    </row>
    <row r="2341" spans="1:20" x14ac:dyDescent="0.3">
      <c r="A2341" t="s">
        <v>3349</v>
      </c>
      <c r="B2341" s="1">
        <v>40744</v>
      </c>
      <c r="C2341" s="1">
        <v>40747</v>
      </c>
      <c r="D2341" t="s">
        <v>2042</v>
      </c>
      <c r="E2341" t="s">
        <v>569</v>
      </c>
      <c r="F2341" t="s">
        <v>61</v>
      </c>
      <c r="G2341" t="s">
        <v>3204</v>
      </c>
      <c r="H2341">
        <v>41.94</v>
      </c>
      <c r="I2341">
        <v>2</v>
      </c>
      <c r="J2341">
        <v>15.0984</v>
      </c>
      <c r="K2341">
        <v>2011</v>
      </c>
      <c r="L2341">
        <v>7</v>
      </c>
      <c r="M2341" t="s">
        <v>66</v>
      </c>
      <c r="N2341">
        <v>20</v>
      </c>
      <c r="O2341">
        <v>3</v>
      </c>
      <c r="P2341">
        <v>36</v>
      </c>
      <c r="Q2341">
        <v>20.97</v>
      </c>
      <c r="R2341" t="s">
        <v>26</v>
      </c>
      <c r="S2341" t="b">
        <v>0</v>
      </c>
      <c r="T2341" t="b">
        <v>0</v>
      </c>
    </row>
    <row r="2342" spans="1:20" x14ac:dyDescent="0.3">
      <c r="A2342" t="s">
        <v>3349</v>
      </c>
      <c r="B2342" s="1">
        <v>40744</v>
      </c>
      <c r="C2342" s="1">
        <v>40747</v>
      </c>
      <c r="D2342" t="s">
        <v>2042</v>
      </c>
      <c r="E2342" t="s">
        <v>569</v>
      </c>
      <c r="F2342" t="s">
        <v>72</v>
      </c>
      <c r="G2342" t="s">
        <v>2893</v>
      </c>
      <c r="H2342">
        <v>11.96</v>
      </c>
      <c r="I2342">
        <v>2</v>
      </c>
      <c r="J2342">
        <v>5.8604000000000003</v>
      </c>
      <c r="K2342">
        <v>2011</v>
      </c>
      <c r="L2342">
        <v>7</v>
      </c>
      <c r="M2342" t="s">
        <v>66</v>
      </c>
      <c r="N2342">
        <v>20</v>
      </c>
      <c r="O2342">
        <v>3</v>
      </c>
      <c r="P2342">
        <v>49</v>
      </c>
      <c r="Q2342">
        <v>5.98</v>
      </c>
      <c r="R2342" t="s">
        <v>26</v>
      </c>
      <c r="S2342" t="b">
        <v>0</v>
      </c>
      <c r="T2342" t="b">
        <v>0</v>
      </c>
    </row>
    <row r="2343" spans="1:20" x14ac:dyDescent="0.3">
      <c r="A2343" t="s">
        <v>3349</v>
      </c>
      <c r="B2343" s="1">
        <v>40744</v>
      </c>
      <c r="C2343" s="1">
        <v>40747</v>
      </c>
      <c r="D2343" t="s">
        <v>2042</v>
      </c>
      <c r="E2343" t="s">
        <v>569</v>
      </c>
      <c r="F2343" t="s">
        <v>31</v>
      </c>
      <c r="G2343" t="s">
        <v>3350</v>
      </c>
      <c r="H2343">
        <v>13.12</v>
      </c>
      <c r="I2343">
        <v>4</v>
      </c>
      <c r="J2343">
        <v>3.8048000000000002</v>
      </c>
      <c r="K2343">
        <v>2011</v>
      </c>
      <c r="L2343">
        <v>7</v>
      </c>
      <c r="M2343" t="s">
        <v>66</v>
      </c>
      <c r="N2343">
        <v>20</v>
      </c>
      <c r="O2343">
        <v>3</v>
      </c>
      <c r="P2343">
        <v>29</v>
      </c>
      <c r="Q2343">
        <v>3.28</v>
      </c>
      <c r="R2343" t="s">
        <v>26</v>
      </c>
      <c r="S2343" t="b">
        <v>0</v>
      </c>
      <c r="T2343" t="b">
        <v>0</v>
      </c>
    </row>
    <row r="2344" spans="1:20" x14ac:dyDescent="0.3">
      <c r="A2344" t="s">
        <v>3351</v>
      </c>
      <c r="B2344" s="1">
        <v>40955</v>
      </c>
      <c r="C2344" s="1">
        <v>40960</v>
      </c>
      <c r="D2344" t="s">
        <v>1730</v>
      </c>
      <c r="E2344" t="s">
        <v>22</v>
      </c>
      <c r="F2344" t="s">
        <v>72</v>
      </c>
      <c r="G2344" t="s">
        <v>651</v>
      </c>
      <c r="H2344">
        <v>36.840000000000003</v>
      </c>
      <c r="I2344">
        <v>3</v>
      </c>
      <c r="J2344">
        <v>17.314800000000002</v>
      </c>
      <c r="K2344">
        <v>2012</v>
      </c>
      <c r="L2344">
        <v>2</v>
      </c>
      <c r="M2344" t="s">
        <v>303</v>
      </c>
      <c r="N2344">
        <v>16</v>
      </c>
      <c r="O2344">
        <v>5</v>
      </c>
      <c r="P2344">
        <v>47</v>
      </c>
      <c r="Q2344">
        <v>12.28</v>
      </c>
      <c r="R2344" t="s">
        <v>26</v>
      </c>
      <c r="S2344" t="b">
        <v>0</v>
      </c>
      <c r="T2344" t="b">
        <v>0</v>
      </c>
    </row>
    <row r="2345" spans="1:20" x14ac:dyDescent="0.3">
      <c r="A2345" t="s">
        <v>3351</v>
      </c>
      <c r="B2345" s="1">
        <v>40955</v>
      </c>
      <c r="C2345" s="1">
        <v>40960</v>
      </c>
      <c r="D2345" t="s">
        <v>1730</v>
      </c>
      <c r="E2345" t="s">
        <v>22</v>
      </c>
      <c r="F2345" t="s">
        <v>23</v>
      </c>
      <c r="G2345" t="s">
        <v>1703</v>
      </c>
      <c r="H2345">
        <v>87.71</v>
      </c>
      <c r="I2345">
        <v>7</v>
      </c>
      <c r="J2345">
        <v>41.223700000000001</v>
      </c>
      <c r="K2345">
        <v>2012</v>
      </c>
      <c r="L2345">
        <v>2</v>
      </c>
      <c r="M2345" t="s">
        <v>303</v>
      </c>
      <c r="N2345">
        <v>16</v>
      </c>
      <c r="O2345">
        <v>5</v>
      </c>
      <c r="P2345">
        <v>47</v>
      </c>
      <c r="Q2345">
        <v>12.53</v>
      </c>
      <c r="R2345" t="s">
        <v>26</v>
      </c>
      <c r="S2345" t="b">
        <v>0</v>
      </c>
      <c r="T2345" t="b">
        <v>0</v>
      </c>
    </row>
    <row r="2346" spans="1:20" x14ac:dyDescent="0.3">
      <c r="A2346" t="s">
        <v>3352</v>
      </c>
      <c r="B2346" s="1">
        <v>41310</v>
      </c>
      <c r="C2346" s="1">
        <v>41315</v>
      </c>
      <c r="D2346" t="s">
        <v>2831</v>
      </c>
      <c r="E2346" t="s">
        <v>194</v>
      </c>
      <c r="F2346" t="s">
        <v>23</v>
      </c>
      <c r="G2346" t="s">
        <v>3353</v>
      </c>
      <c r="H2346">
        <v>14.73</v>
      </c>
      <c r="I2346">
        <v>3</v>
      </c>
      <c r="J2346">
        <v>7.2176999999999998</v>
      </c>
      <c r="K2346">
        <v>2013</v>
      </c>
      <c r="L2346">
        <v>2</v>
      </c>
      <c r="M2346" t="s">
        <v>303</v>
      </c>
      <c r="N2346">
        <v>5</v>
      </c>
      <c r="O2346">
        <v>5</v>
      </c>
      <c r="P2346">
        <v>49</v>
      </c>
      <c r="Q2346">
        <v>4.91</v>
      </c>
      <c r="R2346" t="s">
        <v>26</v>
      </c>
      <c r="S2346" t="b">
        <v>0</v>
      </c>
      <c r="T2346" t="b">
        <v>0</v>
      </c>
    </row>
    <row r="2347" spans="1:20" x14ac:dyDescent="0.3">
      <c r="A2347" t="s">
        <v>3352</v>
      </c>
      <c r="B2347" s="1">
        <v>41310</v>
      </c>
      <c r="C2347" s="1">
        <v>41315</v>
      </c>
      <c r="D2347" t="s">
        <v>2831</v>
      </c>
      <c r="E2347" t="s">
        <v>194</v>
      </c>
      <c r="F2347" t="s">
        <v>45</v>
      </c>
      <c r="G2347" t="s">
        <v>694</v>
      </c>
      <c r="H2347">
        <v>186.54</v>
      </c>
      <c r="I2347">
        <v>3</v>
      </c>
      <c r="J2347">
        <v>50.3658</v>
      </c>
      <c r="K2347">
        <v>2013</v>
      </c>
      <c r="L2347">
        <v>2</v>
      </c>
      <c r="M2347" t="s">
        <v>303</v>
      </c>
      <c r="N2347">
        <v>5</v>
      </c>
      <c r="O2347">
        <v>5</v>
      </c>
      <c r="P2347">
        <v>27</v>
      </c>
      <c r="Q2347">
        <v>62.18</v>
      </c>
      <c r="R2347" t="s">
        <v>26</v>
      </c>
      <c r="S2347" t="b">
        <v>0</v>
      </c>
      <c r="T2347" t="b">
        <v>0</v>
      </c>
    </row>
    <row r="2348" spans="1:20" x14ac:dyDescent="0.3">
      <c r="A2348" t="s">
        <v>3352</v>
      </c>
      <c r="B2348" s="1">
        <v>41310</v>
      </c>
      <c r="C2348" s="1">
        <v>41315</v>
      </c>
      <c r="D2348" t="s">
        <v>2831</v>
      </c>
      <c r="E2348" t="s">
        <v>194</v>
      </c>
      <c r="F2348" t="s">
        <v>54</v>
      </c>
      <c r="G2348" t="s">
        <v>2819</v>
      </c>
      <c r="H2348">
        <v>159.96799999999999</v>
      </c>
      <c r="I2348">
        <v>4</v>
      </c>
      <c r="J2348">
        <v>-31.993600000000001</v>
      </c>
      <c r="K2348">
        <v>2013</v>
      </c>
      <c r="L2348">
        <v>2</v>
      </c>
      <c r="M2348" t="s">
        <v>303</v>
      </c>
      <c r="N2348">
        <v>5</v>
      </c>
      <c r="O2348">
        <v>5</v>
      </c>
      <c r="P2348">
        <v>-20</v>
      </c>
      <c r="Q2348">
        <v>39.991999999999997</v>
      </c>
      <c r="R2348" t="s">
        <v>26</v>
      </c>
      <c r="S2348" t="b">
        <v>1</v>
      </c>
      <c r="T2348" t="b">
        <v>0</v>
      </c>
    </row>
    <row r="2349" spans="1:20" x14ac:dyDescent="0.3">
      <c r="A2349" t="s">
        <v>3354</v>
      </c>
      <c r="B2349" s="1">
        <v>41636</v>
      </c>
      <c r="C2349" s="1">
        <v>41640</v>
      </c>
      <c r="D2349" t="s">
        <v>1593</v>
      </c>
      <c r="E2349" t="s">
        <v>527</v>
      </c>
      <c r="F2349" t="s">
        <v>23</v>
      </c>
      <c r="G2349" t="s">
        <v>1348</v>
      </c>
      <c r="H2349">
        <v>20.16</v>
      </c>
      <c r="I2349">
        <v>7</v>
      </c>
      <c r="J2349">
        <v>9.8783999999999992</v>
      </c>
      <c r="K2349">
        <v>2013</v>
      </c>
      <c r="L2349">
        <v>12</v>
      </c>
      <c r="M2349" t="s">
        <v>41</v>
      </c>
      <c r="N2349">
        <v>28</v>
      </c>
      <c r="O2349">
        <v>4</v>
      </c>
      <c r="P2349">
        <v>49</v>
      </c>
      <c r="Q2349">
        <v>2.88</v>
      </c>
      <c r="R2349" t="s">
        <v>26</v>
      </c>
      <c r="S2349" t="b">
        <v>0</v>
      </c>
      <c r="T2349" t="b">
        <v>0</v>
      </c>
    </row>
    <row r="2350" spans="1:20" x14ac:dyDescent="0.3">
      <c r="A2350" t="s">
        <v>3355</v>
      </c>
      <c r="B2350" s="1">
        <v>41722</v>
      </c>
      <c r="C2350" s="1">
        <v>41724</v>
      </c>
      <c r="D2350" t="s">
        <v>3096</v>
      </c>
      <c r="E2350" t="s">
        <v>39</v>
      </c>
      <c r="F2350" t="s">
        <v>45</v>
      </c>
      <c r="G2350" t="s">
        <v>3296</v>
      </c>
      <c r="H2350">
        <v>32.479999999999997</v>
      </c>
      <c r="I2350">
        <v>2</v>
      </c>
      <c r="J2350">
        <v>4.8719999999999999</v>
      </c>
      <c r="K2350">
        <v>2014</v>
      </c>
      <c r="L2350">
        <v>3</v>
      </c>
      <c r="M2350" t="s">
        <v>135</v>
      </c>
      <c r="N2350">
        <v>24</v>
      </c>
      <c r="O2350">
        <v>2</v>
      </c>
      <c r="P2350">
        <v>15</v>
      </c>
      <c r="Q2350">
        <v>16.239999999999998</v>
      </c>
      <c r="R2350" t="s">
        <v>26</v>
      </c>
      <c r="S2350" t="b">
        <v>0</v>
      </c>
      <c r="T2350" t="b">
        <v>0</v>
      </c>
    </row>
    <row r="2351" spans="1:20" x14ac:dyDescent="0.3">
      <c r="A2351" t="s">
        <v>3355</v>
      </c>
      <c r="B2351" s="1">
        <v>41722</v>
      </c>
      <c r="C2351" s="1">
        <v>41724</v>
      </c>
      <c r="D2351" t="s">
        <v>3096</v>
      </c>
      <c r="E2351" t="s">
        <v>39</v>
      </c>
      <c r="F2351" t="s">
        <v>72</v>
      </c>
      <c r="G2351" t="s">
        <v>764</v>
      </c>
      <c r="H2351">
        <v>20.04</v>
      </c>
      <c r="I2351">
        <v>3</v>
      </c>
      <c r="J2351">
        <v>9.6191999999999993</v>
      </c>
      <c r="K2351">
        <v>2014</v>
      </c>
      <c r="L2351">
        <v>3</v>
      </c>
      <c r="M2351" t="s">
        <v>135</v>
      </c>
      <c r="N2351">
        <v>24</v>
      </c>
      <c r="O2351">
        <v>2</v>
      </c>
      <c r="P2351">
        <v>48</v>
      </c>
      <c r="Q2351">
        <v>6.68</v>
      </c>
      <c r="R2351" t="s">
        <v>26</v>
      </c>
      <c r="S2351" t="b">
        <v>0</v>
      </c>
      <c r="T2351" t="b">
        <v>0</v>
      </c>
    </row>
    <row r="2352" spans="1:20" x14ac:dyDescent="0.3">
      <c r="A2352" t="s">
        <v>3356</v>
      </c>
      <c r="B2352" s="1">
        <v>41215</v>
      </c>
      <c r="C2352" s="1">
        <v>41219</v>
      </c>
      <c r="D2352" t="s">
        <v>501</v>
      </c>
      <c r="E2352" t="s">
        <v>194</v>
      </c>
      <c r="F2352" t="s">
        <v>29</v>
      </c>
      <c r="G2352" t="s">
        <v>3357</v>
      </c>
      <c r="H2352">
        <v>96.96</v>
      </c>
      <c r="I2352">
        <v>6</v>
      </c>
      <c r="J2352">
        <v>33.936</v>
      </c>
      <c r="K2352">
        <v>2012</v>
      </c>
      <c r="L2352">
        <v>11</v>
      </c>
      <c r="M2352" t="s">
        <v>70</v>
      </c>
      <c r="N2352">
        <v>2</v>
      </c>
      <c r="O2352">
        <v>4</v>
      </c>
      <c r="P2352">
        <v>35</v>
      </c>
      <c r="Q2352">
        <v>16.16</v>
      </c>
      <c r="R2352" t="s">
        <v>26</v>
      </c>
      <c r="S2352" t="b">
        <v>0</v>
      </c>
      <c r="T2352" t="b">
        <v>0</v>
      </c>
    </row>
    <row r="2353" spans="1:20" x14ac:dyDescent="0.3">
      <c r="A2353" t="s">
        <v>3356</v>
      </c>
      <c r="B2353" s="1">
        <v>41215</v>
      </c>
      <c r="C2353" s="1">
        <v>41219</v>
      </c>
      <c r="D2353" t="s">
        <v>501</v>
      </c>
      <c r="E2353" t="s">
        <v>194</v>
      </c>
      <c r="F2353" t="s">
        <v>33</v>
      </c>
      <c r="G2353" t="s">
        <v>2067</v>
      </c>
      <c r="H2353">
        <v>117.488</v>
      </c>
      <c r="I2353">
        <v>7</v>
      </c>
      <c r="J2353">
        <v>41.120800000000003</v>
      </c>
      <c r="K2353">
        <v>2012</v>
      </c>
      <c r="L2353">
        <v>11</v>
      </c>
      <c r="M2353" t="s">
        <v>70</v>
      </c>
      <c r="N2353">
        <v>2</v>
      </c>
      <c r="O2353">
        <v>4</v>
      </c>
      <c r="P2353">
        <v>35</v>
      </c>
      <c r="Q2353">
        <v>16.783999999999999</v>
      </c>
      <c r="R2353" t="s">
        <v>26</v>
      </c>
      <c r="S2353" t="b">
        <v>0</v>
      </c>
      <c r="T2353" t="b">
        <v>0</v>
      </c>
    </row>
    <row r="2354" spans="1:20" x14ac:dyDescent="0.3">
      <c r="A2354" t="s">
        <v>3356</v>
      </c>
      <c r="B2354" s="1">
        <v>41215</v>
      </c>
      <c r="C2354" s="1">
        <v>41219</v>
      </c>
      <c r="D2354" t="s">
        <v>501</v>
      </c>
      <c r="E2354" t="s">
        <v>194</v>
      </c>
      <c r="F2354" t="s">
        <v>33</v>
      </c>
      <c r="G2354" t="s">
        <v>465</v>
      </c>
      <c r="H2354">
        <v>11.952</v>
      </c>
      <c r="I2354">
        <v>3</v>
      </c>
      <c r="J2354">
        <v>4.1832000000000003</v>
      </c>
      <c r="K2354">
        <v>2012</v>
      </c>
      <c r="L2354">
        <v>11</v>
      </c>
      <c r="M2354" t="s">
        <v>70</v>
      </c>
      <c r="N2354">
        <v>2</v>
      </c>
      <c r="O2354">
        <v>4</v>
      </c>
      <c r="P2354">
        <v>35</v>
      </c>
      <c r="Q2354">
        <v>3.984</v>
      </c>
      <c r="R2354" t="s">
        <v>26</v>
      </c>
      <c r="S2354" t="b">
        <v>0</v>
      </c>
      <c r="T2354" t="b">
        <v>0</v>
      </c>
    </row>
    <row r="2355" spans="1:20" x14ac:dyDescent="0.3">
      <c r="A2355" t="s">
        <v>3358</v>
      </c>
      <c r="B2355" s="1">
        <v>41950</v>
      </c>
      <c r="C2355" s="1">
        <v>41957</v>
      </c>
      <c r="D2355" t="s">
        <v>2345</v>
      </c>
      <c r="E2355" t="s">
        <v>39</v>
      </c>
      <c r="F2355" t="s">
        <v>110</v>
      </c>
      <c r="G2355" t="s">
        <v>3359</v>
      </c>
      <c r="H2355">
        <v>449.56799999999998</v>
      </c>
      <c r="I2355">
        <v>2</v>
      </c>
      <c r="J2355">
        <v>-73.0548</v>
      </c>
      <c r="K2355">
        <v>2014</v>
      </c>
      <c r="L2355">
        <v>11</v>
      </c>
      <c r="M2355" t="s">
        <v>70</v>
      </c>
      <c r="N2355">
        <v>7</v>
      </c>
      <c r="O2355">
        <v>7</v>
      </c>
      <c r="P2355">
        <v>-16.25</v>
      </c>
      <c r="Q2355">
        <v>224.78399999999999</v>
      </c>
      <c r="R2355" t="s">
        <v>26</v>
      </c>
      <c r="S2355" t="b">
        <v>1</v>
      </c>
      <c r="T2355" t="b">
        <v>1</v>
      </c>
    </row>
    <row r="2356" spans="1:20" x14ac:dyDescent="0.3">
      <c r="A2356" t="s">
        <v>3358</v>
      </c>
      <c r="B2356" s="1">
        <v>41950</v>
      </c>
      <c r="C2356" s="1">
        <v>41957</v>
      </c>
      <c r="D2356" t="s">
        <v>2345</v>
      </c>
      <c r="E2356" t="s">
        <v>39</v>
      </c>
      <c r="F2356" t="s">
        <v>61</v>
      </c>
      <c r="G2356" t="s">
        <v>1032</v>
      </c>
      <c r="H2356">
        <v>108.96</v>
      </c>
      <c r="I2356">
        <v>3</v>
      </c>
      <c r="J2356">
        <v>32.688000000000002</v>
      </c>
      <c r="K2356">
        <v>2014</v>
      </c>
      <c r="L2356">
        <v>11</v>
      </c>
      <c r="M2356" t="s">
        <v>70</v>
      </c>
      <c r="N2356">
        <v>7</v>
      </c>
      <c r="O2356">
        <v>7</v>
      </c>
      <c r="P2356">
        <v>30</v>
      </c>
      <c r="Q2356">
        <v>36.32</v>
      </c>
      <c r="R2356" t="s">
        <v>26</v>
      </c>
      <c r="S2356" t="b">
        <v>0</v>
      </c>
      <c r="T2356" t="b">
        <v>0</v>
      </c>
    </row>
    <row r="2357" spans="1:20" x14ac:dyDescent="0.3">
      <c r="A2357" t="s">
        <v>3360</v>
      </c>
      <c r="B2357" s="1">
        <v>40733</v>
      </c>
      <c r="C2357" s="1">
        <v>40737</v>
      </c>
      <c r="D2357" t="s">
        <v>1678</v>
      </c>
      <c r="E2357" t="s">
        <v>22</v>
      </c>
      <c r="F2357" t="s">
        <v>23</v>
      </c>
      <c r="G2357" t="s">
        <v>2884</v>
      </c>
      <c r="H2357">
        <v>2.88</v>
      </c>
      <c r="I2357">
        <v>1</v>
      </c>
      <c r="J2357">
        <v>1.4112</v>
      </c>
      <c r="K2357">
        <v>2011</v>
      </c>
      <c r="L2357">
        <v>7</v>
      </c>
      <c r="M2357" t="s">
        <v>66</v>
      </c>
      <c r="N2357">
        <v>9</v>
      </c>
      <c r="O2357">
        <v>4</v>
      </c>
      <c r="P2357">
        <v>49</v>
      </c>
      <c r="Q2357">
        <v>2.88</v>
      </c>
      <c r="R2357" t="s">
        <v>26</v>
      </c>
      <c r="S2357" t="b">
        <v>0</v>
      </c>
      <c r="T2357" t="b">
        <v>0</v>
      </c>
    </row>
    <row r="2358" spans="1:20" x14ac:dyDescent="0.3">
      <c r="A2358" t="s">
        <v>3360</v>
      </c>
      <c r="B2358" s="1">
        <v>40733</v>
      </c>
      <c r="C2358" s="1">
        <v>40737</v>
      </c>
      <c r="D2358" t="s">
        <v>1678</v>
      </c>
      <c r="E2358" t="s">
        <v>22</v>
      </c>
      <c r="F2358" t="s">
        <v>33</v>
      </c>
      <c r="G2358" t="s">
        <v>478</v>
      </c>
      <c r="H2358">
        <v>41.904000000000003</v>
      </c>
      <c r="I2358">
        <v>6</v>
      </c>
      <c r="J2358">
        <v>14.1426</v>
      </c>
      <c r="K2358">
        <v>2011</v>
      </c>
      <c r="L2358">
        <v>7</v>
      </c>
      <c r="M2358" t="s">
        <v>66</v>
      </c>
      <c r="N2358">
        <v>9</v>
      </c>
      <c r="O2358">
        <v>4</v>
      </c>
      <c r="P2358">
        <v>33.75</v>
      </c>
      <c r="Q2358">
        <v>6.9840000000000009</v>
      </c>
      <c r="R2358" t="s">
        <v>26</v>
      </c>
      <c r="S2358" t="b">
        <v>0</v>
      </c>
      <c r="T2358" t="b">
        <v>0</v>
      </c>
    </row>
    <row r="2359" spans="1:20" x14ac:dyDescent="0.3">
      <c r="A2359" t="s">
        <v>3360</v>
      </c>
      <c r="B2359" s="1">
        <v>40733</v>
      </c>
      <c r="C2359" s="1">
        <v>40737</v>
      </c>
      <c r="D2359" t="s">
        <v>1678</v>
      </c>
      <c r="E2359" t="s">
        <v>22</v>
      </c>
      <c r="F2359" t="s">
        <v>45</v>
      </c>
      <c r="G2359" t="s">
        <v>1120</v>
      </c>
      <c r="H2359">
        <v>23.92</v>
      </c>
      <c r="I2359">
        <v>4</v>
      </c>
      <c r="J2359">
        <v>4.0663999999999998</v>
      </c>
      <c r="K2359">
        <v>2011</v>
      </c>
      <c r="L2359">
        <v>7</v>
      </c>
      <c r="M2359" t="s">
        <v>66</v>
      </c>
      <c r="N2359">
        <v>9</v>
      </c>
      <c r="O2359">
        <v>4</v>
      </c>
      <c r="P2359">
        <v>17</v>
      </c>
      <c r="Q2359">
        <v>5.98</v>
      </c>
      <c r="R2359" t="s">
        <v>26</v>
      </c>
      <c r="S2359" t="b">
        <v>0</v>
      </c>
      <c r="T2359" t="b">
        <v>0</v>
      </c>
    </row>
    <row r="2360" spans="1:20" x14ac:dyDescent="0.3">
      <c r="A2360" t="s">
        <v>3361</v>
      </c>
      <c r="B2360" s="1">
        <v>41996</v>
      </c>
      <c r="C2360" s="1">
        <v>41998</v>
      </c>
      <c r="D2360" t="s">
        <v>3087</v>
      </c>
      <c r="E2360" t="s">
        <v>22</v>
      </c>
      <c r="F2360" t="s">
        <v>61</v>
      </c>
      <c r="G2360" t="s">
        <v>2591</v>
      </c>
      <c r="H2360">
        <v>474.95</v>
      </c>
      <c r="I2360">
        <v>5</v>
      </c>
      <c r="J2360">
        <v>142.48500000000001</v>
      </c>
      <c r="K2360">
        <v>2014</v>
      </c>
      <c r="L2360">
        <v>12</v>
      </c>
      <c r="M2360" t="s">
        <v>41</v>
      </c>
      <c r="N2360">
        <v>23</v>
      </c>
      <c r="O2360">
        <v>2</v>
      </c>
      <c r="P2360">
        <v>30</v>
      </c>
      <c r="Q2360">
        <v>94.99</v>
      </c>
      <c r="R2360" t="s">
        <v>26</v>
      </c>
      <c r="S2360" t="b">
        <v>0</v>
      </c>
      <c r="T2360" t="b">
        <v>1</v>
      </c>
    </row>
    <row r="2361" spans="1:20" x14ac:dyDescent="0.3">
      <c r="A2361" t="s">
        <v>3362</v>
      </c>
      <c r="B2361" s="1">
        <v>41123</v>
      </c>
      <c r="C2361" s="1">
        <v>41127</v>
      </c>
      <c r="D2361" t="s">
        <v>2417</v>
      </c>
      <c r="E2361" t="s">
        <v>1088</v>
      </c>
      <c r="F2361" t="s">
        <v>174</v>
      </c>
      <c r="G2361" t="s">
        <v>1893</v>
      </c>
      <c r="H2361">
        <v>277.5</v>
      </c>
      <c r="I2361">
        <v>4</v>
      </c>
      <c r="J2361">
        <v>-188.7</v>
      </c>
      <c r="K2361">
        <v>2012</v>
      </c>
      <c r="L2361">
        <v>8</v>
      </c>
      <c r="M2361" t="s">
        <v>53</v>
      </c>
      <c r="N2361">
        <v>2</v>
      </c>
      <c r="O2361">
        <v>4</v>
      </c>
      <c r="P2361">
        <v>-68</v>
      </c>
      <c r="Q2361">
        <v>69.375</v>
      </c>
      <c r="R2361" t="s">
        <v>26</v>
      </c>
      <c r="S2361" t="b">
        <v>1</v>
      </c>
      <c r="T2361" t="b">
        <v>1</v>
      </c>
    </row>
    <row r="2362" spans="1:20" x14ac:dyDescent="0.3">
      <c r="A2362" t="s">
        <v>3363</v>
      </c>
      <c r="B2362" s="1">
        <v>41249</v>
      </c>
      <c r="C2362" s="1">
        <v>41254</v>
      </c>
      <c r="D2362" t="s">
        <v>186</v>
      </c>
      <c r="E2362" t="s">
        <v>2562</v>
      </c>
      <c r="F2362" t="s">
        <v>72</v>
      </c>
      <c r="G2362" t="s">
        <v>936</v>
      </c>
      <c r="H2362">
        <v>8.9600000000000009</v>
      </c>
      <c r="I2362">
        <v>2</v>
      </c>
      <c r="J2362">
        <v>4.3903999999999996</v>
      </c>
      <c r="K2362">
        <v>2012</v>
      </c>
      <c r="L2362">
        <v>12</v>
      </c>
      <c r="M2362" t="s">
        <v>41</v>
      </c>
      <c r="N2362">
        <v>6</v>
      </c>
      <c r="O2362">
        <v>5</v>
      </c>
      <c r="P2362">
        <v>49</v>
      </c>
      <c r="Q2362">
        <v>4.4800000000000004</v>
      </c>
      <c r="R2362" t="s">
        <v>26</v>
      </c>
      <c r="S2362" t="b">
        <v>0</v>
      </c>
      <c r="T2362" t="b">
        <v>0</v>
      </c>
    </row>
    <row r="2363" spans="1:20" x14ac:dyDescent="0.3">
      <c r="A2363" t="s">
        <v>3364</v>
      </c>
      <c r="B2363" s="1">
        <v>41438</v>
      </c>
      <c r="C2363" s="1">
        <v>41442</v>
      </c>
      <c r="D2363" t="s">
        <v>2559</v>
      </c>
      <c r="E2363" t="s">
        <v>763</v>
      </c>
      <c r="F2363" t="s">
        <v>72</v>
      </c>
      <c r="G2363" t="s">
        <v>1083</v>
      </c>
      <c r="H2363">
        <v>185.88</v>
      </c>
      <c r="I2363">
        <v>6</v>
      </c>
      <c r="J2363">
        <v>83.646000000000001</v>
      </c>
      <c r="K2363">
        <v>2013</v>
      </c>
      <c r="L2363">
        <v>6</v>
      </c>
      <c r="M2363" t="s">
        <v>25</v>
      </c>
      <c r="N2363">
        <v>13</v>
      </c>
      <c r="O2363">
        <v>4</v>
      </c>
      <c r="P2363">
        <v>45</v>
      </c>
      <c r="Q2363">
        <v>30.98</v>
      </c>
      <c r="R2363" t="s">
        <v>26</v>
      </c>
      <c r="S2363" t="b">
        <v>0</v>
      </c>
      <c r="T2363" t="b">
        <v>0</v>
      </c>
    </row>
    <row r="2364" spans="1:20" x14ac:dyDescent="0.3">
      <c r="A2364" t="s">
        <v>3364</v>
      </c>
      <c r="B2364" s="1">
        <v>41438</v>
      </c>
      <c r="C2364" s="1">
        <v>41442</v>
      </c>
      <c r="D2364" t="s">
        <v>2559</v>
      </c>
      <c r="E2364" t="s">
        <v>763</v>
      </c>
      <c r="F2364" t="s">
        <v>72</v>
      </c>
      <c r="G2364" t="s">
        <v>1532</v>
      </c>
      <c r="H2364">
        <v>12.96</v>
      </c>
      <c r="I2364">
        <v>2</v>
      </c>
      <c r="J2364">
        <v>6.2207999999999997</v>
      </c>
      <c r="K2364">
        <v>2013</v>
      </c>
      <c r="L2364">
        <v>6</v>
      </c>
      <c r="M2364" t="s">
        <v>25</v>
      </c>
      <c r="N2364">
        <v>13</v>
      </c>
      <c r="O2364">
        <v>4</v>
      </c>
      <c r="P2364">
        <v>48</v>
      </c>
      <c r="Q2364">
        <v>6.48</v>
      </c>
      <c r="R2364" t="s">
        <v>26</v>
      </c>
      <c r="S2364" t="b">
        <v>0</v>
      </c>
      <c r="T2364" t="b">
        <v>0</v>
      </c>
    </row>
    <row r="2365" spans="1:20" x14ac:dyDescent="0.3">
      <c r="A2365" t="s">
        <v>3365</v>
      </c>
      <c r="B2365" s="1">
        <v>40808</v>
      </c>
      <c r="C2365" s="1">
        <v>40814</v>
      </c>
      <c r="D2365" t="s">
        <v>1482</v>
      </c>
      <c r="E2365" t="s">
        <v>139</v>
      </c>
      <c r="F2365" t="s">
        <v>45</v>
      </c>
      <c r="G2365" t="s">
        <v>1584</v>
      </c>
      <c r="H2365">
        <v>169.45</v>
      </c>
      <c r="I2365">
        <v>5</v>
      </c>
      <c r="J2365">
        <v>42.362499999999997</v>
      </c>
      <c r="K2365">
        <v>2011</v>
      </c>
      <c r="L2365">
        <v>9</v>
      </c>
      <c r="M2365" t="s">
        <v>87</v>
      </c>
      <c r="N2365">
        <v>22</v>
      </c>
      <c r="O2365">
        <v>6</v>
      </c>
      <c r="P2365">
        <v>25</v>
      </c>
      <c r="Q2365">
        <v>33.89</v>
      </c>
      <c r="R2365" t="s">
        <v>26</v>
      </c>
      <c r="S2365" t="b">
        <v>0</v>
      </c>
      <c r="T2365" t="b">
        <v>0</v>
      </c>
    </row>
    <row r="2366" spans="1:20" x14ac:dyDescent="0.3">
      <c r="A2366" t="s">
        <v>3365</v>
      </c>
      <c r="B2366" s="1">
        <v>40808</v>
      </c>
      <c r="C2366" s="1">
        <v>40814</v>
      </c>
      <c r="D2366" t="s">
        <v>1482</v>
      </c>
      <c r="E2366" t="s">
        <v>139</v>
      </c>
      <c r="F2366" t="s">
        <v>45</v>
      </c>
      <c r="G2366" t="s">
        <v>2142</v>
      </c>
      <c r="H2366">
        <v>40.68</v>
      </c>
      <c r="I2366">
        <v>2</v>
      </c>
      <c r="J2366">
        <v>0.40679999999999999</v>
      </c>
      <c r="K2366">
        <v>2011</v>
      </c>
      <c r="L2366">
        <v>9</v>
      </c>
      <c r="M2366" t="s">
        <v>87</v>
      </c>
      <c r="N2366">
        <v>22</v>
      </c>
      <c r="O2366">
        <v>6</v>
      </c>
      <c r="P2366">
        <v>1</v>
      </c>
      <c r="Q2366">
        <v>20.34</v>
      </c>
      <c r="R2366" t="s">
        <v>26</v>
      </c>
      <c r="S2366" t="b">
        <v>0</v>
      </c>
      <c r="T2366" t="b">
        <v>0</v>
      </c>
    </row>
    <row r="2367" spans="1:20" x14ac:dyDescent="0.3">
      <c r="A2367" t="s">
        <v>3366</v>
      </c>
      <c r="B2367" s="1">
        <v>40767</v>
      </c>
      <c r="C2367" s="1">
        <v>40771</v>
      </c>
      <c r="D2367" t="s">
        <v>1306</v>
      </c>
      <c r="E2367" t="s">
        <v>51</v>
      </c>
      <c r="F2367" t="s">
        <v>29</v>
      </c>
      <c r="G2367" t="s">
        <v>1047</v>
      </c>
      <c r="H2367">
        <v>85.44</v>
      </c>
      <c r="I2367">
        <v>3</v>
      </c>
      <c r="J2367">
        <v>31.6128</v>
      </c>
      <c r="K2367">
        <v>2011</v>
      </c>
      <c r="L2367">
        <v>8</v>
      </c>
      <c r="M2367" t="s">
        <v>53</v>
      </c>
      <c r="N2367">
        <v>12</v>
      </c>
      <c r="O2367">
        <v>4</v>
      </c>
      <c r="P2367">
        <v>37</v>
      </c>
      <c r="Q2367">
        <v>28.48</v>
      </c>
      <c r="R2367" t="s">
        <v>26</v>
      </c>
      <c r="S2367" t="b">
        <v>0</v>
      </c>
      <c r="T2367" t="b">
        <v>0</v>
      </c>
    </row>
    <row r="2368" spans="1:20" x14ac:dyDescent="0.3">
      <c r="A2368" t="s">
        <v>3367</v>
      </c>
      <c r="B2368" s="1">
        <v>41864</v>
      </c>
      <c r="C2368" s="1">
        <v>41871</v>
      </c>
      <c r="D2368" t="s">
        <v>3368</v>
      </c>
      <c r="E2368" t="s">
        <v>39</v>
      </c>
      <c r="F2368" t="s">
        <v>1342</v>
      </c>
      <c r="G2368" t="s">
        <v>1343</v>
      </c>
      <c r="H2368">
        <v>299.99</v>
      </c>
      <c r="I2368">
        <v>1</v>
      </c>
      <c r="J2368">
        <v>89.997</v>
      </c>
      <c r="K2368">
        <v>2014</v>
      </c>
      <c r="L2368">
        <v>8</v>
      </c>
      <c r="M2368" t="s">
        <v>53</v>
      </c>
      <c r="N2368">
        <v>13</v>
      </c>
      <c r="O2368">
        <v>7</v>
      </c>
      <c r="P2368">
        <v>30</v>
      </c>
      <c r="Q2368">
        <v>299.99</v>
      </c>
      <c r="R2368" t="s">
        <v>26</v>
      </c>
      <c r="S2368" t="b">
        <v>0</v>
      </c>
      <c r="T2368" t="b">
        <v>1</v>
      </c>
    </row>
    <row r="2369" spans="1:20" x14ac:dyDescent="0.3">
      <c r="A2369" t="s">
        <v>3367</v>
      </c>
      <c r="B2369" s="1">
        <v>41864</v>
      </c>
      <c r="C2369" s="1">
        <v>41871</v>
      </c>
      <c r="D2369" t="s">
        <v>3368</v>
      </c>
      <c r="E2369" t="s">
        <v>39</v>
      </c>
      <c r="F2369" t="s">
        <v>72</v>
      </c>
      <c r="G2369" t="s">
        <v>3369</v>
      </c>
      <c r="H2369">
        <v>192.16</v>
      </c>
      <c r="I2369">
        <v>4</v>
      </c>
      <c r="J2369">
        <v>92.236800000000002</v>
      </c>
      <c r="K2369">
        <v>2014</v>
      </c>
      <c r="L2369">
        <v>8</v>
      </c>
      <c r="M2369" t="s">
        <v>53</v>
      </c>
      <c r="N2369">
        <v>13</v>
      </c>
      <c r="O2369">
        <v>7</v>
      </c>
      <c r="P2369">
        <v>48</v>
      </c>
      <c r="Q2369">
        <v>48.04</v>
      </c>
      <c r="R2369" t="s">
        <v>26</v>
      </c>
      <c r="S2369" t="b">
        <v>0</v>
      </c>
      <c r="T2369" t="b">
        <v>0</v>
      </c>
    </row>
    <row r="2370" spans="1:20" x14ac:dyDescent="0.3">
      <c r="A2370" t="s">
        <v>3367</v>
      </c>
      <c r="B2370" s="1">
        <v>41864</v>
      </c>
      <c r="C2370" s="1">
        <v>41871</v>
      </c>
      <c r="D2370" t="s">
        <v>3368</v>
      </c>
      <c r="E2370" t="s">
        <v>39</v>
      </c>
      <c r="F2370" t="s">
        <v>54</v>
      </c>
      <c r="G2370" t="s">
        <v>3370</v>
      </c>
      <c r="H2370">
        <v>242.624</v>
      </c>
      <c r="I2370">
        <v>8</v>
      </c>
      <c r="J2370">
        <v>27.295200000000001</v>
      </c>
      <c r="K2370">
        <v>2014</v>
      </c>
      <c r="L2370">
        <v>8</v>
      </c>
      <c r="M2370" t="s">
        <v>53</v>
      </c>
      <c r="N2370">
        <v>13</v>
      </c>
      <c r="O2370">
        <v>7</v>
      </c>
      <c r="P2370">
        <v>11.25</v>
      </c>
      <c r="Q2370">
        <v>30.327999999999999</v>
      </c>
      <c r="R2370" t="s">
        <v>26</v>
      </c>
      <c r="S2370" t="b">
        <v>0</v>
      </c>
      <c r="T2370" t="b">
        <v>1</v>
      </c>
    </row>
    <row r="2371" spans="1:20" x14ac:dyDescent="0.3">
      <c r="A2371" t="s">
        <v>3367</v>
      </c>
      <c r="B2371" s="1">
        <v>41864</v>
      </c>
      <c r="C2371" s="1">
        <v>41871</v>
      </c>
      <c r="D2371" t="s">
        <v>3368</v>
      </c>
      <c r="E2371" t="s">
        <v>39</v>
      </c>
      <c r="F2371" t="s">
        <v>45</v>
      </c>
      <c r="G2371" t="s">
        <v>2487</v>
      </c>
      <c r="H2371">
        <v>46.74</v>
      </c>
      <c r="I2371">
        <v>3</v>
      </c>
      <c r="J2371">
        <v>11.685</v>
      </c>
      <c r="K2371">
        <v>2014</v>
      </c>
      <c r="L2371">
        <v>8</v>
      </c>
      <c r="M2371" t="s">
        <v>53</v>
      </c>
      <c r="N2371">
        <v>13</v>
      </c>
      <c r="O2371">
        <v>7</v>
      </c>
      <c r="P2371">
        <v>25</v>
      </c>
      <c r="Q2371">
        <v>15.58</v>
      </c>
      <c r="R2371" t="s">
        <v>26</v>
      </c>
      <c r="S2371" t="b">
        <v>0</v>
      </c>
      <c r="T2371" t="b">
        <v>0</v>
      </c>
    </row>
    <row r="2372" spans="1:20" x14ac:dyDescent="0.3">
      <c r="A2372" t="s">
        <v>3367</v>
      </c>
      <c r="B2372" s="1">
        <v>41864</v>
      </c>
      <c r="C2372" s="1">
        <v>41871</v>
      </c>
      <c r="D2372" t="s">
        <v>3368</v>
      </c>
      <c r="E2372" t="s">
        <v>39</v>
      </c>
      <c r="F2372" t="s">
        <v>61</v>
      </c>
      <c r="G2372" t="s">
        <v>3371</v>
      </c>
      <c r="H2372">
        <v>174.95</v>
      </c>
      <c r="I2372">
        <v>5</v>
      </c>
      <c r="J2372">
        <v>12.246499999999999</v>
      </c>
      <c r="K2372">
        <v>2014</v>
      </c>
      <c r="L2372">
        <v>8</v>
      </c>
      <c r="M2372" t="s">
        <v>53</v>
      </c>
      <c r="N2372">
        <v>13</v>
      </c>
      <c r="O2372">
        <v>7</v>
      </c>
      <c r="P2372">
        <v>7</v>
      </c>
      <c r="Q2372">
        <v>34.989999999999988</v>
      </c>
      <c r="R2372" t="s">
        <v>26</v>
      </c>
      <c r="S2372" t="b">
        <v>0</v>
      </c>
      <c r="T2372" t="b">
        <v>0</v>
      </c>
    </row>
    <row r="2373" spans="1:20" x14ac:dyDescent="0.3">
      <c r="A2373" t="s">
        <v>3367</v>
      </c>
      <c r="B2373" s="1">
        <v>41864</v>
      </c>
      <c r="C2373" s="1">
        <v>41871</v>
      </c>
      <c r="D2373" t="s">
        <v>3368</v>
      </c>
      <c r="E2373" t="s">
        <v>39</v>
      </c>
      <c r="F2373" t="s">
        <v>33</v>
      </c>
      <c r="G2373" t="s">
        <v>3372</v>
      </c>
      <c r="H2373">
        <v>100.70399999999999</v>
      </c>
      <c r="I2373">
        <v>6</v>
      </c>
      <c r="J2373">
        <v>37.764000000000003</v>
      </c>
      <c r="K2373">
        <v>2014</v>
      </c>
      <c r="L2373">
        <v>8</v>
      </c>
      <c r="M2373" t="s">
        <v>53</v>
      </c>
      <c r="N2373">
        <v>13</v>
      </c>
      <c r="O2373">
        <v>7</v>
      </c>
      <c r="P2373">
        <v>37.5</v>
      </c>
      <c r="Q2373">
        <v>16.783999999999999</v>
      </c>
      <c r="R2373" t="s">
        <v>26</v>
      </c>
      <c r="S2373" t="b">
        <v>0</v>
      </c>
      <c r="T2373" t="b">
        <v>0</v>
      </c>
    </row>
    <row r="2374" spans="1:20" x14ac:dyDescent="0.3">
      <c r="A2374" t="s">
        <v>3373</v>
      </c>
      <c r="B2374" s="1">
        <v>41568</v>
      </c>
      <c r="C2374" s="1">
        <v>41573</v>
      </c>
      <c r="D2374" t="s">
        <v>3374</v>
      </c>
      <c r="E2374" t="s">
        <v>2980</v>
      </c>
      <c r="F2374" t="s">
        <v>110</v>
      </c>
      <c r="G2374" t="s">
        <v>3375</v>
      </c>
      <c r="H2374">
        <v>387.13600000000002</v>
      </c>
      <c r="I2374">
        <v>4</v>
      </c>
      <c r="J2374">
        <v>4.8391999999999999</v>
      </c>
      <c r="K2374">
        <v>2013</v>
      </c>
      <c r="L2374">
        <v>10</v>
      </c>
      <c r="M2374" t="s">
        <v>82</v>
      </c>
      <c r="N2374">
        <v>21</v>
      </c>
      <c r="O2374">
        <v>5</v>
      </c>
      <c r="P2374">
        <v>1.25</v>
      </c>
      <c r="Q2374">
        <v>96.784000000000006</v>
      </c>
      <c r="R2374" t="s">
        <v>48</v>
      </c>
      <c r="S2374" t="b">
        <v>0</v>
      </c>
      <c r="T2374" t="b">
        <v>1</v>
      </c>
    </row>
    <row r="2375" spans="1:20" x14ac:dyDescent="0.3">
      <c r="A2375" t="s">
        <v>3376</v>
      </c>
      <c r="B2375" s="1">
        <v>41947</v>
      </c>
      <c r="C2375" s="1">
        <v>41951</v>
      </c>
      <c r="D2375" t="s">
        <v>1969</v>
      </c>
      <c r="E2375" t="s">
        <v>39</v>
      </c>
      <c r="F2375" t="s">
        <v>33</v>
      </c>
      <c r="G2375" t="s">
        <v>3377</v>
      </c>
      <c r="H2375">
        <v>18.367999999999999</v>
      </c>
      <c r="I2375">
        <v>4</v>
      </c>
      <c r="J2375">
        <v>5.9695999999999998</v>
      </c>
      <c r="K2375">
        <v>2014</v>
      </c>
      <c r="L2375">
        <v>11</v>
      </c>
      <c r="M2375" t="s">
        <v>70</v>
      </c>
      <c r="N2375">
        <v>4</v>
      </c>
      <c r="O2375">
        <v>4</v>
      </c>
      <c r="P2375">
        <v>32.5</v>
      </c>
      <c r="Q2375">
        <v>4.5919999999999996</v>
      </c>
      <c r="R2375" t="s">
        <v>26</v>
      </c>
      <c r="S2375" t="b">
        <v>0</v>
      </c>
      <c r="T2375" t="b">
        <v>0</v>
      </c>
    </row>
    <row r="2376" spans="1:20" x14ac:dyDescent="0.3">
      <c r="A2376" t="s">
        <v>3378</v>
      </c>
      <c r="B2376" s="1">
        <v>40613</v>
      </c>
      <c r="C2376" s="1">
        <v>40617</v>
      </c>
      <c r="D2376" t="s">
        <v>2233</v>
      </c>
      <c r="E2376" t="s">
        <v>115</v>
      </c>
      <c r="F2376" t="s">
        <v>31</v>
      </c>
      <c r="G2376" t="s">
        <v>1912</v>
      </c>
      <c r="H2376">
        <v>7.98</v>
      </c>
      <c r="I2376">
        <v>3</v>
      </c>
      <c r="J2376">
        <v>2.0748000000000002</v>
      </c>
      <c r="K2376">
        <v>2011</v>
      </c>
      <c r="L2376">
        <v>3</v>
      </c>
      <c r="M2376" t="s">
        <v>135</v>
      </c>
      <c r="N2376">
        <v>11</v>
      </c>
      <c r="O2376">
        <v>4</v>
      </c>
      <c r="P2376">
        <v>26</v>
      </c>
      <c r="Q2376">
        <v>2.66</v>
      </c>
      <c r="R2376" t="s">
        <v>26</v>
      </c>
      <c r="S2376" t="b">
        <v>0</v>
      </c>
      <c r="T2376" t="b">
        <v>0</v>
      </c>
    </row>
    <row r="2377" spans="1:20" x14ac:dyDescent="0.3">
      <c r="A2377" t="s">
        <v>3379</v>
      </c>
      <c r="B2377" s="1">
        <v>41847</v>
      </c>
      <c r="C2377" s="1">
        <v>41853</v>
      </c>
      <c r="D2377" t="s">
        <v>3110</v>
      </c>
      <c r="E2377" t="s">
        <v>22</v>
      </c>
      <c r="F2377" t="s">
        <v>110</v>
      </c>
      <c r="G2377" t="s">
        <v>3380</v>
      </c>
      <c r="H2377">
        <v>362.35199999999998</v>
      </c>
      <c r="I2377">
        <v>3</v>
      </c>
      <c r="J2377">
        <v>45.293999999999997</v>
      </c>
      <c r="K2377">
        <v>2014</v>
      </c>
      <c r="L2377">
        <v>7</v>
      </c>
      <c r="M2377" t="s">
        <v>66</v>
      </c>
      <c r="N2377">
        <v>27</v>
      </c>
      <c r="O2377">
        <v>6</v>
      </c>
      <c r="P2377">
        <v>12.5</v>
      </c>
      <c r="Q2377">
        <v>120.78400000000001</v>
      </c>
      <c r="R2377" t="s">
        <v>26</v>
      </c>
      <c r="S2377" t="b">
        <v>0</v>
      </c>
      <c r="T2377" t="b">
        <v>1</v>
      </c>
    </row>
    <row r="2378" spans="1:20" x14ac:dyDescent="0.3">
      <c r="A2378" t="s">
        <v>3381</v>
      </c>
      <c r="B2378" s="1">
        <v>40847</v>
      </c>
      <c r="C2378" s="1">
        <v>40849</v>
      </c>
      <c r="D2378" t="s">
        <v>1454</v>
      </c>
      <c r="E2378" t="s">
        <v>51</v>
      </c>
      <c r="F2378" t="s">
        <v>54</v>
      </c>
      <c r="G2378" t="s">
        <v>784</v>
      </c>
      <c r="H2378">
        <v>73.584000000000003</v>
      </c>
      <c r="I2378">
        <v>2</v>
      </c>
      <c r="J2378">
        <v>8.2782</v>
      </c>
      <c r="K2378">
        <v>2011</v>
      </c>
      <c r="L2378">
        <v>10</v>
      </c>
      <c r="M2378" t="s">
        <v>82</v>
      </c>
      <c r="N2378">
        <v>31</v>
      </c>
      <c r="O2378">
        <v>2</v>
      </c>
      <c r="P2378">
        <v>11.25</v>
      </c>
      <c r="Q2378">
        <v>36.792000000000002</v>
      </c>
      <c r="R2378" t="s">
        <v>26</v>
      </c>
      <c r="S2378" t="b">
        <v>0</v>
      </c>
      <c r="T2378" t="b">
        <v>0</v>
      </c>
    </row>
    <row r="2379" spans="1:20" x14ac:dyDescent="0.3">
      <c r="A2379" t="s">
        <v>3382</v>
      </c>
      <c r="B2379" s="1">
        <v>41947</v>
      </c>
      <c r="C2379" s="1">
        <v>41953</v>
      </c>
      <c r="D2379" t="s">
        <v>2024</v>
      </c>
      <c r="E2379" t="s">
        <v>1515</v>
      </c>
      <c r="F2379" t="s">
        <v>174</v>
      </c>
      <c r="G2379" t="s">
        <v>2565</v>
      </c>
      <c r="H2379">
        <v>486.36799999999999</v>
      </c>
      <c r="I2379">
        <v>4</v>
      </c>
      <c r="J2379">
        <v>36.477600000000002</v>
      </c>
      <c r="K2379">
        <v>2014</v>
      </c>
      <c r="L2379">
        <v>11</v>
      </c>
      <c r="M2379" t="s">
        <v>70</v>
      </c>
      <c r="N2379">
        <v>4</v>
      </c>
      <c r="O2379">
        <v>6</v>
      </c>
      <c r="P2379">
        <v>7.5</v>
      </c>
      <c r="Q2379">
        <v>121.592</v>
      </c>
      <c r="R2379" t="s">
        <v>26</v>
      </c>
      <c r="S2379" t="b">
        <v>0</v>
      </c>
      <c r="T2379" t="b">
        <v>1</v>
      </c>
    </row>
    <row r="2380" spans="1:20" x14ac:dyDescent="0.3">
      <c r="A2380" t="s">
        <v>3383</v>
      </c>
      <c r="B2380" s="1">
        <v>41481</v>
      </c>
      <c r="C2380" s="1">
        <v>41481</v>
      </c>
      <c r="D2380" t="s">
        <v>1309</v>
      </c>
      <c r="E2380" t="s">
        <v>51</v>
      </c>
      <c r="F2380" t="s">
        <v>31</v>
      </c>
      <c r="G2380" t="s">
        <v>1165</v>
      </c>
      <c r="H2380">
        <v>37.17</v>
      </c>
      <c r="I2380">
        <v>9</v>
      </c>
      <c r="J2380">
        <v>11.151</v>
      </c>
      <c r="K2380">
        <v>2013</v>
      </c>
      <c r="L2380">
        <v>7</v>
      </c>
      <c r="M2380" t="s">
        <v>66</v>
      </c>
      <c r="N2380">
        <v>26</v>
      </c>
      <c r="O2380">
        <v>0</v>
      </c>
      <c r="P2380">
        <v>30</v>
      </c>
      <c r="Q2380">
        <v>4.13</v>
      </c>
      <c r="R2380" t="s">
        <v>26</v>
      </c>
      <c r="S2380" t="b">
        <v>0</v>
      </c>
      <c r="T2380" t="b">
        <v>0</v>
      </c>
    </row>
    <row r="2381" spans="1:20" x14ac:dyDescent="0.3">
      <c r="A2381" t="s">
        <v>3384</v>
      </c>
      <c r="B2381" s="1">
        <v>41743</v>
      </c>
      <c r="C2381" s="1">
        <v>41747</v>
      </c>
      <c r="D2381" t="s">
        <v>2793</v>
      </c>
      <c r="E2381" t="s">
        <v>235</v>
      </c>
      <c r="F2381" t="s">
        <v>110</v>
      </c>
      <c r="G2381" t="s">
        <v>2990</v>
      </c>
      <c r="H2381">
        <v>436.70400000000001</v>
      </c>
      <c r="I2381">
        <v>6</v>
      </c>
      <c r="J2381">
        <v>-38.211599999999997</v>
      </c>
      <c r="K2381">
        <v>2014</v>
      </c>
      <c r="L2381">
        <v>4</v>
      </c>
      <c r="M2381" t="s">
        <v>236</v>
      </c>
      <c r="N2381">
        <v>14</v>
      </c>
      <c r="O2381">
        <v>4</v>
      </c>
      <c r="P2381">
        <v>-8.75</v>
      </c>
      <c r="Q2381">
        <v>72.784000000000006</v>
      </c>
      <c r="R2381" t="s">
        <v>26</v>
      </c>
      <c r="S2381" t="b">
        <v>1</v>
      </c>
      <c r="T2381" t="b">
        <v>1</v>
      </c>
    </row>
    <row r="2382" spans="1:20" x14ac:dyDescent="0.3">
      <c r="A2382" t="s">
        <v>3385</v>
      </c>
      <c r="B2382" s="1">
        <v>41802</v>
      </c>
      <c r="C2382" s="1">
        <v>41805</v>
      </c>
      <c r="D2382" t="s">
        <v>50</v>
      </c>
      <c r="E2382" t="s">
        <v>22</v>
      </c>
      <c r="F2382" t="s">
        <v>35</v>
      </c>
      <c r="G2382" t="s">
        <v>719</v>
      </c>
      <c r="H2382">
        <v>61.44</v>
      </c>
      <c r="I2382">
        <v>3</v>
      </c>
      <c r="J2382">
        <v>16.588799999999999</v>
      </c>
      <c r="K2382">
        <v>2014</v>
      </c>
      <c r="L2382">
        <v>6</v>
      </c>
      <c r="M2382" t="s">
        <v>25</v>
      </c>
      <c r="N2382">
        <v>12</v>
      </c>
      <c r="O2382">
        <v>3</v>
      </c>
      <c r="P2382">
        <v>27</v>
      </c>
      <c r="Q2382">
        <v>20.48</v>
      </c>
      <c r="R2382" t="s">
        <v>26</v>
      </c>
      <c r="S2382" t="b">
        <v>0</v>
      </c>
      <c r="T2382" t="b">
        <v>0</v>
      </c>
    </row>
    <row r="2383" spans="1:20" x14ac:dyDescent="0.3">
      <c r="A2383" t="s">
        <v>3386</v>
      </c>
      <c r="B2383" s="1">
        <v>40644</v>
      </c>
      <c r="C2383" s="1">
        <v>40651</v>
      </c>
      <c r="D2383" t="s">
        <v>976</v>
      </c>
      <c r="E2383" t="s">
        <v>354</v>
      </c>
      <c r="F2383" t="s">
        <v>45</v>
      </c>
      <c r="G2383" t="s">
        <v>1435</v>
      </c>
      <c r="H2383">
        <v>87.08</v>
      </c>
      <c r="I2383">
        <v>7</v>
      </c>
      <c r="J2383">
        <v>24.382400000000001</v>
      </c>
      <c r="K2383">
        <v>2011</v>
      </c>
      <c r="L2383">
        <v>4</v>
      </c>
      <c r="M2383" t="s">
        <v>236</v>
      </c>
      <c r="N2383">
        <v>11</v>
      </c>
      <c r="O2383">
        <v>7</v>
      </c>
      <c r="P2383">
        <v>28</v>
      </c>
      <c r="Q2383">
        <v>12.44</v>
      </c>
      <c r="R2383" t="s">
        <v>26</v>
      </c>
      <c r="S2383" t="b">
        <v>0</v>
      </c>
      <c r="T2383" t="b">
        <v>0</v>
      </c>
    </row>
    <row r="2384" spans="1:20" x14ac:dyDescent="0.3">
      <c r="A2384" t="s">
        <v>3386</v>
      </c>
      <c r="B2384" s="1">
        <v>40644</v>
      </c>
      <c r="C2384" s="1">
        <v>40651</v>
      </c>
      <c r="D2384" t="s">
        <v>976</v>
      </c>
      <c r="E2384" t="s">
        <v>354</v>
      </c>
      <c r="F2384" t="s">
        <v>54</v>
      </c>
      <c r="G2384" t="s">
        <v>407</v>
      </c>
      <c r="H2384">
        <v>105.584</v>
      </c>
      <c r="I2384">
        <v>2</v>
      </c>
      <c r="J2384">
        <v>9.2385999999999999</v>
      </c>
      <c r="K2384">
        <v>2011</v>
      </c>
      <c r="L2384">
        <v>4</v>
      </c>
      <c r="M2384" t="s">
        <v>236</v>
      </c>
      <c r="N2384">
        <v>11</v>
      </c>
      <c r="O2384">
        <v>7</v>
      </c>
      <c r="P2384">
        <v>8.75</v>
      </c>
      <c r="Q2384">
        <v>52.792000000000002</v>
      </c>
      <c r="R2384" t="s">
        <v>26</v>
      </c>
      <c r="S2384" t="b">
        <v>0</v>
      </c>
      <c r="T2384" t="b">
        <v>0</v>
      </c>
    </row>
    <row r="2385" spans="1:20" x14ac:dyDescent="0.3">
      <c r="A2385" t="s">
        <v>3386</v>
      </c>
      <c r="B2385" s="1">
        <v>40644</v>
      </c>
      <c r="C2385" s="1">
        <v>40651</v>
      </c>
      <c r="D2385" t="s">
        <v>976</v>
      </c>
      <c r="E2385" t="s">
        <v>354</v>
      </c>
      <c r="F2385" t="s">
        <v>61</v>
      </c>
      <c r="G2385" t="s">
        <v>1733</v>
      </c>
      <c r="H2385">
        <v>217.44</v>
      </c>
      <c r="I2385">
        <v>6</v>
      </c>
      <c r="J2385">
        <v>91.324799999999996</v>
      </c>
      <c r="K2385">
        <v>2011</v>
      </c>
      <c r="L2385">
        <v>4</v>
      </c>
      <c r="M2385" t="s">
        <v>236</v>
      </c>
      <c r="N2385">
        <v>11</v>
      </c>
      <c r="O2385">
        <v>7</v>
      </c>
      <c r="P2385">
        <v>42</v>
      </c>
      <c r="Q2385">
        <v>36.24</v>
      </c>
      <c r="R2385" t="s">
        <v>26</v>
      </c>
      <c r="S2385" t="b">
        <v>0</v>
      </c>
      <c r="T2385" t="b">
        <v>1</v>
      </c>
    </row>
    <row r="2386" spans="1:20" x14ac:dyDescent="0.3">
      <c r="A2386" t="s">
        <v>3387</v>
      </c>
      <c r="B2386" s="1">
        <v>40793</v>
      </c>
      <c r="C2386" s="1">
        <v>40798</v>
      </c>
      <c r="D2386" t="s">
        <v>2720</v>
      </c>
      <c r="E2386" t="s">
        <v>187</v>
      </c>
      <c r="F2386" t="s">
        <v>122</v>
      </c>
      <c r="G2386" t="s">
        <v>3388</v>
      </c>
      <c r="H2386">
        <v>27.36</v>
      </c>
      <c r="I2386">
        <v>4</v>
      </c>
      <c r="J2386">
        <v>7.3872</v>
      </c>
      <c r="K2386">
        <v>2011</v>
      </c>
      <c r="L2386">
        <v>9</v>
      </c>
      <c r="M2386" t="s">
        <v>87</v>
      </c>
      <c r="N2386">
        <v>7</v>
      </c>
      <c r="O2386">
        <v>5</v>
      </c>
      <c r="P2386">
        <v>27</v>
      </c>
      <c r="Q2386">
        <v>6.84</v>
      </c>
      <c r="R2386" t="s">
        <v>26</v>
      </c>
      <c r="S2386" t="b">
        <v>0</v>
      </c>
      <c r="T2386" t="b">
        <v>0</v>
      </c>
    </row>
    <row r="2387" spans="1:20" x14ac:dyDescent="0.3">
      <c r="A2387" t="s">
        <v>3387</v>
      </c>
      <c r="B2387" s="1">
        <v>40793</v>
      </c>
      <c r="C2387" s="1">
        <v>40798</v>
      </c>
      <c r="D2387" t="s">
        <v>2720</v>
      </c>
      <c r="E2387" t="s">
        <v>187</v>
      </c>
      <c r="F2387" t="s">
        <v>72</v>
      </c>
      <c r="G2387" t="s">
        <v>2552</v>
      </c>
      <c r="H2387">
        <v>20.56</v>
      </c>
      <c r="I2387">
        <v>2</v>
      </c>
      <c r="J2387">
        <v>9.6631999999999998</v>
      </c>
      <c r="K2387">
        <v>2011</v>
      </c>
      <c r="L2387">
        <v>9</v>
      </c>
      <c r="M2387" t="s">
        <v>87</v>
      </c>
      <c r="N2387">
        <v>7</v>
      </c>
      <c r="O2387">
        <v>5</v>
      </c>
      <c r="P2387">
        <v>47</v>
      </c>
      <c r="Q2387">
        <v>10.28</v>
      </c>
      <c r="R2387" t="s">
        <v>26</v>
      </c>
      <c r="S2387" t="b">
        <v>0</v>
      </c>
      <c r="T2387" t="b">
        <v>0</v>
      </c>
    </row>
    <row r="2388" spans="1:20" x14ac:dyDescent="0.3">
      <c r="A2388" t="s">
        <v>3387</v>
      </c>
      <c r="B2388" s="1">
        <v>40793</v>
      </c>
      <c r="C2388" s="1">
        <v>40798</v>
      </c>
      <c r="D2388" t="s">
        <v>2720</v>
      </c>
      <c r="E2388" t="s">
        <v>187</v>
      </c>
      <c r="F2388" t="s">
        <v>33</v>
      </c>
      <c r="G2388" t="s">
        <v>3372</v>
      </c>
      <c r="H2388">
        <v>83.92</v>
      </c>
      <c r="I2388">
        <v>5</v>
      </c>
      <c r="J2388">
        <v>31.47</v>
      </c>
      <c r="K2388">
        <v>2011</v>
      </c>
      <c r="L2388">
        <v>9</v>
      </c>
      <c r="M2388" t="s">
        <v>87</v>
      </c>
      <c r="N2388">
        <v>7</v>
      </c>
      <c r="O2388">
        <v>5</v>
      </c>
      <c r="P2388">
        <v>37.5</v>
      </c>
      <c r="Q2388">
        <v>16.783999999999999</v>
      </c>
      <c r="R2388" t="s">
        <v>26</v>
      </c>
      <c r="S2388" t="b">
        <v>0</v>
      </c>
      <c r="T2388" t="b">
        <v>0</v>
      </c>
    </row>
    <row r="2389" spans="1:20" x14ac:dyDescent="0.3">
      <c r="A2389" t="s">
        <v>3389</v>
      </c>
      <c r="B2389" s="1">
        <v>41565</v>
      </c>
      <c r="C2389" s="1">
        <v>41569</v>
      </c>
      <c r="D2389" t="s">
        <v>1422</v>
      </c>
      <c r="E2389" t="s">
        <v>737</v>
      </c>
      <c r="F2389" t="s">
        <v>317</v>
      </c>
      <c r="G2389" t="s">
        <v>2030</v>
      </c>
      <c r="H2389">
        <v>120.666</v>
      </c>
      <c r="I2389">
        <v>2</v>
      </c>
      <c r="J2389">
        <v>21.294</v>
      </c>
      <c r="K2389">
        <v>2013</v>
      </c>
      <c r="L2389">
        <v>10</v>
      </c>
      <c r="M2389" t="s">
        <v>82</v>
      </c>
      <c r="N2389">
        <v>18</v>
      </c>
      <c r="O2389">
        <v>4</v>
      </c>
      <c r="P2389">
        <v>17.649999999999999</v>
      </c>
      <c r="Q2389">
        <v>60.332999999999998</v>
      </c>
      <c r="R2389" t="s">
        <v>26</v>
      </c>
      <c r="S2389" t="b">
        <v>0</v>
      </c>
      <c r="T2389" t="b">
        <v>0</v>
      </c>
    </row>
    <row r="2390" spans="1:20" x14ac:dyDescent="0.3">
      <c r="A2390" t="s">
        <v>3390</v>
      </c>
      <c r="B2390" s="1">
        <v>41603</v>
      </c>
      <c r="C2390" s="1">
        <v>41610</v>
      </c>
      <c r="D2390" t="s">
        <v>2701</v>
      </c>
      <c r="E2390" t="s">
        <v>39</v>
      </c>
      <c r="F2390" t="s">
        <v>29</v>
      </c>
      <c r="G2390" t="s">
        <v>3391</v>
      </c>
      <c r="H2390">
        <v>82.26</v>
      </c>
      <c r="I2390">
        <v>3</v>
      </c>
      <c r="J2390">
        <v>33.726599999999998</v>
      </c>
      <c r="K2390">
        <v>2013</v>
      </c>
      <c r="L2390">
        <v>11</v>
      </c>
      <c r="M2390" t="s">
        <v>70</v>
      </c>
      <c r="N2390">
        <v>25</v>
      </c>
      <c r="O2390">
        <v>7</v>
      </c>
      <c r="P2390">
        <v>41</v>
      </c>
      <c r="Q2390">
        <v>27.42</v>
      </c>
      <c r="R2390" t="s">
        <v>26</v>
      </c>
      <c r="S2390" t="b">
        <v>0</v>
      </c>
      <c r="T2390" t="b">
        <v>0</v>
      </c>
    </row>
    <row r="2391" spans="1:20" x14ac:dyDescent="0.3">
      <c r="A2391" t="s">
        <v>3392</v>
      </c>
      <c r="B2391" s="1">
        <v>41589</v>
      </c>
      <c r="C2391" s="1">
        <v>41592</v>
      </c>
      <c r="D2391" t="s">
        <v>2816</v>
      </c>
      <c r="E2391" t="s">
        <v>51</v>
      </c>
      <c r="F2391" t="s">
        <v>45</v>
      </c>
      <c r="G2391" t="s">
        <v>3393</v>
      </c>
      <c r="H2391">
        <v>29.74</v>
      </c>
      <c r="I2391">
        <v>1</v>
      </c>
      <c r="J2391">
        <v>4.4610000000000003</v>
      </c>
      <c r="K2391">
        <v>2013</v>
      </c>
      <c r="L2391">
        <v>11</v>
      </c>
      <c r="M2391" t="s">
        <v>70</v>
      </c>
      <c r="N2391">
        <v>11</v>
      </c>
      <c r="O2391">
        <v>3</v>
      </c>
      <c r="P2391">
        <v>15</v>
      </c>
      <c r="Q2391">
        <v>29.74</v>
      </c>
      <c r="R2391" t="s">
        <v>26</v>
      </c>
      <c r="S2391" t="b">
        <v>0</v>
      </c>
      <c r="T2391" t="b">
        <v>0</v>
      </c>
    </row>
    <row r="2392" spans="1:20" x14ac:dyDescent="0.3">
      <c r="A2392" t="s">
        <v>3394</v>
      </c>
      <c r="B2392" s="1">
        <v>40913</v>
      </c>
      <c r="C2392" s="1">
        <v>40918</v>
      </c>
      <c r="D2392" t="s">
        <v>2399</v>
      </c>
      <c r="E2392" t="s">
        <v>51</v>
      </c>
      <c r="F2392" t="s">
        <v>35</v>
      </c>
      <c r="G2392" t="s">
        <v>2556</v>
      </c>
      <c r="H2392">
        <v>87.36</v>
      </c>
      <c r="I2392">
        <v>6</v>
      </c>
      <c r="J2392">
        <v>23.587199999999999</v>
      </c>
      <c r="K2392">
        <v>2012</v>
      </c>
      <c r="L2392">
        <v>1</v>
      </c>
      <c r="M2392" t="s">
        <v>60</v>
      </c>
      <c r="N2392">
        <v>5</v>
      </c>
      <c r="O2392">
        <v>5</v>
      </c>
      <c r="P2392">
        <v>27</v>
      </c>
      <c r="Q2392">
        <v>14.56</v>
      </c>
      <c r="R2392" t="s">
        <v>26</v>
      </c>
      <c r="S2392" t="b">
        <v>0</v>
      </c>
      <c r="T2392" t="b">
        <v>0</v>
      </c>
    </row>
    <row r="2393" spans="1:20" x14ac:dyDescent="0.3">
      <c r="A2393" t="s">
        <v>3394</v>
      </c>
      <c r="B2393" s="1">
        <v>40913</v>
      </c>
      <c r="C2393" s="1">
        <v>40918</v>
      </c>
      <c r="D2393" t="s">
        <v>2399</v>
      </c>
      <c r="E2393" t="s">
        <v>51</v>
      </c>
      <c r="F2393" t="s">
        <v>33</v>
      </c>
      <c r="G2393" t="s">
        <v>534</v>
      </c>
      <c r="H2393">
        <v>56.16</v>
      </c>
      <c r="I2393">
        <v>6</v>
      </c>
      <c r="J2393">
        <v>17.55</v>
      </c>
      <c r="K2393">
        <v>2012</v>
      </c>
      <c r="L2393">
        <v>1</v>
      </c>
      <c r="M2393" t="s">
        <v>60</v>
      </c>
      <c r="N2393">
        <v>5</v>
      </c>
      <c r="O2393">
        <v>5</v>
      </c>
      <c r="P2393">
        <v>31.25</v>
      </c>
      <c r="Q2393">
        <v>9.36</v>
      </c>
      <c r="R2393" t="s">
        <v>26</v>
      </c>
      <c r="S2393" t="b">
        <v>0</v>
      </c>
      <c r="T2393" t="b">
        <v>0</v>
      </c>
    </row>
    <row r="2394" spans="1:20" x14ac:dyDescent="0.3">
      <c r="A2394" t="s">
        <v>3395</v>
      </c>
      <c r="B2394" s="1">
        <v>41351</v>
      </c>
      <c r="C2394" s="1">
        <v>41353</v>
      </c>
      <c r="D2394" t="s">
        <v>2783</v>
      </c>
      <c r="E2394" t="s">
        <v>51</v>
      </c>
      <c r="F2394" t="s">
        <v>54</v>
      </c>
      <c r="G2394" t="s">
        <v>413</v>
      </c>
      <c r="H2394">
        <v>84.784000000000006</v>
      </c>
      <c r="I2394">
        <v>2</v>
      </c>
      <c r="J2394">
        <v>-20.136199999999999</v>
      </c>
      <c r="K2394">
        <v>2013</v>
      </c>
      <c r="L2394">
        <v>3</v>
      </c>
      <c r="M2394" t="s">
        <v>135</v>
      </c>
      <c r="N2394">
        <v>18</v>
      </c>
      <c r="O2394">
        <v>2</v>
      </c>
      <c r="P2394">
        <v>-23.75</v>
      </c>
      <c r="Q2394">
        <v>42.392000000000003</v>
      </c>
      <c r="R2394" t="s">
        <v>26</v>
      </c>
      <c r="S2394" t="b">
        <v>1</v>
      </c>
      <c r="T2394" t="b">
        <v>0</v>
      </c>
    </row>
    <row r="2395" spans="1:20" x14ac:dyDescent="0.3">
      <c r="A2395" t="s">
        <v>3396</v>
      </c>
      <c r="B2395" s="1">
        <v>41887</v>
      </c>
      <c r="C2395" s="1">
        <v>41891</v>
      </c>
      <c r="D2395" t="s">
        <v>597</v>
      </c>
      <c r="E2395" t="s">
        <v>663</v>
      </c>
      <c r="F2395" t="s">
        <v>33</v>
      </c>
      <c r="G2395" t="s">
        <v>2855</v>
      </c>
      <c r="H2395">
        <v>11.808</v>
      </c>
      <c r="I2395">
        <v>3</v>
      </c>
      <c r="J2395">
        <v>4.1327999999999996</v>
      </c>
      <c r="K2395">
        <v>2014</v>
      </c>
      <c r="L2395">
        <v>9</v>
      </c>
      <c r="M2395" t="s">
        <v>87</v>
      </c>
      <c r="N2395">
        <v>5</v>
      </c>
      <c r="O2395">
        <v>4</v>
      </c>
      <c r="P2395">
        <v>35</v>
      </c>
      <c r="Q2395">
        <v>3.9359999999999999</v>
      </c>
      <c r="R2395" t="s">
        <v>26</v>
      </c>
      <c r="S2395" t="b">
        <v>0</v>
      </c>
      <c r="T2395" t="b">
        <v>0</v>
      </c>
    </row>
    <row r="2396" spans="1:20" x14ac:dyDescent="0.3">
      <c r="A2396" t="s">
        <v>3397</v>
      </c>
      <c r="B2396" s="1">
        <v>41978</v>
      </c>
      <c r="C2396" s="1">
        <v>41980</v>
      </c>
      <c r="D2396" t="s">
        <v>2066</v>
      </c>
      <c r="E2396" t="s">
        <v>22</v>
      </c>
      <c r="F2396" t="s">
        <v>72</v>
      </c>
      <c r="G2396" t="s">
        <v>1706</v>
      </c>
      <c r="H2396">
        <v>11.76</v>
      </c>
      <c r="I2396">
        <v>2</v>
      </c>
      <c r="J2396">
        <v>5.7624000000000004</v>
      </c>
      <c r="K2396">
        <v>2014</v>
      </c>
      <c r="L2396">
        <v>12</v>
      </c>
      <c r="M2396" t="s">
        <v>41</v>
      </c>
      <c r="N2396">
        <v>5</v>
      </c>
      <c r="O2396">
        <v>2</v>
      </c>
      <c r="P2396">
        <v>49</v>
      </c>
      <c r="Q2396">
        <v>5.88</v>
      </c>
      <c r="R2396" t="s">
        <v>26</v>
      </c>
      <c r="S2396" t="b">
        <v>0</v>
      </c>
      <c r="T2396" t="b">
        <v>0</v>
      </c>
    </row>
    <row r="2397" spans="1:20" x14ac:dyDescent="0.3">
      <c r="A2397" t="s">
        <v>3398</v>
      </c>
      <c r="B2397" s="1">
        <v>41012</v>
      </c>
      <c r="C2397" s="1">
        <v>41017</v>
      </c>
      <c r="D2397" t="s">
        <v>973</v>
      </c>
      <c r="E2397" t="s">
        <v>849</v>
      </c>
      <c r="F2397" t="s">
        <v>45</v>
      </c>
      <c r="G2397" t="s">
        <v>900</v>
      </c>
      <c r="H2397">
        <v>10.744</v>
      </c>
      <c r="I2397">
        <v>1</v>
      </c>
      <c r="J2397">
        <v>0.80579999999999996</v>
      </c>
      <c r="K2397">
        <v>2012</v>
      </c>
      <c r="L2397">
        <v>4</v>
      </c>
      <c r="M2397" t="s">
        <v>236</v>
      </c>
      <c r="N2397">
        <v>13</v>
      </c>
      <c r="O2397">
        <v>5</v>
      </c>
      <c r="P2397">
        <v>7.5</v>
      </c>
      <c r="Q2397">
        <v>10.744</v>
      </c>
      <c r="R2397" t="s">
        <v>26</v>
      </c>
      <c r="S2397" t="b">
        <v>0</v>
      </c>
      <c r="T2397" t="b">
        <v>0</v>
      </c>
    </row>
    <row r="2398" spans="1:20" x14ac:dyDescent="0.3">
      <c r="A2398" t="s">
        <v>3399</v>
      </c>
      <c r="B2398" s="1">
        <v>41306</v>
      </c>
      <c r="C2398" s="1">
        <v>41312</v>
      </c>
      <c r="D2398" t="s">
        <v>3400</v>
      </c>
      <c r="E2398" t="s">
        <v>22</v>
      </c>
      <c r="F2398" t="s">
        <v>72</v>
      </c>
      <c r="G2398" t="s">
        <v>141</v>
      </c>
      <c r="H2398">
        <v>105.52</v>
      </c>
      <c r="I2398">
        <v>4</v>
      </c>
      <c r="J2398">
        <v>48.539200000000001</v>
      </c>
      <c r="K2398">
        <v>2013</v>
      </c>
      <c r="L2398">
        <v>2</v>
      </c>
      <c r="M2398" t="s">
        <v>303</v>
      </c>
      <c r="N2398">
        <v>1</v>
      </c>
      <c r="O2398">
        <v>6</v>
      </c>
      <c r="P2398">
        <v>46</v>
      </c>
      <c r="Q2398">
        <v>26.38</v>
      </c>
      <c r="R2398" t="s">
        <v>26</v>
      </c>
      <c r="S2398" t="b">
        <v>0</v>
      </c>
      <c r="T2398" t="b">
        <v>0</v>
      </c>
    </row>
    <row r="2399" spans="1:20" x14ac:dyDescent="0.3">
      <c r="A2399" t="s">
        <v>3401</v>
      </c>
      <c r="B2399" s="1">
        <v>41254</v>
      </c>
      <c r="C2399" s="1">
        <v>41260</v>
      </c>
      <c r="D2399" t="s">
        <v>1830</v>
      </c>
      <c r="E2399" t="s">
        <v>1137</v>
      </c>
      <c r="F2399" t="s">
        <v>33</v>
      </c>
      <c r="G2399" t="s">
        <v>908</v>
      </c>
      <c r="H2399">
        <v>110.52800000000001</v>
      </c>
      <c r="I2399">
        <v>4</v>
      </c>
      <c r="J2399">
        <v>38.684800000000003</v>
      </c>
      <c r="K2399">
        <v>2012</v>
      </c>
      <c r="L2399">
        <v>12</v>
      </c>
      <c r="M2399" t="s">
        <v>41</v>
      </c>
      <c r="N2399">
        <v>11</v>
      </c>
      <c r="O2399">
        <v>6</v>
      </c>
      <c r="P2399">
        <v>35</v>
      </c>
      <c r="Q2399">
        <v>27.632000000000001</v>
      </c>
      <c r="R2399" t="s">
        <v>26</v>
      </c>
      <c r="S2399" t="b">
        <v>0</v>
      </c>
      <c r="T2399" t="b">
        <v>0</v>
      </c>
    </row>
    <row r="2400" spans="1:20" x14ac:dyDescent="0.3">
      <c r="A2400" t="s">
        <v>3402</v>
      </c>
      <c r="B2400" s="1">
        <v>41769</v>
      </c>
      <c r="C2400" s="1">
        <v>41771</v>
      </c>
      <c r="D2400" t="s">
        <v>3173</v>
      </c>
      <c r="E2400" t="s">
        <v>39</v>
      </c>
      <c r="F2400" t="s">
        <v>33</v>
      </c>
      <c r="G2400" t="s">
        <v>977</v>
      </c>
      <c r="H2400">
        <v>147.91999999999999</v>
      </c>
      <c r="I2400">
        <v>5</v>
      </c>
      <c r="J2400">
        <v>46.225000000000001</v>
      </c>
      <c r="K2400">
        <v>2014</v>
      </c>
      <c r="L2400">
        <v>5</v>
      </c>
      <c r="M2400" t="s">
        <v>47</v>
      </c>
      <c r="N2400">
        <v>10</v>
      </c>
      <c r="O2400">
        <v>2</v>
      </c>
      <c r="P2400">
        <v>31.25</v>
      </c>
      <c r="Q2400">
        <v>29.584</v>
      </c>
      <c r="R2400" t="s">
        <v>26</v>
      </c>
      <c r="S2400" t="b">
        <v>0</v>
      </c>
      <c r="T2400" t="b">
        <v>0</v>
      </c>
    </row>
    <row r="2401" spans="1:20" x14ac:dyDescent="0.3">
      <c r="A2401" t="s">
        <v>3402</v>
      </c>
      <c r="B2401" s="1">
        <v>41769</v>
      </c>
      <c r="C2401" s="1">
        <v>41771</v>
      </c>
      <c r="D2401" t="s">
        <v>3173</v>
      </c>
      <c r="E2401" t="s">
        <v>39</v>
      </c>
      <c r="F2401" t="s">
        <v>45</v>
      </c>
      <c r="G2401" t="s">
        <v>984</v>
      </c>
      <c r="H2401">
        <v>104.28</v>
      </c>
      <c r="I2401">
        <v>3</v>
      </c>
      <c r="J2401">
        <v>26.07</v>
      </c>
      <c r="K2401">
        <v>2014</v>
      </c>
      <c r="L2401">
        <v>5</v>
      </c>
      <c r="M2401" t="s">
        <v>47</v>
      </c>
      <c r="N2401">
        <v>10</v>
      </c>
      <c r="O2401">
        <v>2</v>
      </c>
      <c r="P2401">
        <v>25</v>
      </c>
      <c r="Q2401">
        <v>34.76</v>
      </c>
      <c r="R2401" t="s">
        <v>26</v>
      </c>
      <c r="S2401" t="b">
        <v>0</v>
      </c>
      <c r="T2401" t="b">
        <v>0</v>
      </c>
    </row>
    <row r="2402" spans="1:20" x14ac:dyDescent="0.3">
      <c r="A2402" t="s">
        <v>3402</v>
      </c>
      <c r="B2402" s="1">
        <v>41769</v>
      </c>
      <c r="C2402" s="1">
        <v>41771</v>
      </c>
      <c r="D2402" t="s">
        <v>3173</v>
      </c>
      <c r="E2402" t="s">
        <v>39</v>
      </c>
      <c r="F2402" t="s">
        <v>174</v>
      </c>
      <c r="G2402" t="s">
        <v>3403</v>
      </c>
      <c r="H2402">
        <v>286.85000000000002</v>
      </c>
      <c r="I2402">
        <v>1</v>
      </c>
      <c r="J2402">
        <v>63.106999999999999</v>
      </c>
      <c r="K2402">
        <v>2014</v>
      </c>
      <c r="L2402">
        <v>5</v>
      </c>
      <c r="M2402" t="s">
        <v>47</v>
      </c>
      <c r="N2402">
        <v>10</v>
      </c>
      <c r="O2402">
        <v>2</v>
      </c>
      <c r="P2402">
        <v>22</v>
      </c>
      <c r="Q2402">
        <v>286.85000000000002</v>
      </c>
      <c r="R2402" t="s">
        <v>26</v>
      </c>
      <c r="S2402" t="b">
        <v>0</v>
      </c>
      <c r="T2402" t="b">
        <v>1</v>
      </c>
    </row>
    <row r="2403" spans="1:20" x14ac:dyDescent="0.3">
      <c r="A2403" t="s">
        <v>3402</v>
      </c>
      <c r="B2403" s="1">
        <v>41769</v>
      </c>
      <c r="C2403" s="1">
        <v>41771</v>
      </c>
      <c r="D2403" t="s">
        <v>3173</v>
      </c>
      <c r="E2403" t="s">
        <v>39</v>
      </c>
      <c r="F2403" t="s">
        <v>45</v>
      </c>
      <c r="G2403" t="s">
        <v>2671</v>
      </c>
      <c r="H2403">
        <v>66.959999999999994</v>
      </c>
      <c r="I2403">
        <v>4</v>
      </c>
      <c r="J2403">
        <v>2.6783999999999999</v>
      </c>
      <c r="K2403">
        <v>2014</v>
      </c>
      <c r="L2403">
        <v>5</v>
      </c>
      <c r="M2403" t="s">
        <v>47</v>
      </c>
      <c r="N2403">
        <v>10</v>
      </c>
      <c r="O2403">
        <v>2</v>
      </c>
      <c r="P2403">
        <v>4</v>
      </c>
      <c r="Q2403">
        <v>16.739999999999998</v>
      </c>
      <c r="R2403" t="s">
        <v>26</v>
      </c>
      <c r="S2403" t="b">
        <v>0</v>
      </c>
      <c r="T2403" t="b">
        <v>0</v>
      </c>
    </row>
    <row r="2404" spans="1:20" x14ac:dyDescent="0.3">
      <c r="A2404" t="s">
        <v>3402</v>
      </c>
      <c r="B2404" s="1">
        <v>41769</v>
      </c>
      <c r="C2404" s="1">
        <v>41771</v>
      </c>
      <c r="D2404" t="s">
        <v>3173</v>
      </c>
      <c r="E2404" t="s">
        <v>39</v>
      </c>
      <c r="F2404" t="s">
        <v>61</v>
      </c>
      <c r="G2404" t="s">
        <v>1368</v>
      </c>
      <c r="H2404">
        <v>199.98</v>
      </c>
      <c r="I2404">
        <v>2</v>
      </c>
      <c r="J2404">
        <v>87.991200000000006</v>
      </c>
      <c r="K2404">
        <v>2014</v>
      </c>
      <c r="L2404">
        <v>5</v>
      </c>
      <c r="M2404" t="s">
        <v>47</v>
      </c>
      <c r="N2404">
        <v>10</v>
      </c>
      <c r="O2404">
        <v>2</v>
      </c>
      <c r="P2404">
        <v>44</v>
      </c>
      <c r="Q2404">
        <v>99.99</v>
      </c>
      <c r="R2404" t="s">
        <v>26</v>
      </c>
      <c r="S2404" t="b">
        <v>0</v>
      </c>
      <c r="T2404" t="b">
        <v>0</v>
      </c>
    </row>
    <row r="2405" spans="1:20" x14ac:dyDescent="0.3">
      <c r="A2405" t="s">
        <v>3404</v>
      </c>
      <c r="B2405" s="1">
        <v>41184</v>
      </c>
      <c r="C2405" s="1">
        <v>41189</v>
      </c>
      <c r="D2405" t="s">
        <v>3405</v>
      </c>
      <c r="E2405" t="s">
        <v>1908</v>
      </c>
      <c r="F2405" t="s">
        <v>122</v>
      </c>
      <c r="G2405" t="s">
        <v>3388</v>
      </c>
      <c r="H2405">
        <v>10.944000000000001</v>
      </c>
      <c r="I2405">
        <v>2</v>
      </c>
      <c r="J2405">
        <v>0.95760000000000001</v>
      </c>
      <c r="K2405">
        <v>2012</v>
      </c>
      <c r="L2405">
        <v>10</v>
      </c>
      <c r="M2405" t="s">
        <v>82</v>
      </c>
      <c r="N2405">
        <v>2</v>
      </c>
      <c r="O2405">
        <v>5</v>
      </c>
      <c r="P2405">
        <v>8.75</v>
      </c>
      <c r="Q2405">
        <v>5.4720000000000004</v>
      </c>
      <c r="R2405" t="s">
        <v>26</v>
      </c>
      <c r="S2405" t="b">
        <v>0</v>
      </c>
      <c r="T2405" t="b">
        <v>0</v>
      </c>
    </row>
    <row r="2406" spans="1:20" x14ac:dyDescent="0.3">
      <c r="A2406" t="s">
        <v>3406</v>
      </c>
      <c r="B2406" s="1">
        <v>41956</v>
      </c>
      <c r="C2406" s="1">
        <v>41960</v>
      </c>
      <c r="D2406" t="s">
        <v>2466</v>
      </c>
      <c r="E2406" t="s">
        <v>899</v>
      </c>
      <c r="F2406" t="s">
        <v>61</v>
      </c>
      <c r="G2406" t="s">
        <v>1614</v>
      </c>
      <c r="H2406">
        <v>62.351999999999997</v>
      </c>
      <c r="I2406">
        <v>6</v>
      </c>
      <c r="J2406">
        <v>-10.9116</v>
      </c>
      <c r="K2406">
        <v>2014</v>
      </c>
      <c r="L2406">
        <v>11</v>
      </c>
      <c r="M2406" t="s">
        <v>70</v>
      </c>
      <c r="N2406">
        <v>13</v>
      </c>
      <c r="O2406">
        <v>4</v>
      </c>
      <c r="P2406">
        <v>-17.5</v>
      </c>
      <c r="Q2406">
        <v>10.391999999999999</v>
      </c>
      <c r="R2406" t="s">
        <v>26</v>
      </c>
      <c r="S2406" t="b">
        <v>1</v>
      </c>
      <c r="T2406" t="b">
        <v>0</v>
      </c>
    </row>
    <row r="2407" spans="1:20" x14ac:dyDescent="0.3">
      <c r="A2407" t="s">
        <v>3407</v>
      </c>
      <c r="B2407" s="1">
        <v>41172</v>
      </c>
      <c r="C2407" s="1">
        <v>41178</v>
      </c>
      <c r="D2407" t="s">
        <v>1378</v>
      </c>
      <c r="E2407" t="s">
        <v>271</v>
      </c>
      <c r="F2407" t="s">
        <v>33</v>
      </c>
      <c r="G2407" t="s">
        <v>2337</v>
      </c>
      <c r="H2407">
        <v>45.584000000000003</v>
      </c>
      <c r="I2407">
        <v>11</v>
      </c>
      <c r="J2407">
        <v>16.5242</v>
      </c>
      <c r="K2407">
        <v>2012</v>
      </c>
      <c r="L2407">
        <v>9</v>
      </c>
      <c r="M2407" t="s">
        <v>87</v>
      </c>
      <c r="N2407">
        <v>20</v>
      </c>
      <c r="O2407">
        <v>6</v>
      </c>
      <c r="P2407">
        <v>36.25</v>
      </c>
      <c r="Q2407">
        <v>4.1440000000000001</v>
      </c>
      <c r="R2407" t="s">
        <v>26</v>
      </c>
      <c r="S2407" t="b">
        <v>0</v>
      </c>
      <c r="T2407" t="b">
        <v>0</v>
      </c>
    </row>
    <row r="2408" spans="1:20" x14ac:dyDescent="0.3">
      <c r="A2408" t="s">
        <v>3408</v>
      </c>
      <c r="B2408" s="1">
        <v>40691</v>
      </c>
      <c r="C2408" s="1">
        <v>40695</v>
      </c>
      <c r="D2408" t="s">
        <v>3409</v>
      </c>
      <c r="E2408" t="s">
        <v>39</v>
      </c>
      <c r="F2408" t="s">
        <v>33</v>
      </c>
      <c r="G2408" t="s">
        <v>2291</v>
      </c>
      <c r="H2408">
        <v>136.96</v>
      </c>
      <c r="I2408">
        <v>4</v>
      </c>
      <c r="J2408">
        <v>51.36</v>
      </c>
      <c r="K2408">
        <v>2011</v>
      </c>
      <c r="L2408">
        <v>5</v>
      </c>
      <c r="M2408" t="s">
        <v>47</v>
      </c>
      <c r="N2408">
        <v>28</v>
      </c>
      <c r="O2408">
        <v>4</v>
      </c>
      <c r="P2408">
        <v>37.5</v>
      </c>
      <c r="Q2408">
        <v>34.24</v>
      </c>
      <c r="R2408" t="s">
        <v>48</v>
      </c>
      <c r="S2408" t="b">
        <v>0</v>
      </c>
      <c r="T2408" t="b">
        <v>0</v>
      </c>
    </row>
    <row r="2409" spans="1:20" x14ac:dyDescent="0.3">
      <c r="A2409" t="s">
        <v>3410</v>
      </c>
      <c r="B2409" s="1">
        <v>41766</v>
      </c>
      <c r="C2409" s="1">
        <v>41770</v>
      </c>
      <c r="D2409" t="s">
        <v>239</v>
      </c>
      <c r="E2409" t="s">
        <v>257</v>
      </c>
      <c r="F2409" t="s">
        <v>72</v>
      </c>
      <c r="G2409" t="s">
        <v>141</v>
      </c>
      <c r="H2409">
        <v>84.415999999999997</v>
      </c>
      <c r="I2409">
        <v>4</v>
      </c>
      <c r="J2409">
        <v>27.435199999999998</v>
      </c>
      <c r="K2409">
        <v>2014</v>
      </c>
      <c r="L2409">
        <v>5</v>
      </c>
      <c r="M2409" t="s">
        <v>47</v>
      </c>
      <c r="N2409">
        <v>7</v>
      </c>
      <c r="O2409">
        <v>4</v>
      </c>
      <c r="P2409">
        <v>32.5</v>
      </c>
      <c r="Q2409">
        <v>21.103999999999999</v>
      </c>
      <c r="R2409" t="s">
        <v>26</v>
      </c>
      <c r="S2409" t="b">
        <v>0</v>
      </c>
      <c r="T2409" t="b">
        <v>0</v>
      </c>
    </row>
    <row r="2410" spans="1:20" x14ac:dyDescent="0.3">
      <c r="A2410" t="s">
        <v>3411</v>
      </c>
      <c r="B2410" s="1">
        <v>41417</v>
      </c>
      <c r="C2410" s="1">
        <v>41424</v>
      </c>
      <c r="D2410" t="s">
        <v>2273</v>
      </c>
      <c r="E2410" t="s">
        <v>22</v>
      </c>
      <c r="F2410" t="s">
        <v>54</v>
      </c>
      <c r="G2410" t="s">
        <v>180</v>
      </c>
      <c r="H2410">
        <v>222.38399999999999</v>
      </c>
      <c r="I2410">
        <v>2</v>
      </c>
      <c r="J2410">
        <v>22.238399999999999</v>
      </c>
      <c r="K2410">
        <v>2013</v>
      </c>
      <c r="L2410">
        <v>5</v>
      </c>
      <c r="M2410" t="s">
        <v>47</v>
      </c>
      <c r="N2410">
        <v>23</v>
      </c>
      <c r="O2410">
        <v>7</v>
      </c>
      <c r="P2410">
        <v>10</v>
      </c>
      <c r="Q2410">
        <v>111.19199999999999</v>
      </c>
      <c r="R2410" t="s">
        <v>26</v>
      </c>
      <c r="S2410" t="b">
        <v>0</v>
      </c>
      <c r="T2410" t="b">
        <v>1</v>
      </c>
    </row>
    <row r="2411" spans="1:20" x14ac:dyDescent="0.3">
      <c r="A2411" t="s">
        <v>3412</v>
      </c>
      <c r="B2411" s="1">
        <v>40630</v>
      </c>
      <c r="C2411" s="1">
        <v>40634</v>
      </c>
      <c r="D2411" t="s">
        <v>3413</v>
      </c>
      <c r="E2411" t="s">
        <v>1364</v>
      </c>
      <c r="F2411" t="s">
        <v>54</v>
      </c>
      <c r="G2411" t="s">
        <v>452</v>
      </c>
      <c r="H2411">
        <v>302.37599999999998</v>
      </c>
      <c r="I2411">
        <v>3</v>
      </c>
      <c r="J2411">
        <v>22.6782</v>
      </c>
      <c r="K2411">
        <v>2011</v>
      </c>
      <c r="L2411">
        <v>3</v>
      </c>
      <c r="M2411" t="s">
        <v>135</v>
      </c>
      <c r="N2411">
        <v>28</v>
      </c>
      <c r="O2411">
        <v>4</v>
      </c>
      <c r="P2411">
        <v>7.5</v>
      </c>
      <c r="Q2411">
        <v>100.792</v>
      </c>
      <c r="R2411" t="s">
        <v>48</v>
      </c>
      <c r="S2411" t="b">
        <v>0</v>
      </c>
      <c r="T2411" t="b">
        <v>1</v>
      </c>
    </row>
    <row r="2412" spans="1:20" x14ac:dyDescent="0.3">
      <c r="A2412" t="s">
        <v>3414</v>
      </c>
      <c r="B2412" s="1">
        <v>41039</v>
      </c>
      <c r="C2412" s="1">
        <v>41044</v>
      </c>
      <c r="D2412" t="s">
        <v>455</v>
      </c>
      <c r="E2412" t="s">
        <v>297</v>
      </c>
      <c r="F2412" t="s">
        <v>61</v>
      </c>
      <c r="G2412" t="s">
        <v>3217</v>
      </c>
      <c r="H2412">
        <v>46.688000000000002</v>
      </c>
      <c r="I2412">
        <v>4</v>
      </c>
      <c r="J2412">
        <v>-2.9180000000000001</v>
      </c>
      <c r="K2412">
        <v>2012</v>
      </c>
      <c r="L2412">
        <v>5</v>
      </c>
      <c r="M2412" t="s">
        <v>47</v>
      </c>
      <c r="N2412">
        <v>10</v>
      </c>
      <c r="O2412">
        <v>5</v>
      </c>
      <c r="P2412">
        <v>-6.25</v>
      </c>
      <c r="Q2412">
        <v>11.672000000000001</v>
      </c>
      <c r="R2412" t="s">
        <v>26</v>
      </c>
      <c r="S2412" t="b">
        <v>1</v>
      </c>
      <c r="T2412" t="b">
        <v>0</v>
      </c>
    </row>
    <row r="2413" spans="1:20" x14ac:dyDescent="0.3">
      <c r="A2413" t="s">
        <v>3415</v>
      </c>
      <c r="B2413" s="1">
        <v>41537</v>
      </c>
      <c r="C2413" s="1">
        <v>41541</v>
      </c>
      <c r="D2413" t="s">
        <v>1051</v>
      </c>
      <c r="E2413" t="s">
        <v>51</v>
      </c>
      <c r="F2413" t="s">
        <v>33</v>
      </c>
      <c r="G2413" t="s">
        <v>1615</v>
      </c>
      <c r="H2413">
        <v>8.9280000000000008</v>
      </c>
      <c r="I2413">
        <v>2</v>
      </c>
      <c r="J2413">
        <v>3.1248</v>
      </c>
      <c r="K2413">
        <v>2013</v>
      </c>
      <c r="L2413">
        <v>9</v>
      </c>
      <c r="M2413" t="s">
        <v>87</v>
      </c>
      <c r="N2413">
        <v>20</v>
      </c>
      <c r="O2413">
        <v>4</v>
      </c>
      <c r="P2413">
        <v>35</v>
      </c>
      <c r="Q2413">
        <v>4.4640000000000004</v>
      </c>
      <c r="R2413" t="s">
        <v>26</v>
      </c>
      <c r="S2413" t="b">
        <v>0</v>
      </c>
      <c r="T2413" t="b">
        <v>0</v>
      </c>
    </row>
    <row r="2414" spans="1:20" x14ac:dyDescent="0.3">
      <c r="A2414" t="s">
        <v>3416</v>
      </c>
      <c r="B2414" s="1">
        <v>41940</v>
      </c>
      <c r="C2414" s="1">
        <v>41945</v>
      </c>
      <c r="D2414" t="s">
        <v>132</v>
      </c>
      <c r="E2414" t="s">
        <v>368</v>
      </c>
      <c r="F2414" t="s">
        <v>72</v>
      </c>
      <c r="G2414" t="s">
        <v>2454</v>
      </c>
      <c r="H2414">
        <v>44.783999999999999</v>
      </c>
      <c r="I2414">
        <v>1</v>
      </c>
      <c r="J2414">
        <v>16.234200000000001</v>
      </c>
      <c r="K2414">
        <v>2014</v>
      </c>
      <c r="L2414">
        <v>10</v>
      </c>
      <c r="M2414" t="s">
        <v>82</v>
      </c>
      <c r="N2414">
        <v>28</v>
      </c>
      <c r="O2414">
        <v>5</v>
      </c>
      <c r="P2414">
        <v>36.25</v>
      </c>
      <c r="Q2414">
        <v>44.783999999999999</v>
      </c>
      <c r="R2414" t="s">
        <v>26</v>
      </c>
      <c r="S2414" t="b">
        <v>0</v>
      </c>
      <c r="T2414" t="b">
        <v>0</v>
      </c>
    </row>
    <row r="2415" spans="1:20" x14ac:dyDescent="0.3">
      <c r="A2415" t="s">
        <v>3417</v>
      </c>
      <c r="B2415" s="1">
        <v>41992</v>
      </c>
      <c r="C2415" s="1">
        <v>41998</v>
      </c>
      <c r="D2415" t="s">
        <v>2372</v>
      </c>
      <c r="E2415" t="s">
        <v>51</v>
      </c>
      <c r="F2415" t="s">
        <v>31</v>
      </c>
      <c r="G2415" t="s">
        <v>3418</v>
      </c>
      <c r="H2415">
        <v>5.76</v>
      </c>
      <c r="I2415">
        <v>2</v>
      </c>
      <c r="J2415">
        <v>1.6704000000000001</v>
      </c>
      <c r="K2415">
        <v>2014</v>
      </c>
      <c r="L2415">
        <v>12</v>
      </c>
      <c r="M2415" t="s">
        <v>41</v>
      </c>
      <c r="N2415">
        <v>19</v>
      </c>
      <c r="O2415">
        <v>6</v>
      </c>
      <c r="P2415">
        <v>29</v>
      </c>
      <c r="Q2415">
        <v>2.88</v>
      </c>
      <c r="R2415" t="s">
        <v>26</v>
      </c>
      <c r="S2415" t="b">
        <v>0</v>
      </c>
      <c r="T2415" t="b">
        <v>0</v>
      </c>
    </row>
    <row r="2416" spans="1:20" x14ac:dyDescent="0.3">
      <c r="A2416" t="s">
        <v>3419</v>
      </c>
      <c r="B2416" s="1">
        <v>41346</v>
      </c>
      <c r="C2416" s="1">
        <v>41350</v>
      </c>
      <c r="D2416" t="s">
        <v>1209</v>
      </c>
      <c r="E2416" t="s">
        <v>22</v>
      </c>
      <c r="F2416" t="s">
        <v>72</v>
      </c>
      <c r="G2416" t="s">
        <v>3420</v>
      </c>
      <c r="H2416">
        <v>19.98</v>
      </c>
      <c r="I2416">
        <v>2</v>
      </c>
      <c r="J2416">
        <v>8.9909999999999997</v>
      </c>
      <c r="K2416">
        <v>2013</v>
      </c>
      <c r="L2416">
        <v>3</v>
      </c>
      <c r="M2416" t="s">
        <v>135</v>
      </c>
      <c r="N2416">
        <v>13</v>
      </c>
      <c r="O2416">
        <v>4</v>
      </c>
      <c r="P2416">
        <v>45</v>
      </c>
      <c r="Q2416">
        <v>9.99</v>
      </c>
      <c r="R2416" t="s">
        <v>26</v>
      </c>
      <c r="S2416" t="b">
        <v>0</v>
      </c>
      <c r="T2416" t="b">
        <v>0</v>
      </c>
    </row>
    <row r="2417" spans="1:20" x14ac:dyDescent="0.3">
      <c r="A2417" t="s">
        <v>3421</v>
      </c>
      <c r="B2417" s="1">
        <v>41907</v>
      </c>
      <c r="C2417" s="1">
        <v>41907</v>
      </c>
      <c r="D2417" t="s">
        <v>289</v>
      </c>
      <c r="E2417" t="s">
        <v>39</v>
      </c>
      <c r="F2417" t="s">
        <v>29</v>
      </c>
      <c r="G2417" t="s">
        <v>489</v>
      </c>
      <c r="H2417">
        <v>199.8</v>
      </c>
      <c r="I2417">
        <v>10</v>
      </c>
      <c r="J2417">
        <v>71.927999999999997</v>
      </c>
      <c r="K2417">
        <v>2014</v>
      </c>
      <c r="L2417">
        <v>9</v>
      </c>
      <c r="M2417" t="s">
        <v>87</v>
      </c>
      <c r="N2417">
        <v>25</v>
      </c>
      <c r="O2417">
        <v>0</v>
      </c>
      <c r="P2417">
        <v>36</v>
      </c>
      <c r="Q2417">
        <v>19.98</v>
      </c>
      <c r="R2417" t="s">
        <v>26</v>
      </c>
      <c r="S2417" t="b">
        <v>0</v>
      </c>
      <c r="T2417" t="b">
        <v>0</v>
      </c>
    </row>
    <row r="2418" spans="1:20" x14ac:dyDescent="0.3">
      <c r="A2418" t="s">
        <v>3422</v>
      </c>
      <c r="B2418" s="1">
        <v>41726</v>
      </c>
      <c r="C2418" s="1">
        <v>41730</v>
      </c>
      <c r="D2418" t="s">
        <v>3423</v>
      </c>
      <c r="E2418" t="s">
        <v>737</v>
      </c>
      <c r="F2418" t="s">
        <v>72</v>
      </c>
      <c r="G2418" t="s">
        <v>1232</v>
      </c>
      <c r="H2418">
        <v>45.68</v>
      </c>
      <c r="I2418">
        <v>2</v>
      </c>
      <c r="J2418">
        <v>21.012799999999999</v>
      </c>
      <c r="K2418">
        <v>2014</v>
      </c>
      <c r="L2418">
        <v>3</v>
      </c>
      <c r="M2418" t="s">
        <v>135</v>
      </c>
      <c r="N2418">
        <v>28</v>
      </c>
      <c r="O2418">
        <v>4</v>
      </c>
      <c r="P2418">
        <v>46</v>
      </c>
      <c r="Q2418">
        <v>22.84</v>
      </c>
      <c r="R2418" t="s">
        <v>26</v>
      </c>
      <c r="S2418" t="b">
        <v>0</v>
      </c>
      <c r="T2418" t="b">
        <v>0</v>
      </c>
    </row>
    <row r="2419" spans="1:20" x14ac:dyDescent="0.3">
      <c r="A2419" t="s">
        <v>3422</v>
      </c>
      <c r="B2419" s="1">
        <v>41726</v>
      </c>
      <c r="C2419" s="1">
        <v>41730</v>
      </c>
      <c r="D2419" t="s">
        <v>3423</v>
      </c>
      <c r="E2419" t="s">
        <v>737</v>
      </c>
      <c r="F2419" t="s">
        <v>72</v>
      </c>
      <c r="G2419" t="s">
        <v>162</v>
      </c>
      <c r="H2419">
        <v>110.96</v>
      </c>
      <c r="I2419">
        <v>2</v>
      </c>
      <c r="J2419">
        <v>53.260800000000003</v>
      </c>
      <c r="K2419">
        <v>2014</v>
      </c>
      <c r="L2419">
        <v>3</v>
      </c>
      <c r="M2419" t="s">
        <v>135</v>
      </c>
      <c r="N2419">
        <v>28</v>
      </c>
      <c r="O2419">
        <v>4</v>
      </c>
      <c r="P2419">
        <v>48</v>
      </c>
      <c r="Q2419">
        <v>55.48</v>
      </c>
      <c r="R2419" t="s">
        <v>26</v>
      </c>
      <c r="S2419" t="b">
        <v>0</v>
      </c>
      <c r="T2419" t="b">
        <v>0</v>
      </c>
    </row>
    <row r="2420" spans="1:20" x14ac:dyDescent="0.3">
      <c r="A2420" t="s">
        <v>3422</v>
      </c>
      <c r="B2420" s="1">
        <v>41726</v>
      </c>
      <c r="C2420" s="1">
        <v>41730</v>
      </c>
      <c r="D2420" t="s">
        <v>3423</v>
      </c>
      <c r="E2420" t="s">
        <v>737</v>
      </c>
      <c r="F2420" t="s">
        <v>72</v>
      </c>
      <c r="G2420" t="s">
        <v>2523</v>
      </c>
      <c r="H2420">
        <v>11.94</v>
      </c>
      <c r="I2420">
        <v>3</v>
      </c>
      <c r="J2420">
        <v>5.97</v>
      </c>
      <c r="K2420">
        <v>2014</v>
      </c>
      <c r="L2420">
        <v>3</v>
      </c>
      <c r="M2420" t="s">
        <v>135</v>
      </c>
      <c r="N2420">
        <v>28</v>
      </c>
      <c r="O2420">
        <v>4</v>
      </c>
      <c r="P2420">
        <v>50</v>
      </c>
      <c r="Q2420">
        <v>3.98</v>
      </c>
      <c r="R2420" t="s">
        <v>26</v>
      </c>
      <c r="S2420" t="b">
        <v>0</v>
      </c>
      <c r="T2420" t="b">
        <v>0</v>
      </c>
    </row>
    <row r="2421" spans="1:20" x14ac:dyDescent="0.3">
      <c r="A2421" t="s">
        <v>3424</v>
      </c>
      <c r="B2421" s="1">
        <v>41828</v>
      </c>
      <c r="C2421" s="1">
        <v>41832</v>
      </c>
      <c r="D2421" t="s">
        <v>422</v>
      </c>
      <c r="E2421" t="s">
        <v>22</v>
      </c>
      <c r="F2421" t="s">
        <v>119</v>
      </c>
      <c r="G2421" t="s">
        <v>1828</v>
      </c>
      <c r="H2421">
        <v>5.94</v>
      </c>
      <c r="I2421">
        <v>3</v>
      </c>
      <c r="J2421">
        <v>0.1188</v>
      </c>
      <c r="K2421">
        <v>2014</v>
      </c>
      <c r="L2421">
        <v>7</v>
      </c>
      <c r="M2421" t="s">
        <v>66</v>
      </c>
      <c r="N2421">
        <v>8</v>
      </c>
      <c r="O2421">
        <v>4</v>
      </c>
      <c r="P2421">
        <v>2</v>
      </c>
      <c r="Q2421">
        <v>1.98</v>
      </c>
      <c r="R2421" t="s">
        <v>26</v>
      </c>
      <c r="S2421" t="b">
        <v>0</v>
      </c>
      <c r="T2421" t="b">
        <v>0</v>
      </c>
    </row>
    <row r="2422" spans="1:20" x14ac:dyDescent="0.3">
      <c r="A2422" t="s">
        <v>3425</v>
      </c>
      <c r="B2422" s="1">
        <v>41611</v>
      </c>
      <c r="C2422" s="1">
        <v>41617</v>
      </c>
      <c r="D2422" t="s">
        <v>1446</v>
      </c>
      <c r="E2422" t="s">
        <v>3191</v>
      </c>
      <c r="F2422" t="s">
        <v>61</v>
      </c>
      <c r="G2422" t="s">
        <v>1963</v>
      </c>
      <c r="H2422">
        <v>165.6</v>
      </c>
      <c r="I2422">
        <v>3</v>
      </c>
      <c r="J2422">
        <v>-6.21</v>
      </c>
      <c r="K2422">
        <v>2013</v>
      </c>
      <c r="L2422">
        <v>12</v>
      </c>
      <c r="M2422" t="s">
        <v>41</v>
      </c>
      <c r="N2422">
        <v>3</v>
      </c>
      <c r="O2422">
        <v>6</v>
      </c>
      <c r="P2422">
        <v>-3.75</v>
      </c>
      <c r="Q2422">
        <v>55.2</v>
      </c>
      <c r="R2422" t="s">
        <v>26</v>
      </c>
      <c r="S2422" t="b">
        <v>1</v>
      </c>
      <c r="T2422" t="b">
        <v>0</v>
      </c>
    </row>
    <row r="2423" spans="1:20" x14ac:dyDescent="0.3">
      <c r="A2423" t="s">
        <v>3426</v>
      </c>
      <c r="B2423" s="1">
        <v>40968</v>
      </c>
      <c r="C2423" s="1">
        <v>40971</v>
      </c>
      <c r="D2423" t="s">
        <v>2626</v>
      </c>
      <c r="E2423" t="s">
        <v>22</v>
      </c>
      <c r="F2423" t="s">
        <v>54</v>
      </c>
      <c r="G2423" t="s">
        <v>856</v>
      </c>
      <c r="H2423">
        <v>15.984</v>
      </c>
      <c r="I2423">
        <v>2</v>
      </c>
      <c r="J2423">
        <v>1.1988000000000001</v>
      </c>
      <c r="K2423">
        <v>2012</v>
      </c>
      <c r="L2423">
        <v>2</v>
      </c>
      <c r="M2423" t="s">
        <v>303</v>
      </c>
      <c r="N2423">
        <v>29</v>
      </c>
      <c r="O2423">
        <v>3</v>
      </c>
      <c r="P2423">
        <v>7.5</v>
      </c>
      <c r="Q2423">
        <v>7.992</v>
      </c>
      <c r="R2423" t="s">
        <v>26</v>
      </c>
      <c r="S2423" t="b">
        <v>0</v>
      </c>
      <c r="T2423" t="b">
        <v>0</v>
      </c>
    </row>
    <row r="2424" spans="1:20" x14ac:dyDescent="0.3">
      <c r="A2424" t="s">
        <v>3426</v>
      </c>
      <c r="B2424" s="1">
        <v>40968</v>
      </c>
      <c r="C2424" s="1">
        <v>40971</v>
      </c>
      <c r="D2424" t="s">
        <v>2626</v>
      </c>
      <c r="E2424" t="s">
        <v>22</v>
      </c>
      <c r="F2424" t="s">
        <v>110</v>
      </c>
      <c r="G2424" t="s">
        <v>1562</v>
      </c>
      <c r="H2424">
        <v>184.75200000000001</v>
      </c>
      <c r="I2424">
        <v>3</v>
      </c>
      <c r="J2424">
        <v>-20.784600000000001</v>
      </c>
      <c r="K2424">
        <v>2012</v>
      </c>
      <c r="L2424">
        <v>2</v>
      </c>
      <c r="M2424" t="s">
        <v>303</v>
      </c>
      <c r="N2424">
        <v>29</v>
      </c>
      <c r="O2424">
        <v>3</v>
      </c>
      <c r="P2424">
        <v>-11.25</v>
      </c>
      <c r="Q2424">
        <v>61.584000000000003</v>
      </c>
      <c r="R2424" t="s">
        <v>26</v>
      </c>
      <c r="S2424" t="b">
        <v>1</v>
      </c>
      <c r="T2424" t="b">
        <v>0</v>
      </c>
    </row>
    <row r="2425" spans="1:20" x14ac:dyDescent="0.3">
      <c r="A2425" t="s">
        <v>3427</v>
      </c>
      <c r="B2425" s="1">
        <v>40595</v>
      </c>
      <c r="C2425" s="1">
        <v>40599</v>
      </c>
      <c r="D2425" t="s">
        <v>2036</v>
      </c>
      <c r="E2425" t="s">
        <v>22</v>
      </c>
      <c r="F2425" t="s">
        <v>72</v>
      </c>
      <c r="G2425" t="s">
        <v>1802</v>
      </c>
      <c r="H2425">
        <v>12.96</v>
      </c>
      <c r="I2425">
        <v>2</v>
      </c>
      <c r="J2425">
        <v>6.2207999999999997</v>
      </c>
      <c r="K2425">
        <v>2011</v>
      </c>
      <c r="L2425">
        <v>2</v>
      </c>
      <c r="M2425" t="s">
        <v>303</v>
      </c>
      <c r="N2425">
        <v>21</v>
      </c>
      <c r="O2425">
        <v>4</v>
      </c>
      <c r="P2425">
        <v>48</v>
      </c>
      <c r="Q2425">
        <v>6.48</v>
      </c>
      <c r="R2425" t="s">
        <v>26</v>
      </c>
      <c r="S2425" t="b">
        <v>0</v>
      </c>
      <c r="T2425" t="b">
        <v>0</v>
      </c>
    </row>
    <row r="2426" spans="1:20" x14ac:dyDescent="0.3">
      <c r="A2426" t="s">
        <v>3428</v>
      </c>
      <c r="B2426" s="1">
        <v>41904</v>
      </c>
      <c r="C2426" s="1">
        <v>41908</v>
      </c>
      <c r="D2426" t="s">
        <v>239</v>
      </c>
      <c r="E2426" t="s">
        <v>51</v>
      </c>
      <c r="F2426" t="s">
        <v>72</v>
      </c>
      <c r="G2426" t="s">
        <v>3429</v>
      </c>
      <c r="H2426">
        <v>55.86</v>
      </c>
      <c r="I2426">
        <v>7</v>
      </c>
      <c r="J2426">
        <v>27.93</v>
      </c>
      <c r="K2426">
        <v>2014</v>
      </c>
      <c r="L2426">
        <v>9</v>
      </c>
      <c r="M2426" t="s">
        <v>87</v>
      </c>
      <c r="N2426">
        <v>22</v>
      </c>
      <c r="O2426">
        <v>4</v>
      </c>
      <c r="P2426">
        <v>50</v>
      </c>
      <c r="Q2426">
        <v>7.98</v>
      </c>
      <c r="R2426" t="s">
        <v>26</v>
      </c>
      <c r="S2426" t="b">
        <v>0</v>
      </c>
      <c r="T2426" t="b">
        <v>0</v>
      </c>
    </row>
    <row r="2427" spans="1:20" x14ac:dyDescent="0.3">
      <c r="A2427" t="s">
        <v>3430</v>
      </c>
      <c r="B2427" s="1">
        <v>41954</v>
      </c>
      <c r="C2427" s="1">
        <v>41961</v>
      </c>
      <c r="D2427" t="s">
        <v>3431</v>
      </c>
      <c r="E2427" t="s">
        <v>22</v>
      </c>
      <c r="F2427" t="s">
        <v>110</v>
      </c>
      <c r="G2427" t="s">
        <v>1332</v>
      </c>
      <c r="H2427">
        <v>241.42400000000001</v>
      </c>
      <c r="I2427">
        <v>2</v>
      </c>
      <c r="J2427">
        <v>-36.2136</v>
      </c>
      <c r="K2427">
        <v>2014</v>
      </c>
      <c r="L2427">
        <v>11</v>
      </c>
      <c r="M2427" t="s">
        <v>70</v>
      </c>
      <c r="N2427">
        <v>11</v>
      </c>
      <c r="O2427">
        <v>7</v>
      </c>
      <c r="P2427">
        <v>-15</v>
      </c>
      <c r="Q2427">
        <v>120.712</v>
      </c>
      <c r="R2427" t="s">
        <v>26</v>
      </c>
      <c r="S2427" t="b">
        <v>1</v>
      </c>
      <c r="T2427" t="b">
        <v>1</v>
      </c>
    </row>
    <row r="2428" spans="1:20" x14ac:dyDescent="0.3">
      <c r="A2428" t="s">
        <v>3432</v>
      </c>
      <c r="B2428" s="1">
        <v>40679</v>
      </c>
      <c r="C2428" s="1">
        <v>40683</v>
      </c>
      <c r="D2428" t="s">
        <v>2348</v>
      </c>
      <c r="E2428" t="s">
        <v>51</v>
      </c>
      <c r="F2428" t="s">
        <v>61</v>
      </c>
      <c r="G2428" t="s">
        <v>1778</v>
      </c>
      <c r="H2428">
        <v>56.4</v>
      </c>
      <c r="I2428">
        <v>3</v>
      </c>
      <c r="J2428">
        <v>3.3839999999999999</v>
      </c>
      <c r="K2428">
        <v>2011</v>
      </c>
      <c r="L2428">
        <v>5</v>
      </c>
      <c r="M2428" t="s">
        <v>47</v>
      </c>
      <c r="N2428">
        <v>16</v>
      </c>
      <c r="O2428">
        <v>4</v>
      </c>
      <c r="P2428">
        <v>6</v>
      </c>
      <c r="Q2428">
        <v>18.8</v>
      </c>
      <c r="R2428" t="s">
        <v>26</v>
      </c>
      <c r="S2428" t="b">
        <v>0</v>
      </c>
      <c r="T2428" t="b">
        <v>0</v>
      </c>
    </row>
    <row r="2429" spans="1:20" x14ac:dyDescent="0.3">
      <c r="A2429" t="s">
        <v>3433</v>
      </c>
      <c r="B2429" s="1">
        <v>41708</v>
      </c>
      <c r="C2429" s="1">
        <v>41712</v>
      </c>
      <c r="D2429" t="s">
        <v>3434</v>
      </c>
      <c r="E2429" t="s">
        <v>22</v>
      </c>
      <c r="F2429" t="s">
        <v>1342</v>
      </c>
      <c r="G2429" t="s">
        <v>1343</v>
      </c>
      <c r="H2429">
        <v>479.98399999999998</v>
      </c>
      <c r="I2429">
        <v>2</v>
      </c>
      <c r="J2429">
        <v>59.997999999999998</v>
      </c>
      <c r="K2429">
        <v>2014</v>
      </c>
      <c r="L2429">
        <v>3</v>
      </c>
      <c r="M2429" t="s">
        <v>135</v>
      </c>
      <c r="N2429">
        <v>10</v>
      </c>
      <c r="O2429">
        <v>4</v>
      </c>
      <c r="P2429">
        <v>12.5</v>
      </c>
      <c r="Q2429">
        <v>239.99199999999999</v>
      </c>
      <c r="R2429" t="s">
        <v>26</v>
      </c>
      <c r="S2429" t="b">
        <v>0</v>
      </c>
      <c r="T2429" t="b">
        <v>1</v>
      </c>
    </row>
    <row r="2430" spans="1:20" x14ac:dyDescent="0.3">
      <c r="A2430" t="s">
        <v>3433</v>
      </c>
      <c r="B2430" s="1">
        <v>41708</v>
      </c>
      <c r="C2430" s="1">
        <v>41712</v>
      </c>
      <c r="D2430" t="s">
        <v>3434</v>
      </c>
      <c r="E2430" t="s">
        <v>22</v>
      </c>
      <c r="F2430" t="s">
        <v>33</v>
      </c>
      <c r="G2430" t="s">
        <v>34</v>
      </c>
      <c r="H2430">
        <v>30.84</v>
      </c>
      <c r="I2430">
        <v>5</v>
      </c>
      <c r="J2430">
        <v>9.6374999999999993</v>
      </c>
      <c r="K2430">
        <v>2014</v>
      </c>
      <c r="L2430">
        <v>3</v>
      </c>
      <c r="M2430" t="s">
        <v>135</v>
      </c>
      <c r="N2430">
        <v>10</v>
      </c>
      <c r="O2430">
        <v>4</v>
      </c>
      <c r="P2430">
        <v>31.25</v>
      </c>
      <c r="Q2430">
        <v>6.1680000000000001</v>
      </c>
      <c r="R2430" t="s">
        <v>26</v>
      </c>
      <c r="S2430" t="b">
        <v>0</v>
      </c>
      <c r="T2430" t="b">
        <v>0</v>
      </c>
    </row>
    <row r="2431" spans="1:20" x14ac:dyDescent="0.3">
      <c r="A2431" t="s">
        <v>3435</v>
      </c>
      <c r="B2431" s="1">
        <v>41248</v>
      </c>
      <c r="C2431" s="1">
        <v>41253</v>
      </c>
      <c r="D2431" t="s">
        <v>700</v>
      </c>
      <c r="E2431" t="s">
        <v>22</v>
      </c>
      <c r="F2431" t="s">
        <v>61</v>
      </c>
      <c r="G2431" t="s">
        <v>1594</v>
      </c>
      <c r="H2431">
        <v>39</v>
      </c>
      <c r="I2431">
        <v>3</v>
      </c>
      <c r="J2431">
        <v>17.55</v>
      </c>
      <c r="K2431">
        <v>2012</v>
      </c>
      <c r="L2431">
        <v>12</v>
      </c>
      <c r="M2431" t="s">
        <v>41</v>
      </c>
      <c r="N2431">
        <v>5</v>
      </c>
      <c r="O2431">
        <v>5</v>
      </c>
      <c r="P2431">
        <v>45</v>
      </c>
      <c r="Q2431">
        <v>13</v>
      </c>
      <c r="R2431" t="s">
        <v>26</v>
      </c>
      <c r="S2431" t="b">
        <v>0</v>
      </c>
      <c r="T2431" t="b">
        <v>0</v>
      </c>
    </row>
    <row r="2432" spans="1:20" x14ac:dyDescent="0.3">
      <c r="A2432" t="s">
        <v>3435</v>
      </c>
      <c r="B2432" s="1">
        <v>41248</v>
      </c>
      <c r="C2432" s="1">
        <v>41253</v>
      </c>
      <c r="D2432" t="s">
        <v>700</v>
      </c>
      <c r="E2432" t="s">
        <v>22</v>
      </c>
      <c r="F2432" t="s">
        <v>23</v>
      </c>
      <c r="G2432" t="s">
        <v>665</v>
      </c>
      <c r="H2432">
        <v>12.6</v>
      </c>
      <c r="I2432">
        <v>4</v>
      </c>
      <c r="J2432">
        <v>6.048</v>
      </c>
      <c r="K2432">
        <v>2012</v>
      </c>
      <c r="L2432">
        <v>12</v>
      </c>
      <c r="M2432" t="s">
        <v>41</v>
      </c>
      <c r="N2432">
        <v>5</v>
      </c>
      <c r="O2432">
        <v>5</v>
      </c>
      <c r="P2432">
        <v>48</v>
      </c>
      <c r="Q2432">
        <v>3.15</v>
      </c>
      <c r="R2432" t="s">
        <v>26</v>
      </c>
      <c r="S2432" t="b">
        <v>0</v>
      </c>
      <c r="T2432" t="b">
        <v>0</v>
      </c>
    </row>
    <row r="2433" spans="1:20" x14ac:dyDescent="0.3">
      <c r="A2433" t="s">
        <v>3436</v>
      </c>
      <c r="B2433" s="1">
        <v>41163</v>
      </c>
      <c r="C2433" s="1">
        <v>41164</v>
      </c>
      <c r="D2433" t="s">
        <v>700</v>
      </c>
      <c r="E2433" t="s">
        <v>99</v>
      </c>
      <c r="F2433" t="s">
        <v>29</v>
      </c>
      <c r="G2433" t="s">
        <v>340</v>
      </c>
      <c r="H2433">
        <v>24.64</v>
      </c>
      <c r="I2433">
        <v>4</v>
      </c>
      <c r="J2433">
        <v>4.0039999999999996</v>
      </c>
      <c r="K2433">
        <v>2012</v>
      </c>
      <c r="L2433">
        <v>9</v>
      </c>
      <c r="M2433" t="s">
        <v>87</v>
      </c>
      <c r="N2433">
        <v>11</v>
      </c>
      <c r="O2433">
        <v>1</v>
      </c>
      <c r="P2433">
        <v>16.25</v>
      </c>
      <c r="Q2433">
        <v>6.16</v>
      </c>
      <c r="R2433" t="s">
        <v>26</v>
      </c>
      <c r="S2433" t="b">
        <v>0</v>
      </c>
      <c r="T2433" t="b">
        <v>0</v>
      </c>
    </row>
    <row r="2434" spans="1:20" x14ac:dyDescent="0.3">
      <c r="A2434" t="s">
        <v>3437</v>
      </c>
      <c r="B2434" s="1">
        <v>40805</v>
      </c>
      <c r="C2434" s="1">
        <v>40805</v>
      </c>
      <c r="D2434" t="s">
        <v>1830</v>
      </c>
      <c r="E2434" t="s">
        <v>51</v>
      </c>
      <c r="F2434" t="s">
        <v>119</v>
      </c>
      <c r="G2434" t="s">
        <v>3438</v>
      </c>
      <c r="H2434">
        <v>5.67</v>
      </c>
      <c r="I2434">
        <v>3</v>
      </c>
      <c r="J2434">
        <v>0.1134</v>
      </c>
      <c r="K2434">
        <v>2011</v>
      </c>
      <c r="L2434">
        <v>9</v>
      </c>
      <c r="M2434" t="s">
        <v>87</v>
      </c>
      <c r="N2434">
        <v>19</v>
      </c>
      <c r="O2434">
        <v>0</v>
      </c>
      <c r="P2434">
        <v>2</v>
      </c>
      <c r="Q2434">
        <v>1.89</v>
      </c>
      <c r="R2434" t="s">
        <v>26</v>
      </c>
      <c r="S2434" t="b">
        <v>0</v>
      </c>
      <c r="T2434" t="b">
        <v>0</v>
      </c>
    </row>
    <row r="2435" spans="1:20" x14ac:dyDescent="0.3">
      <c r="A2435" t="s">
        <v>3439</v>
      </c>
      <c r="B2435" s="1">
        <v>40579</v>
      </c>
      <c r="C2435" s="1">
        <v>40583</v>
      </c>
      <c r="D2435" t="s">
        <v>3440</v>
      </c>
      <c r="E2435" t="s">
        <v>704</v>
      </c>
      <c r="F2435" t="s">
        <v>33</v>
      </c>
      <c r="G2435" t="s">
        <v>997</v>
      </c>
      <c r="H2435">
        <v>17.248000000000001</v>
      </c>
      <c r="I2435">
        <v>2</v>
      </c>
      <c r="J2435">
        <v>6.0368000000000004</v>
      </c>
      <c r="K2435">
        <v>2011</v>
      </c>
      <c r="L2435">
        <v>2</v>
      </c>
      <c r="M2435" t="s">
        <v>303</v>
      </c>
      <c r="N2435">
        <v>5</v>
      </c>
      <c r="O2435">
        <v>4</v>
      </c>
      <c r="P2435">
        <v>35</v>
      </c>
      <c r="Q2435">
        <v>8.6240000000000006</v>
      </c>
      <c r="R2435" t="s">
        <v>48</v>
      </c>
      <c r="S2435" t="b">
        <v>0</v>
      </c>
      <c r="T2435" t="b">
        <v>0</v>
      </c>
    </row>
    <row r="2436" spans="1:20" x14ac:dyDescent="0.3">
      <c r="A2436" t="s">
        <v>3441</v>
      </c>
      <c r="B2436" s="1">
        <v>41832</v>
      </c>
      <c r="C2436" s="1">
        <v>41839</v>
      </c>
      <c r="D2436" t="s">
        <v>361</v>
      </c>
      <c r="E2436" t="s">
        <v>22</v>
      </c>
      <c r="F2436" t="s">
        <v>35</v>
      </c>
      <c r="G2436" t="s">
        <v>571</v>
      </c>
      <c r="H2436">
        <v>168.1</v>
      </c>
      <c r="I2436">
        <v>5</v>
      </c>
      <c r="J2436">
        <v>43.706000000000003</v>
      </c>
      <c r="K2436">
        <v>2014</v>
      </c>
      <c r="L2436">
        <v>7</v>
      </c>
      <c r="M2436" t="s">
        <v>66</v>
      </c>
      <c r="N2436">
        <v>12</v>
      </c>
      <c r="O2436">
        <v>7</v>
      </c>
      <c r="P2436">
        <v>26</v>
      </c>
      <c r="Q2436">
        <v>33.619999999999997</v>
      </c>
      <c r="R2436" t="s">
        <v>26</v>
      </c>
      <c r="S2436" t="b">
        <v>0</v>
      </c>
      <c r="T2436" t="b">
        <v>0</v>
      </c>
    </row>
    <row r="2437" spans="1:20" x14ac:dyDescent="0.3">
      <c r="A2437" t="s">
        <v>3442</v>
      </c>
      <c r="B2437" s="1">
        <v>41753</v>
      </c>
      <c r="C2437" s="1">
        <v>41756</v>
      </c>
      <c r="D2437" t="s">
        <v>3038</v>
      </c>
      <c r="E2437" t="s">
        <v>3443</v>
      </c>
      <c r="F2437" t="s">
        <v>128</v>
      </c>
      <c r="G2437" t="s">
        <v>155</v>
      </c>
      <c r="H2437">
        <v>18.687999999999999</v>
      </c>
      <c r="I2437">
        <v>2</v>
      </c>
      <c r="J2437">
        <v>7.008</v>
      </c>
      <c r="K2437">
        <v>2014</v>
      </c>
      <c r="L2437">
        <v>4</v>
      </c>
      <c r="M2437" t="s">
        <v>236</v>
      </c>
      <c r="N2437">
        <v>24</v>
      </c>
      <c r="O2437">
        <v>3</v>
      </c>
      <c r="P2437">
        <v>37.5</v>
      </c>
      <c r="Q2437">
        <v>9.3439999999999994</v>
      </c>
      <c r="R2437" t="s">
        <v>26</v>
      </c>
      <c r="S2437" t="b">
        <v>0</v>
      </c>
      <c r="T2437" t="b">
        <v>0</v>
      </c>
    </row>
    <row r="2438" spans="1:20" x14ac:dyDescent="0.3">
      <c r="A2438" t="s">
        <v>3442</v>
      </c>
      <c r="B2438" s="1">
        <v>41753</v>
      </c>
      <c r="C2438" s="1">
        <v>41756</v>
      </c>
      <c r="D2438" t="s">
        <v>3038</v>
      </c>
      <c r="E2438" t="s">
        <v>3443</v>
      </c>
      <c r="F2438" t="s">
        <v>29</v>
      </c>
      <c r="G2438" t="s">
        <v>3444</v>
      </c>
      <c r="H2438">
        <v>11.664</v>
      </c>
      <c r="I2438">
        <v>3</v>
      </c>
      <c r="J2438">
        <v>3.3534000000000002</v>
      </c>
      <c r="K2438">
        <v>2014</v>
      </c>
      <c r="L2438">
        <v>4</v>
      </c>
      <c r="M2438" t="s">
        <v>236</v>
      </c>
      <c r="N2438">
        <v>24</v>
      </c>
      <c r="O2438">
        <v>3</v>
      </c>
      <c r="P2438">
        <v>28.75</v>
      </c>
      <c r="Q2438">
        <v>3.8879999999999999</v>
      </c>
      <c r="R2438" t="s">
        <v>26</v>
      </c>
      <c r="S2438" t="b">
        <v>0</v>
      </c>
      <c r="T2438" t="b">
        <v>0</v>
      </c>
    </row>
    <row r="2439" spans="1:20" x14ac:dyDescent="0.3">
      <c r="A2439" t="s">
        <v>3445</v>
      </c>
      <c r="B2439" s="1">
        <v>41575</v>
      </c>
      <c r="C2439" s="1">
        <v>41579</v>
      </c>
      <c r="D2439" t="s">
        <v>3446</v>
      </c>
      <c r="E2439" t="s">
        <v>51</v>
      </c>
      <c r="F2439" t="s">
        <v>33</v>
      </c>
      <c r="G2439" t="s">
        <v>3372</v>
      </c>
      <c r="H2439">
        <v>67.135999999999996</v>
      </c>
      <c r="I2439">
        <v>4</v>
      </c>
      <c r="J2439">
        <v>25.175999999999998</v>
      </c>
      <c r="K2439">
        <v>2013</v>
      </c>
      <c r="L2439">
        <v>10</v>
      </c>
      <c r="M2439" t="s">
        <v>82</v>
      </c>
      <c r="N2439">
        <v>28</v>
      </c>
      <c r="O2439">
        <v>4</v>
      </c>
      <c r="P2439">
        <v>37.5</v>
      </c>
      <c r="Q2439">
        <v>16.783999999999999</v>
      </c>
      <c r="R2439" t="s">
        <v>48</v>
      </c>
      <c r="S2439" t="b">
        <v>0</v>
      </c>
      <c r="T2439" t="b">
        <v>0</v>
      </c>
    </row>
    <row r="2440" spans="1:20" x14ac:dyDescent="0.3">
      <c r="A2440" t="s">
        <v>3447</v>
      </c>
      <c r="B2440" s="1">
        <v>40873</v>
      </c>
      <c r="C2440" s="1">
        <v>40878</v>
      </c>
      <c r="D2440" t="s">
        <v>2404</v>
      </c>
      <c r="E2440" t="s">
        <v>737</v>
      </c>
      <c r="F2440" t="s">
        <v>33</v>
      </c>
      <c r="G2440" t="s">
        <v>601</v>
      </c>
      <c r="H2440">
        <v>4.32</v>
      </c>
      <c r="I2440">
        <v>3</v>
      </c>
      <c r="J2440">
        <v>1.512</v>
      </c>
      <c r="K2440">
        <v>2011</v>
      </c>
      <c r="L2440">
        <v>11</v>
      </c>
      <c r="M2440" t="s">
        <v>70</v>
      </c>
      <c r="N2440">
        <v>26</v>
      </c>
      <c r="O2440">
        <v>5</v>
      </c>
      <c r="P2440">
        <v>35</v>
      </c>
      <c r="Q2440">
        <v>1.44</v>
      </c>
      <c r="R2440" t="s">
        <v>26</v>
      </c>
      <c r="S2440" t="b">
        <v>0</v>
      </c>
      <c r="T2440" t="b">
        <v>0</v>
      </c>
    </row>
    <row r="2441" spans="1:20" x14ac:dyDescent="0.3">
      <c r="A2441" t="s">
        <v>3447</v>
      </c>
      <c r="B2441" s="1">
        <v>40873</v>
      </c>
      <c r="C2441" s="1">
        <v>40878</v>
      </c>
      <c r="D2441" t="s">
        <v>2404</v>
      </c>
      <c r="E2441" t="s">
        <v>737</v>
      </c>
      <c r="F2441" t="s">
        <v>72</v>
      </c>
      <c r="G2441" t="s">
        <v>895</v>
      </c>
      <c r="H2441">
        <v>14.94</v>
      </c>
      <c r="I2441">
        <v>3</v>
      </c>
      <c r="J2441">
        <v>7.0217999999999998</v>
      </c>
      <c r="K2441">
        <v>2011</v>
      </c>
      <c r="L2441">
        <v>11</v>
      </c>
      <c r="M2441" t="s">
        <v>70</v>
      </c>
      <c r="N2441">
        <v>26</v>
      </c>
      <c r="O2441">
        <v>5</v>
      </c>
      <c r="P2441">
        <v>47</v>
      </c>
      <c r="Q2441">
        <v>4.9800000000000004</v>
      </c>
      <c r="R2441" t="s">
        <v>26</v>
      </c>
      <c r="S2441" t="b">
        <v>0</v>
      </c>
      <c r="T2441" t="b">
        <v>0</v>
      </c>
    </row>
    <row r="2442" spans="1:20" x14ac:dyDescent="0.3">
      <c r="A2442" t="s">
        <v>3447</v>
      </c>
      <c r="B2442" s="1">
        <v>40873</v>
      </c>
      <c r="C2442" s="1">
        <v>40878</v>
      </c>
      <c r="D2442" t="s">
        <v>2404</v>
      </c>
      <c r="E2442" t="s">
        <v>737</v>
      </c>
      <c r="F2442" t="s">
        <v>35</v>
      </c>
      <c r="G2442" t="s">
        <v>1239</v>
      </c>
      <c r="H2442">
        <v>40.54</v>
      </c>
      <c r="I2442">
        <v>2</v>
      </c>
      <c r="J2442">
        <v>11.3512</v>
      </c>
      <c r="K2442">
        <v>2011</v>
      </c>
      <c r="L2442">
        <v>11</v>
      </c>
      <c r="M2442" t="s">
        <v>70</v>
      </c>
      <c r="N2442">
        <v>26</v>
      </c>
      <c r="O2442">
        <v>5</v>
      </c>
      <c r="P2442">
        <v>28</v>
      </c>
      <c r="Q2442">
        <v>20.27</v>
      </c>
      <c r="R2442" t="s">
        <v>26</v>
      </c>
      <c r="S2442" t="b">
        <v>0</v>
      </c>
      <c r="T2442" t="b">
        <v>0</v>
      </c>
    </row>
    <row r="2443" spans="1:20" x14ac:dyDescent="0.3">
      <c r="A2443" t="s">
        <v>3447</v>
      </c>
      <c r="B2443" s="1">
        <v>40873</v>
      </c>
      <c r="C2443" s="1">
        <v>40878</v>
      </c>
      <c r="D2443" t="s">
        <v>2404</v>
      </c>
      <c r="E2443" t="s">
        <v>737</v>
      </c>
      <c r="F2443" t="s">
        <v>33</v>
      </c>
      <c r="G2443" t="s">
        <v>2430</v>
      </c>
      <c r="H2443">
        <v>7.3120000000000003</v>
      </c>
      <c r="I2443">
        <v>1</v>
      </c>
      <c r="J2443">
        <v>2.5592000000000001</v>
      </c>
      <c r="K2443">
        <v>2011</v>
      </c>
      <c r="L2443">
        <v>11</v>
      </c>
      <c r="M2443" t="s">
        <v>70</v>
      </c>
      <c r="N2443">
        <v>26</v>
      </c>
      <c r="O2443">
        <v>5</v>
      </c>
      <c r="P2443">
        <v>35</v>
      </c>
      <c r="Q2443">
        <v>7.3120000000000003</v>
      </c>
      <c r="R2443" t="s">
        <v>26</v>
      </c>
      <c r="S2443" t="b">
        <v>0</v>
      </c>
      <c r="T2443" t="b">
        <v>0</v>
      </c>
    </row>
    <row r="2444" spans="1:20" x14ac:dyDescent="0.3">
      <c r="A2444" t="s">
        <v>3448</v>
      </c>
      <c r="B2444" s="1">
        <v>40908</v>
      </c>
      <c r="C2444" s="1">
        <v>40908</v>
      </c>
      <c r="D2444" t="s">
        <v>2399</v>
      </c>
      <c r="E2444" t="s">
        <v>696</v>
      </c>
      <c r="F2444" t="s">
        <v>54</v>
      </c>
      <c r="G2444" t="s">
        <v>2849</v>
      </c>
      <c r="H2444">
        <v>475.94400000000002</v>
      </c>
      <c r="I2444">
        <v>7</v>
      </c>
      <c r="J2444">
        <v>59.493000000000002</v>
      </c>
      <c r="K2444">
        <v>2011</v>
      </c>
      <c r="L2444">
        <v>12</v>
      </c>
      <c r="M2444" t="s">
        <v>41</v>
      </c>
      <c r="N2444">
        <v>31</v>
      </c>
      <c r="O2444">
        <v>0</v>
      </c>
      <c r="P2444">
        <v>12.5</v>
      </c>
      <c r="Q2444">
        <v>67.992000000000004</v>
      </c>
      <c r="R2444" t="s">
        <v>26</v>
      </c>
      <c r="S2444" t="b">
        <v>0</v>
      </c>
      <c r="T2444" t="b">
        <v>1</v>
      </c>
    </row>
    <row r="2445" spans="1:20" x14ac:dyDescent="0.3">
      <c r="A2445" t="s">
        <v>3449</v>
      </c>
      <c r="B2445" s="1">
        <v>41957</v>
      </c>
      <c r="C2445" s="1">
        <v>41961</v>
      </c>
      <c r="D2445" t="s">
        <v>1482</v>
      </c>
      <c r="E2445" t="s">
        <v>2844</v>
      </c>
      <c r="F2445" t="s">
        <v>61</v>
      </c>
      <c r="G2445" t="s">
        <v>1387</v>
      </c>
      <c r="H2445">
        <v>82.95</v>
      </c>
      <c r="I2445">
        <v>5</v>
      </c>
      <c r="J2445">
        <v>29.032499999999999</v>
      </c>
      <c r="K2445">
        <v>2014</v>
      </c>
      <c r="L2445">
        <v>11</v>
      </c>
      <c r="M2445" t="s">
        <v>70</v>
      </c>
      <c r="N2445">
        <v>14</v>
      </c>
      <c r="O2445">
        <v>4</v>
      </c>
      <c r="P2445">
        <v>35</v>
      </c>
      <c r="Q2445">
        <v>16.59</v>
      </c>
      <c r="R2445" t="s">
        <v>26</v>
      </c>
      <c r="S2445" t="b">
        <v>0</v>
      </c>
      <c r="T2445" t="b">
        <v>0</v>
      </c>
    </row>
    <row r="2446" spans="1:20" x14ac:dyDescent="0.3">
      <c r="A2446" t="s">
        <v>3450</v>
      </c>
      <c r="B2446" s="1">
        <v>41302</v>
      </c>
      <c r="C2446" s="1">
        <v>41306</v>
      </c>
      <c r="D2446" t="s">
        <v>769</v>
      </c>
      <c r="E2446" t="s">
        <v>22</v>
      </c>
      <c r="F2446" t="s">
        <v>31</v>
      </c>
      <c r="G2446" t="s">
        <v>1547</v>
      </c>
      <c r="H2446">
        <v>39.68</v>
      </c>
      <c r="I2446">
        <v>2</v>
      </c>
      <c r="J2446">
        <v>10.316800000000001</v>
      </c>
      <c r="K2446">
        <v>2013</v>
      </c>
      <c r="L2446">
        <v>1</v>
      </c>
      <c r="M2446" t="s">
        <v>60</v>
      </c>
      <c r="N2446">
        <v>28</v>
      </c>
      <c r="O2446">
        <v>4</v>
      </c>
      <c r="P2446">
        <v>26</v>
      </c>
      <c r="Q2446">
        <v>19.84</v>
      </c>
      <c r="R2446" t="s">
        <v>26</v>
      </c>
      <c r="S2446" t="b">
        <v>0</v>
      </c>
      <c r="T2446" t="b">
        <v>0</v>
      </c>
    </row>
    <row r="2447" spans="1:20" x14ac:dyDescent="0.3">
      <c r="A2447" t="s">
        <v>3451</v>
      </c>
      <c r="B2447" s="1">
        <v>41588</v>
      </c>
      <c r="C2447" s="1">
        <v>41593</v>
      </c>
      <c r="D2447" t="s">
        <v>623</v>
      </c>
      <c r="E2447" t="s">
        <v>663</v>
      </c>
      <c r="F2447" t="s">
        <v>61</v>
      </c>
      <c r="G2447" t="s">
        <v>3452</v>
      </c>
      <c r="H2447">
        <v>479.97</v>
      </c>
      <c r="I2447">
        <v>3</v>
      </c>
      <c r="J2447">
        <v>177.5889</v>
      </c>
      <c r="K2447">
        <v>2013</v>
      </c>
      <c r="L2447">
        <v>11</v>
      </c>
      <c r="M2447" t="s">
        <v>70</v>
      </c>
      <c r="N2447">
        <v>10</v>
      </c>
      <c r="O2447">
        <v>5</v>
      </c>
      <c r="P2447">
        <v>37</v>
      </c>
      <c r="Q2447">
        <v>159.99</v>
      </c>
      <c r="R2447" t="s">
        <v>26</v>
      </c>
      <c r="S2447" t="b">
        <v>0</v>
      </c>
      <c r="T2447" t="b">
        <v>1</v>
      </c>
    </row>
    <row r="2448" spans="1:20" x14ac:dyDescent="0.3">
      <c r="A2448" t="s">
        <v>3453</v>
      </c>
      <c r="B2448" s="1">
        <v>41528</v>
      </c>
      <c r="C2448" s="1">
        <v>41532</v>
      </c>
      <c r="D2448" t="s">
        <v>3454</v>
      </c>
      <c r="E2448" t="s">
        <v>521</v>
      </c>
      <c r="F2448" t="s">
        <v>23</v>
      </c>
      <c r="G2448" t="s">
        <v>2946</v>
      </c>
      <c r="H2448">
        <v>7.38</v>
      </c>
      <c r="I2448">
        <v>2</v>
      </c>
      <c r="J2448">
        <v>3.4685999999999999</v>
      </c>
      <c r="K2448">
        <v>2013</v>
      </c>
      <c r="L2448">
        <v>9</v>
      </c>
      <c r="M2448" t="s">
        <v>87</v>
      </c>
      <c r="N2448">
        <v>11</v>
      </c>
      <c r="O2448">
        <v>4</v>
      </c>
      <c r="P2448">
        <v>47</v>
      </c>
      <c r="Q2448">
        <v>3.69</v>
      </c>
      <c r="R2448" t="s">
        <v>26</v>
      </c>
      <c r="S2448" t="b">
        <v>0</v>
      </c>
      <c r="T2448" t="b">
        <v>0</v>
      </c>
    </row>
    <row r="2449" spans="1:20" x14ac:dyDescent="0.3">
      <c r="A2449" t="s">
        <v>3453</v>
      </c>
      <c r="B2449" s="1">
        <v>41528</v>
      </c>
      <c r="C2449" s="1">
        <v>41532</v>
      </c>
      <c r="D2449" t="s">
        <v>3454</v>
      </c>
      <c r="E2449" t="s">
        <v>521</v>
      </c>
      <c r="F2449" t="s">
        <v>33</v>
      </c>
      <c r="G2449" t="s">
        <v>240</v>
      </c>
      <c r="H2449">
        <v>14.256</v>
      </c>
      <c r="I2449">
        <v>3</v>
      </c>
      <c r="J2449">
        <v>4.4550000000000001</v>
      </c>
      <c r="K2449">
        <v>2013</v>
      </c>
      <c r="L2449">
        <v>9</v>
      </c>
      <c r="M2449" t="s">
        <v>87</v>
      </c>
      <c r="N2449">
        <v>11</v>
      </c>
      <c r="O2449">
        <v>4</v>
      </c>
      <c r="P2449">
        <v>31.25</v>
      </c>
      <c r="Q2449">
        <v>4.7519999999999998</v>
      </c>
      <c r="R2449" t="s">
        <v>26</v>
      </c>
      <c r="S2449" t="b">
        <v>0</v>
      </c>
      <c r="T2449" t="b">
        <v>0</v>
      </c>
    </row>
    <row r="2450" spans="1:20" x14ac:dyDescent="0.3">
      <c r="A2450" t="s">
        <v>3453</v>
      </c>
      <c r="B2450" s="1">
        <v>41528</v>
      </c>
      <c r="C2450" s="1">
        <v>41532</v>
      </c>
      <c r="D2450" t="s">
        <v>3454</v>
      </c>
      <c r="E2450" t="s">
        <v>521</v>
      </c>
      <c r="F2450" t="s">
        <v>72</v>
      </c>
      <c r="G2450" t="s">
        <v>2683</v>
      </c>
      <c r="H2450">
        <v>81.98</v>
      </c>
      <c r="I2450">
        <v>2</v>
      </c>
      <c r="J2450">
        <v>40.170200000000001</v>
      </c>
      <c r="K2450">
        <v>2013</v>
      </c>
      <c r="L2450">
        <v>9</v>
      </c>
      <c r="M2450" t="s">
        <v>87</v>
      </c>
      <c r="N2450">
        <v>11</v>
      </c>
      <c r="O2450">
        <v>4</v>
      </c>
      <c r="P2450">
        <v>49</v>
      </c>
      <c r="Q2450">
        <v>40.99</v>
      </c>
      <c r="R2450" t="s">
        <v>26</v>
      </c>
      <c r="S2450" t="b">
        <v>0</v>
      </c>
      <c r="T2450" t="b">
        <v>0</v>
      </c>
    </row>
    <row r="2451" spans="1:20" x14ac:dyDescent="0.3">
      <c r="A2451" t="s">
        <v>3453</v>
      </c>
      <c r="B2451" s="1">
        <v>41528</v>
      </c>
      <c r="C2451" s="1">
        <v>41532</v>
      </c>
      <c r="D2451" t="s">
        <v>3454</v>
      </c>
      <c r="E2451" t="s">
        <v>521</v>
      </c>
      <c r="F2451" t="s">
        <v>33</v>
      </c>
      <c r="G2451" t="s">
        <v>2644</v>
      </c>
      <c r="H2451">
        <v>39.624000000000002</v>
      </c>
      <c r="I2451">
        <v>3</v>
      </c>
      <c r="J2451">
        <v>13.868399999999999</v>
      </c>
      <c r="K2451">
        <v>2013</v>
      </c>
      <c r="L2451">
        <v>9</v>
      </c>
      <c r="M2451" t="s">
        <v>87</v>
      </c>
      <c r="N2451">
        <v>11</v>
      </c>
      <c r="O2451">
        <v>4</v>
      </c>
      <c r="P2451">
        <v>35</v>
      </c>
      <c r="Q2451">
        <v>13.208</v>
      </c>
      <c r="R2451" t="s">
        <v>26</v>
      </c>
      <c r="S2451" t="b">
        <v>0</v>
      </c>
      <c r="T2451" t="b">
        <v>0</v>
      </c>
    </row>
    <row r="2452" spans="1:20" x14ac:dyDescent="0.3">
      <c r="A2452" t="s">
        <v>3455</v>
      </c>
      <c r="B2452" s="1">
        <v>41702</v>
      </c>
      <c r="C2452" s="1">
        <v>41707</v>
      </c>
      <c r="D2452" t="s">
        <v>1397</v>
      </c>
      <c r="E2452" t="s">
        <v>22</v>
      </c>
      <c r="F2452" t="s">
        <v>174</v>
      </c>
      <c r="G2452" t="s">
        <v>1639</v>
      </c>
      <c r="H2452">
        <v>399.67200000000003</v>
      </c>
      <c r="I2452">
        <v>7</v>
      </c>
      <c r="J2452">
        <v>-14.9877</v>
      </c>
      <c r="K2452">
        <v>2014</v>
      </c>
      <c r="L2452">
        <v>3</v>
      </c>
      <c r="M2452" t="s">
        <v>135</v>
      </c>
      <c r="N2452">
        <v>4</v>
      </c>
      <c r="O2452">
        <v>5</v>
      </c>
      <c r="P2452">
        <v>-3.75</v>
      </c>
      <c r="Q2452">
        <v>57.095999999999997</v>
      </c>
      <c r="R2452" t="s">
        <v>26</v>
      </c>
      <c r="S2452" t="b">
        <v>1</v>
      </c>
      <c r="T2452" t="b">
        <v>1</v>
      </c>
    </row>
    <row r="2453" spans="1:20" x14ac:dyDescent="0.3">
      <c r="A2453" t="s">
        <v>3456</v>
      </c>
      <c r="B2453" s="1">
        <v>41606</v>
      </c>
      <c r="C2453" s="1">
        <v>41610</v>
      </c>
      <c r="D2453" t="s">
        <v>3457</v>
      </c>
      <c r="E2453" t="s">
        <v>105</v>
      </c>
      <c r="F2453" t="s">
        <v>45</v>
      </c>
      <c r="G2453" t="s">
        <v>1435</v>
      </c>
      <c r="H2453">
        <v>39.808</v>
      </c>
      <c r="I2453">
        <v>4</v>
      </c>
      <c r="J2453">
        <v>3.9807999999999999</v>
      </c>
      <c r="K2453">
        <v>2013</v>
      </c>
      <c r="L2453">
        <v>11</v>
      </c>
      <c r="M2453" t="s">
        <v>70</v>
      </c>
      <c r="N2453">
        <v>28</v>
      </c>
      <c r="O2453">
        <v>4</v>
      </c>
      <c r="P2453">
        <v>10</v>
      </c>
      <c r="Q2453">
        <v>9.952</v>
      </c>
      <c r="R2453" t="s">
        <v>48</v>
      </c>
      <c r="S2453" t="b">
        <v>0</v>
      </c>
      <c r="T2453" t="b">
        <v>0</v>
      </c>
    </row>
    <row r="2454" spans="1:20" x14ac:dyDescent="0.3">
      <c r="A2454" t="s">
        <v>3458</v>
      </c>
      <c r="B2454" s="1">
        <v>41251</v>
      </c>
      <c r="C2454" s="1">
        <v>41255</v>
      </c>
      <c r="D2454" t="s">
        <v>769</v>
      </c>
      <c r="E2454" t="s">
        <v>216</v>
      </c>
      <c r="F2454" t="s">
        <v>72</v>
      </c>
      <c r="G2454" t="s">
        <v>3459</v>
      </c>
      <c r="H2454">
        <v>15.696</v>
      </c>
      <c r="I2454">
        <v>3</v>
      </c>
      <c r="J2454">
        <v>5.1012000000000004</v>
      </c>
      <c r="K2454">
        <v>2012</v>
      </c>
      <c r="L2454">
        <v>12</v>
      </c>
      <c r="M2454" t="s">
        <v>41</v>
      </c>
      <c r="N2454">
        <v>8</v>
      </c>
      <c r="O2454">
        <v>4</v>
      </c>
      <c r="P2454">
        <v>32.5</v>
      </c>
      <c r="Q2454">
        <v>5.2320000000000002</v>
      </c>
      <c r="R2454" t="s">
        <v>26</v>
      </c>
      <c r="S2454" t="b">
        <v>0</v>
      </c>
      <c r="T2454" t="b">
        <v>0</v>
      </c>
    </row>
    <row r="2455" spans="1:20" x14ac:dyDescent="0.3">
      <c r="A2455" t="s">
        <v>3460</v>
      </c>
      <c r="B2455" s="1">
        <v>41757</v>
      </c>
      <c r="C2455" s="1">
        <v>41762</v>
      </c>
      <c r="D2455" t="s">
        <v>3024</v>
      </c>
      <c r="E2455" t="s">
        <v>39</v>
      </c>
      <c r="F2455" t="s">
        <v>29</v>
      </c>
      <c r="G2455" t="s">
        <v>74</v>
      </c>
      <c r="H2455">
        <v>139.58000000000001</v>
      </c>
      <c r="I2455">
        <v>7</v>
      </c>
      <c r="J2455">
        <v>39.0824</v>
      </c>
      <c r="K2455">
        <v>2014</v>
      </c>
      <c r="L2455">
        <v>4</v>
      </c>
      <c r="M2455" t="s">
        <v>236</v>
      </c>
      <c r="N2455">
        <v>28</v>
      </c>
      <c r="O2455">
        <v>5</v>
      </c>
      <c r="P2455">
        <v>28</v>
      </c>
      <c r="Q2455">
        <v>19.940000000000001</v>
      </c>
      <c r="R2455" t="s">
        <v>26</v>
      </c>
      <c r="S2455" t="b">
        <v>0</v>
      </c>
      <c r="T2455" t="b">
        <v>0</v>
      </c>
    </row>
    <row r="2456" spans="1:20" x14ac:dyDescent="0.3">
      <c r="A2456" t="s">
        <v>3461</v>
      </c>
      <c r="B2456" s="1">
        <v>41976</v>
      </c>
      <c r="C2456" s="1">
        <v>41976</v>
      </c>
      <c r="D2456" t="s">
        <v>3339</v>
      </c>
      <c r="E2456" t="s">
        <v>1152</v>
      </c>
      <c r="F2456" t="s">
        <v>33</v>
      </c>
      <c r="G2456" t="s">
        <v>344</v>
      </c>
      <c r="H2456">
        <v>67.86</v>
      </c>
      <c r="I2456">
        <v>6</v>
      </c>
      <c r="J2456">
        <v>-45.24</v>
      </c>
      <c r="K2456">
        <v>2014</v>
      </c>
      <c r="L2456">
        <v>12</v>
      </c>
      <c r="M2456" t="s">
        <v>41</v>
      </c>
      <c r="N2456">
        <v>3</v>
      </c>
      <c r="O2456">
        <v>0</v>
      </c>
      <c r="P2456">
        <v>-66.67</v>
      </c>
      <c r="Q2456">
        <v>11.31</v>
      </c>
      <c r="R2456" t="s">
        <v>26</v>
      </c>
      <c r="S2456" t="b">
        <v>1</v>
      </c>
      <c r="T2456" t="b">
        <v>0</v>
      </c>
    </row>
    <row r="2457" spans="1:20" x14ac:dyDescent="0.3">
      <c r="A2457" t="s">
        <v>3462</v>
      </c>
      <c r="B2457" s="1">
        <v>41604</v>
      </c>
      <c r="C2457" s="1">
        <v>41608</v>
      </c>
      <c r="D2457" t="s">
        <v>3463</v>
      </c>
      <c r="E2457" t="s">
        <v>22</v>
      </c>
      <c r="F2457" t="s">
        <v>110</v>
      </c>
      <c r="G2457" t="s">
        <v>3326</v>
      </c>
      <c r="H2457">
        <v>194.352</v>
      </c>
      <c r="I2457">
        <v>3</v>
      </c>
      <c r="J2457">
        <v>19.435199999999998</v>
      </c>
      <c r="K2457">
        <v>2013</v>
      </c>
      <c r="L2457">
        <v>11</v>
      </c>
      <c r="M2457" t="s">
        <v>70</v>
      </c>
      <c r="N2457">
        <v>26</v>
      </c>
      <c r="O2457">
        <v>4</v>
      </c>
      <c r="P2457">
        <v>10</v>
      </c>
      <c r="Q2457">
        <v>64.784000000000006</v>
      </c>
      <c r="R2457" t="s">
        <v>48</v>
      </c>
      <c r="S2457" t="b">
        <v>0</v>
      </c>
      <c r="T2457" t="b">
        <v>0</v>
      </c>
    </row>
    <row r="2458" spans="1:20" x14ac:dyDescent="0.3">
      <c r="A2458" t="s">
        <v>3464</v>
      </c>
      <c r="B2458" s="1">
        <v>40799</v>
      </c>
      <c r="C2458" s="1">
        <v>40799</v>
      </c>
      <c r="D2458" t="s">
        <v>3405</v>
      </c>
      <c r="E2458" t="s">
        <v>39</v>
      </c>
      <c r="F2458" t="s">
        <v>119</v>
      </c>
      <c r="G2458" t="s">
        <v>3465</v>
      </c>
      <c r="H2458">
        <v>5.7</v>
      </c>
      <c r="I2458">
        <v>5</v>
      </c>
      <c r="J2458">
        <v>2.6789999999999998</v>
      </c>
      <c r="K2458">
        <v>2011</v>
      </c>
      <c r="L2458">
        <v>9</v>
      </c>
      <c r="M2458" t="s">
        <v>87</v>
      </c>
      <c r="N2458">
        <v>13</v>
      </c>
      <c r="O2458">
        <v>0</v>
      </c>
      <c r="P2458">
        <v>47</v>
      </c>
      <c r="Q2458">
        <v>1.1399999999999999</v>
      </c>
      <c r="R2458" t="s">
        <v>26</v>
      </c>
      <c r="S2458" t="b">
        <v>0</v>
      </c>
      <c r="T2458" t="b">
        <v>0</v>
      </c>
    </row>
    <row r="2459" spans="1:20" x14ac:dyDescent="0.3">
      <c r="A2459" t="s">
        <v>3464</v>
      </c>
      <c r="B2459" s="1">
        <v>40799</v>
      </c>
      <c r="C2459" s="1">
        <v>40799</v>
      </c>
      <c r="D2459" t="s">
        <v>3405</v>
      </c>
      <c r="E2459" t="s">
        <v>39</v>
      </c>
      <c r="F2459" t="s">
        <v>29</v>
      </c>
      <c r="G2459" t="s">
        <v>225</v>
      </c>
      <c r="H2459">
        <v>14.19</v>
      </c>
      <c r="I2459">
        <v>3</v>
      </c>
      <c r="J2459">
        <v>5.5340999999999996</v>
      </c>
      <c r="K2459">
        <v>2011</v>
      </c>
      <c r="L2459">
        <v>9</v>
      </c>
      <c r="M2459" t="s">
        <v>87</v>
      </c>
      <c r="N2459">
        <v>13</v>
      </c>
      <c r="O2459">
        <v>0</v>
      </c>
      <c r="P2459">
        <v>39</v>
      </c>
      <c r="Q2459">
        <v>4.7300000000000004</v>
      </c>
      <c r="R2459" t="s">
        <v>26</v>
      </c>
      <c r="S2459" t="b">
        <v>0</v>
      </c>
      <c r="T2459" t="b">
        <v>0</v>
      </c>
    </row>
    <row r="2460" spans="1:20" x14ac:dyDescent="0.3">
      <c r="A2460" t="s">
        <v>3464</v>
      </c>
      <c r="B2460" s="1">
        <v>40799</v>
      </c>
      <c r="C2460" s="1">
        <v>40799</v>
      </c>
      <c r="D2460" t="s">
        <v>3405</v>
      </c>
      <c r="E2460" t="s">
        <v>39</v>
      </c>
      <c r="F2460" t="s">
        <v>122</v>
      </c>
      <c r="G2460" t="s">
        <v>400</v>
      </c>
      <c r="H2460">
        <v>7.3</v>
      </c>
      <c r="I2460">
        <v>2</v>
      </c>
      <c r="J2460">
        <v>2.19</v>
      </c>
      <c r="K2460">
        <v>2011</v>
      </c>
      <c r="L2460">
        <v>9</v>
      </c>
      <c r="M2460" t="s">
        <v>87</v>
      </c>
      <c r="N2460">
        <v>13</v>
      </c>
      <c r="O2460">
        <v>0</v>
      </c>
      <c r="P2460">
        <v>30</v>
      </c>
      <c r="Q2460">
        <v>3.65</v>
      </c>
      <c r="R2460" t="s">
        <v>26</v>
      </c>
      <c r="S2460" t="b">
        <v>0</v>
      </c>
      <c r="T2460" t="b">
        <v>0</v>
      </c>
    </row>
    <row r="2461" spans="1:20" x14ac:dyDescent="0.3">
      <c r="A2461" t="s">
        <v>3464</v>
      </c>
      <c r="B2461" s="1">
        <v>40799</v>
      </c>
      <c r="C2461" s="1">
        <v>40799</v>
      </c>
      <c r="D2461" t="s">
        <v>3405</v>
      </c>
      <c r="E2461" t="s">
        <v>39</v>
      </c>
      <c r="F2461" t="s">
        <v>61</v>
      </c>
      <c r="G2461" t="s">
        <v>639</v>
      </c>
      <c r="H2461">
        <v>199.98</v>
      </c>
      <c r="I2461">
        <v>2</v>
      </c>
      <c r="J2461">
        <v>75.992400000000004</v>
      </c>
      <c r="K2461">
        <v>2011</v>
      </c>
      <c r="L2461">
        <v>9</v>
      </c>
      <c r="M2461" t="s">
        <v>87</v>
      </c>
      <c r="N2461">
        <v>13</v>
      </c>
      <c r="O2461">
        <v>0</v>
      </c>
      <c r="P2461">
        <v>38</v>
      </c>
      <c r="Q2461">
        <v>99.99</v>
      </c>
      <c r="R2461" t="s">
        <v>26</v>
      </c>
      <c r="S2461" t="b">
        <v>0</v>
      </c>
      <c r="T2461" t="b">
        <v>0</v>
      </c>
    </row>
    <row r="2462" spans="1:20" x14ac:dyDescent="0.3">
      <c r="A2462" t="s">
        <v>3464</v>
      </c>
      <c r="B2462" s="1">
        <v>40799</v>
      </c>
      <c r="C2462" s="1">
        <v>40799</v>
      </c>
      <c r="D2462" t="s">
        <v>3405</v>
      </c>
      <c r="E2462" t="s">
        <v>39</v>
      </c>
      <c r="F2462" t="s">
        <v>61</v>
      </c>
      <c r="G2462" t="s">
        <v>1733</v>
      </c>
      <c r="H2462">
        <v>144.96</v>
      </c>
      <c r="I2462">
        <v>4</v>
      </c>
      <c r="J2462">
        <v>60.883200000000002</v>
      </c>
      <c r="K2462">
        <v>2011</v>
      </c>
      <c r="L2462">
        <v>9</v>
      </c>
      <c r="M2462" t="s">
        <v>87</v>
      </c>
      <c r="N2462">
        <v>13</v>
      </c>
      <c r="O2462">
        <v>0</v>
      </c>
      <c r="P2462">
        <v>42</v>
      </c>
      <c r="Q2462">
        <v>36.24</v>
      </c>
      <c r="R2462" t="s">
        <v>26</v>
      </c>
      <c r="S2462" t="b">
        <v>0</v>
      </c>
      <c r="T2462" t="b">
        <v>0</v>
      </c>
    </row>
    <row r="2463" spans="1:20" x14ac:dyDescent="0.3">
      <c r="A2463" t="s">
        <v>3464</v>
      </c>
      <c r="B2463" s="1">
        <v>40799</v>
      </c>
      <c r="C2463" s="1">
        <v>40799</v>
      </c>
      <c r="D2463" t="s">
        <v>3405</v>
      </c>
      <c r="E2463" t="s">
        <v>39</v>
      </c>
      <c r="F2463" t="s">
        <v>61</v>
      </c>
      <c r="G2463" t="s">
        <v>864</v>
      </c>
      <c r="H2463">
        <v>118</v>
      </c>
      <c r="I2463">
        <v>2</v>
      </c>
      <c r="J2463">
        <v>20.059999999999999</v>
      </c>
      <c r="K2463">
        <v>2011</v>
      </c>
      <c r="L2463">
        <v>9</v>
      </c>
      <c r="M2463" t="s">
        <v>87</v>
      </c>
      <c r="N2463">
        <v>13</v>
      </c>
      <c r="O2463">
        <v>0</v>
      </c>
      <c r="P2463">
        <v>17</v>
      </c>
      <c r="Q2463">
        <v>59</v>
      </c>
      <c r="R2463" t="s">
        <v>26</v>
      </c>
      <c r="S2463" t="b">
        <v>0</v>
      </c>
      <c r="T2463" t="b">
        <v>0</v>
      </c>
    </row>
    <row r="2464" spans="1:20" x14ac:dyDescent="0.3">
      <c r="A2464" t="s">
        <v>3464</v>
      </c>
      <c r="B2464" s="1">
        <v>40799</v>
      </c>
      <c r="C2464" s="1">
        <v>40799</v>
      </c>
      <c r="D2464" t="s">
        <v>3405</v>
      </c>
      <c r="E2464" t="s">
        <v>39</v>
      </c>
      <c r="F2464" t="s">
        <v>72</v>
      </c>
      <c r="G2464" t="s">
        <v>1957</v>
      </c>
      <c r="H2464">
        <v>48.94</v>
      </c>
      <c r="I2464">
        <v>1</v>
      </c>
      <c r="J2464">
        <v>24.47</v>
      </c>
      <c r="K2464">
        <v>2011</v>
      </c>
      <c r="L2464">
        <v>9</v>
      </c>
      <c r="M2464" t="s">
        <v>87</v>
      </c>
      <c r="N2464">
        <v>13</v>
      </c>
      <c r="O2464">
        <v>0</v>
      </c>
      <c r="P2464">
        <v>50</v>
      </c>
      <c r="Q2464">
        <v>48.94</v>
      </c>
      <c r="R2464" t="s">
        <v>26</v>
      </c>
      <c r="S2464" t="b">
        <v>0</v>
      </c>
      <c r="T2464" t="b">
        <v>0</v>
      </c>
    </row>
    <row r="2465" spans="1:20" x14ac:dyDescent="0.3">
      <c r="A2465" t="s">
        <v>3464</v>
      </c>
      <c r="B2465" s="1">
        <v>40799</v>
      </c>
      <c r="C2465" s="1">
        <v>40799</v>
      </c>
      <c r="D2465" t="s">
        <v>3405</v>
      </c>
      <c r="E2465" t="s">
        <v>39</v>
      </c>
      <c r="F2465" t="s">
        <v>35</v>
      </c>
      <c r="G2465" t="s">
        <v>1793</v>
      </c>
      <c r="H2465">
        <v>22.66</v>
      </c>
      <c r="I2465">
        <v>2</v>
      </c>
      <c r="J2465">
        <v>9.7438000000000002</v>
      </c>
      <c r="K2465">
        <v>2011</v>
      </c>
      <c r="L2465">
        <v>9</v>
      </c>
      <c r="M2465" t="s">
        <v>87</v>
      </c>
      <c r="N2465">
        <v>13</v>
      </c>
      <c r="O2465">
        <v>0</v>
      </c>
      <c r="P2465">
        <v>43</v>
      </c>
      <c r="Q2465">
        <v>11.33</v>
      </c>
      <c r="R2465" t="s">
        <v>26</v>
      </c>
      <c r="S2465" t="b">
        <v>0</v>
      </c>
      <c r="T2465" t="b">
        <v>0</v>
      </c>
    </row>
    <row r="2466" spans="1:20" x14ac:dyDescent="0.3">
      <c r="A2466" t="s">
        <v>3466</v>
      </c>
      <c r="B2466" s="1">
        <v>41729</v>
      </c>
      <c r="C2466" s="1">
        <v>41731</v>
      </c>
      <c r="D2466" t="s">
        <v>455</v>
      </c>
      <c r="E2466" t="s">
        <v>1959</v>
      </c>
      <c r="F2466" t="s">
        <v>29</v>
      </c>
      <c r="G2466" t="s">
        <v>1154</v>
      </c>
      <c r="H2466">
        <v>94.2</v>
      </c>
      <c r="I2466">
        <v>5</v>
      </c>
      <c r="J2466">
        <v>39.564</v>
      </c>
      <c r="K2466">
        <v>2014</v>
      </c>
      <c r="L2466">
        <v>3</v>
      </c>
      <c r="M2466" t="s">
        <v>135</v>
      </c>
      <c r="N2466">
        <v>31</v>
      </c>
      <c r="O2466">
        <v>2</v>
      </c>
      <c r="P2466">
        <v>42</v>
      </c>
      <c r="Q2466">
        <v>18.84</v>
      </c>
      <c r="R2466" t="s">
        <v>26</v>
      </c>
      <c r="S2466" t="b">
        <v>0</v>
      </c>
      <c r="T2466" t="b">
        <v>0</v>
      </c>
    </row>
    <row r="2467" spans="1:20" x14ac:dyDescent="0.3">
      <c r="A2467" t="s">
        <v>3467</v>
      </c>
      <c r="B2467" s="1">
        <v>41596</v>
      </c>
      <c r="C2467" s="1">
        <v>41597</v>
      </c>
      <c r="D2467" t="s">
        <v>2012</v>
      </c>
      <c r="E2467" t="s">
        <v>51</v>
      </c>
      <c r="F2467" t="s">
        <v>122</v>
      </c>
      <c r="G2467" t="s">
        <v>1205</v>
      </c>
      <c r="H2467">
        <v>49.5</v>
      </c>
      <c r="I2467">
        <v>5</v>
      </c>
      <c r="J2467">
        <v>13.365</v>
      </c>
      <c r="K2467">
        <v>2013</v>
      </c>
      <c r="L2467">
        <v>11</v>
      </c>
      <c r="M2467" t="s">
        <v>70</v>
      </c>
      <c r="N2467">
        <v>18</v>
      </c>
      <c r="O2467">
        <v>1</v>
      </c>
      <c r="P2467">
        <v>27</v>
      </c>
      <c r="Q2467">
        <v>9.9</v>
      </c>
      <c r="R2467" t="s">
        <v>26</v>
      </c>
      <c r="S2467" t="b">
        <v>0</v>
      </c>
      <c r="T2467" t="b">
        <v>0</v>
      </c>
    </row>
    <row r="2468" spans="1:20" x14ac:dyDescent="0.3">
      <c r="A2468" t="s">
        <v>3468</v>
      </c>
      <c r="B2468" s="1">
        <v>41631</v>
      </c>
      <c r="C2468" s="1">
        <v>41633</v>
      </c>
      <c r="D2468" t="s">
        <v>1011</v>
      </c>
      <c r="E2468" t="s">
        <v>39</v>
      </c>
      <c r="F2468" t="s">
        <v>33</v>
      </c>
      <c r="G2468" t="s">
        <v>158</v>
      </c>
      <c r="H2468">
        <v>55.36</v>
      </c>
      <c r="I2468">
        <v>4</v>
      </c>
      <c r="J2468">
        <v>19.376000000000001</v>
      </c>
      <c r="K2468">
        <v>2013</v>
      </c>
      <c r="L2468">
        <v>12</v>
      </c>
      <c r="M2468" t="s">
        <v>41</v>
      </c>
      <c r="N2468">
        <v>23</v>
      </c>
      <c r="O2468">
        <v>2</v>
      </c>
      <c r="P2468">
        <v>35</v>
      </c>
      <c r="Q2468">
        <v>13.84</v>
      </c>
      <c r="R2468" t="s">
        <v>26</v>
      </c>
      <c r="S2468" t="b">
        <v>0</v>
      </c>
      <c r="T2468" t="b">
        <v>0</v>
      </c>
    </row>
    <row r="2469" spans="1:20" x14ac:dyDescent="0.3">
      <c r="A2469" t="s">
        <v>3468</v>
      </c>
      <c r="B2469" s="1">
        <v>41631</v>
      </c>
      <c r="C2469" s="1">
        <v>41633</v>
      </c>
      <c r="D2469" t="s">
        <v>1011</v>
      </c>
      <c r="E2469" t="s">
        <v>39</v>
      </c>
      <c r="F2469" t="s">
        <v>793</v>
      </c>
      <c r="G2469" t="s">
        <v>3469</v>
      </c>
      <c r="H2469">
        <v>11.56</v>
      </c>
      <c r="I2469">
        <v>1</v>
      </c>
      <c r="J2469">
        <v>3.7570000000000001</v>
      </c>
      <c r="K2469">
        <v>2013</v>
      </c>
      <c r="L2469">
        <v>12</v>
      </c>
      <c r="M2469" t="s">
        <v>41</v>
      </c>
      <c r="N2469">
        <v>23</v>
      </c>
      <c r="O2469">
        <v>2</v>
      </c>
      <c r="P2469">
        <v>32.5</v>
      </c>
      <c r="Q2469">
        <v>11.56</v>
      </c>
      <c r="R2469" t="s">
        <v>26</v>
      </c>
      <c r="S2469" t="b">
        <v>0</v>
      </c>
      <c r="T2469" t="b">
        <v>0</v>
      </c>
    </row>
    <row r="2470" spans="1:20" x14ac:dyDescent="0.3">
      <c r="A2470" t="s">
        <v>3470</v>
      </c>
      <c r="B2470" s="1">
        <v>41263</v>
      </c>
      <c r="C2470" s="1">
        <v>41268</v>
      </c>
      <c r="D2470" t="s">
        <v>2362</v>
      </c>
      <c r="E2470" t="s">
        <v>22</v>
      </c>
      <c r="F2470" t="s">
        <v>72</v>
      </c>
      <c r="G2470" t="s">
        <v>155</v>
      </c>
      <c r="H2470">
        <v>17.12</v>
      </c>
      <c r="I2470">
        <v>4</v>
      </c>
      <c r="J2470">
        <v>7.7039999999999997</v>
      </c>
      <c r="K2470">
        <v>2012</v>
      </c>
      <c r="L2470">
        <v>12</v>
      </c>
      <c r="M2470" t="s">
        <v>41</v>
      </c>
      <c r="N2470">
        <v>20</v>
      </c>
      <c r="O2470">
        <v>5</v>
      </c>
      <c r="P2470">
        <v>45</v>
      </c>
      <c r="Q2470">
        <v>4.28</v>
      </c>
      <c r="R2470" t="s">
        <v>26</v>
      </c>
      <c r="S2470" t="b">
        <v>0</v>
      </c>
      <c r="T2470" t="b">
        <v>0</v>
      </c>
    </row>
    <row r="2471" spans="1:20" x14ac:dyDescent="0.3">
      <c r="A2471" t="s">
        <v>3471</v>
      </c>
      <c r="B2471" s="1">
        <v>41969</v>
      </c>
      <c r="C2471" s="1">
        <v>41975</v>
      </c>
      <c r="D2471" t="s">
        <v>603</v>
      </c>
      <c r="E2471" t="s">
        <v>51</v>
      </c>
      <c r="F2471" t="s">
        <v>31</v>
      </c>
      <c r="G2471" t="s">
        <v>541</v>
      </c>
      <c r="H2471">
        <v>5.16</v>
      </c>
      <c r="I2471">
        <v>2</v>
      </c>
      <c r="J2471">
        <v>1.3415999999999999</v>
      </c>
      <c r="K2471">
        <v>2014</v>
      </c>
      <c r="L2471">
        <v>11</v>
      </c>
      <c r="M2471" t="s">
        <v>70</v>
      </c>
      <c r="N2471">
        <v>26</v>
      </c>
      <c r="O2471">
        <v>6</v>
      </c>
      <c r="P2471">
        <v>26</v>
      </c>
      <c r="Q2471">
        <v>2.58</v>
      </c>
      <c r="R2471" t="s">
        <v>26</v>
      </c>
      <c r="S2471" t="b">
        <v>0</v>
      </c>
      <c r="T2471" t="b">
        <v>0</v>
      </c>
    </row>
    <row r="2472" spans="1:20" x14ac:dyDescent="0.3">
      <c r="A2472" t="s">
        <v>3472</v>
      </c>
      <c r="B2472" s="1">
        <v>41625</v>
      </c>
      <c r="C2472" s="1">
        <v>41632</v>
      </c>
      <c r="D2472" t="s">
        <v>309</v>
      </c>
      <c r="E2472" t="s">
        <v>194</v>
      </c>
      <c r="F2472" t="s">
        <v>61</v>
      </c>
      <c r="G2472" t="s">
        <v>327</v>
      </c>
      <c r="H2472">
        <v>21.21</v>
      </c>
      <c r="I2472">
        <v>7</v>
      </c>
      <c r="J2472">
        <v>4.4541000000000004</v>
      </c>
      <c r="K2472">
        <v>2013</v>
      </c>
      <c r="L2472">
        <v>12</v>
      </c>
      <c r="M2472" t="s">
        <v>41</v>
      </c>
      <c r="N2472">
        <v>17</v>
      </c>
      <c r="O2472">
        <v>7</v>
      </c>
      <c r="P2472">
        <v>21</v>
      </c>
      <c r="Q2472">
        <v>3.03</v>
      </c>
      <c r="R2472" t="s">
        <v>26</v>
      </c>
      <c r="S2472" t="b">
        <v>0</v>
      </c>
      <c r="T2472" t="b">
        <v>0</v>
      </c>
    </row>
    <row r="2473" spans="1:20" x14ac:dyDescent="0.3">
      <c r="A2473" t="s">
        <v>3473</v>
      </c>
      <c r="B2473" s="1">
        <v>41452</v>
      </c>
      <c r="C2473" s="1">
        <v>41452</v>
      </c>
      <c r="D2473" t="s">
        <v>1058</v>
      </c>
      <c r="E2473" t="s">
        <v>22</v>
      </c>
      <c r="F2473" t="s">
        <v>122</v>
      </c>
      <c r="G2473" t="s">
        <v>312</v>
      </c>
      <c r="H2473">
        <v>231.72</v>
      </c>
      <c r="I2473">
        <v>2</v>
      </c>
      <c r="J2473">
        <v>11.586</v>
      </c>
      <c r="K2473">
        <v>2013</v>
      </c>
      <c r="L2473">
        <v>6</v>
      </c>
      <c r="M2473" t="s">
        <v>25</v>
      </c>
      <c r="N2473">
        <v>27</v>
      </c>
      <c r="O2473">
        <v>0</v>
      </c>
      <c r="P2473">
        <v>5</v>
      </c>
      <c r="Q2473">
        <v>115.86</v>
      </c>
      <c r="R2473" t="s">
        <v>26</v>
      </c>
      <c r="S2473" t="b">
        <v>0</v>
      </c>
      <c r="T2473" t="b">
        <v>1</v>
      </c>
    </row>
    <row r="2474" spans="1:20" x14ac:dyDescent="0.3">
      <c r="A2474" t="s">
        <v>3473</v>
      </c>
      <c r="B2474" s="1">
        <v>41452</v>
      </c>
      <c r="C2474" s="1">
        <v>41452</v>
      </c>
      <c r="D2474" t="s">
        <v>1058</v>
      </c>
      <c r="E2474" t="s">
        <v>22</v>
      </c>
      <c r="F2474" t="s">
        <v>119</v>
      </c>
      <c r="G2474" t="s">
        <v>232</v>
      </c>
      <c r="H2474">
        <v>17.899999999999999</v>
      </c>
      <c r="I2474">
        <v>5</v>
      </c>
      <c r="J2474">
        <v>8.9499999999999993</v>
      </c>
      <c r="K2474">
        <v>2013</v>
      </c>
      <c r="L2474">
        <v>6</v>
      </c>
      <c r="M2474" t="s">
        <v>25</v>
      </c>
      <c r="N2474">
        <v>27</v>
      </c>
      <c r="O2474">
        <v>0</v>
      </c>
      <c r="P2474">
        <v>50</v>
      </c>
      <c r="Q2474">
        <v>3.58</v>
      </c>
      <c r="R2474" t="s">
        <v>26</v>
      </c>
      <c r="S2474" t="b">
        <v>0</v>
      </c>
      <c r="T2474" t="b">
        <v>0</v>
      </c>
    </row>
    <row r="2475" spans="1:20" x14ac:dyDescent="0.3">
      <c r="A2475" t="s">
        <v>3473</v>
      </c>
      <c r="B2475" s="1">
        <v>41452</v>
      </c>
      <c r="C2475" s="1">
        <v>41452</v>
      </c>
      <c r="D2475" t="s">
        <v>1058</v>
      </c>
      <c r="E2475" t="s">
        <v>22</v>
      </c>
      <c r="F2475" t="s">
        <v>72</v>
      </c>
      <c r="G2475" t="s">
        <v>1185</v>
      </c>
      <c r="H2475">
        <v>12.48</v>
      </c>
      <c r="I2475">
        <v>2</v>
      </c>
      <c r="J2475">
        <v>5.6159999999999997</v>
      </c>
      <c r="K2475">
        <v>2013</v>
      </c>
      <c r="L2475">
        <v>6</v>
      </c>
      <c r="M2475" t="s">
        <v>25</v>
      </c>
      <c r="N2475">
        <v>27</v>
      </c>
      <c r="O2475">
        <v>0</v>
      </c>
      <c r="P2475">
        <v>45</v>
      </c>
      <c r="Q2475">
        <v>6.24</v>
      </c>
      <c r="R2475" t="s">
        <v>26</v>
      </c>
      <c r="S2475" t="b">
        <v>0</v>
      </c>
      <c r="T2475" t="b">
        <v>0</v>
      </c>
    </row>
    <row r="2476" spans="1:20" x14ac:dyDescent="0.3">
      <c r="A2476" t="s">
        <v>3474</v>
      </c>
      <c r="B2476" s="1">
        <v>41572</v>
      </c>
      <c r="C2476" s="1">
        <v>41576</v>
      </c>
      <c r="D2476" t="s">
        <v>1011</v>
      </c>
      <c r="E2476" t="s">
        <v>51</v>
      </c>
      <c r="F2476" t="s">
        <v>61</v>
      </c>
      <c r="G2476" t="s">
        <v>2521</v>
      </c>
      <c r="H2476">
        <v>450</v>
      </c>
      <c r="I2476">
        <v>5</v>
      </c>
      <c r="J2476">
        <v>162</v>
      </c>
      <c r="K2476">
        <v>2013</v>
      </c>
      <c r="L2476">
        <v>10</v>
      </c>
      <c r="M2476" t="s">
        <v>82</v>
      </c>
      <c r="N2476">
        <v>25</v>
      </c>
      <c r="O2476">
        <v>4</v>
      </c>
      <c r="P2476">
        <v>36</v>
      </c>
      <c r="Q2476">
        <v>90</v>
      </c>
      <c r="R2476" t="s">
        <v>26</v>
      </c>
      <c r="S2476" t="b">
        <v>0</v>
      </c>
      <c r="T2476" t="b">
        <v>1</v>
      </c>
    </row>
    <row r="2477" spans="1:20" x14ac:dyDescent="0.3">
      <c r="A2477" t="s">
        <v>3475</v>
      </c>
      <c r="B2477" s="1">
        <v>41898</v>
      </c>
      <c r="C2477" s="1">
        <v>41900</v>
      </c>
      <c r="D2477" t="s">
        <v>924</v>
      </c>
      <c r="E2477" t="s">
        <v>51</v>
      </c>
      <c r="F2477" t="s">
        <v>174</v>
      </c>
      <c r="G2477" t="s">
        <v>786</v>
      </c>
      <c r="H2477">
        <v>300.904</v>
      </c>
      <c r="I2477">
        <v>1</v>
      </c>
      <c r="J2477">
        <v>11.283899999999999</v>
      </c>
      <c r="K2477">
        <v>2014</v>
      </c>
      <c r="L2477">
        <v>9</v>
      </c>
      <c r="M2477" t="s">
        <v>87</v>
      </c>
      <c r="N2477">
        <v>16</v>
      </c>
      <c r="O2477">
        <v>2</v>
      </c>
      <c r="P2477">
        <v>3.75</v>
      </c>
      <c r="Q2477">
        <v>300.904</v>
      </c>
      <c r="R2477" t="s">
        <v>26</v>
      </c>
      <c r="S2477" t="b">
        <v>0</v>
      </c>
      <c r="T2477" t="b">
        <v>1</v>
      </c>
    </row>
    <row r="2478" spans="1:20" x14ac:dyDescent="0.3">
      <c r="A2478" t="s">
        <v>3476</v>
      </c>
      <c r="B2478" s="1">
        <v>40817</v>
      </c>
      <c r="C2478" s="1">
        <v>40821</v>
      </c>
      <c r="D2478" t="s">
        <v>3477</v>
      </c>
      <c r="E2478" t="s">
        <v>696</v>
      </c>
      <c r="F2478" t="s">
        <v>119</v>
      </c>
      <c r="G2478" t="s">
        <v>3478</v>
      </c>
      <c r="H2478">
        <v>4.71</v>
      </c>
      <c r="I2478">
        <v>1</v>
      </c>
      <c r="J2478">
        <v>0</v>
      </c>
      <c r="K2478">
        <v>2011</v>
      </c>
      <c r="L2478">
        <v>10</v>
      </c>
      <c r="M2478" t="s">
        <v>82</v>
      </c>
      <c r="N2478">
        <v>1</v>
      </c>
      <c r="O2478">
        <v>4</v>
      </c>
      <c r="P2478">
        <v>0</v>
      </c>
      <c r="Q2478">
        <v>4.71</v>
      </c>
      <c r="R2478" t="s">
        <v>48</v>
      </c>
      <c r="S2478" t="b">
        <v>0</v>
      </c>
      <c r="T2478" t="b">
        <v>0</v>
      </c>
    </row>
    <row r="2479" spans="1:20" x14ac:dyDescent="0.3">
      <c r="A2479" t="s">
        <v>3479</v>
      </c>
      <c r="B2479" s="1">
        <v>40863</v>
      </c>
      <c r="C2479" s="1">
        <v>40865</v>
      </c>
      <c r="D2479" t="s">
        <v>2661</v>
      </c>
      <c r="E2479" t="s">
        <v>22</v>
      </c>
      <c r="F2479" t="s">
        <v>54</v>
      </c>
      <c r="G2479" t="s">
        <v>2918</v>
      </c>
      <c r="H2479">
        <v>79.968000000000004</v>
      </c>
      <c r="I2479">
        <v>4</v>
      </c>
      <c r="J2479">
        <v>-17.992799999999999</v>
      </c>
      <c r="K2479">
        <v>2011</v>
      </c>
      <c r="L2479">
        <v>11</v>
      </c>
      <c r="M2479" t="s">
        <v>70</v>
      </c>
      <c r="N2479">
        <v>16</v>
      </c>
      <c r="O2479">
        <v>2</v>
      </c>
      <c r="P2479">
        <v>-22.5</v>
      </c>
      <c r="Q2479">
        <v>19.992000000000001</v>
      </c>
      <c r="R2479" t="s">
        <v>26</v>
      </c>
      <c r="S2479" t="b">
        <v>1</v>
      </c>
      <c r="T2479" t="b">
        <v>0</v>
      </c>
    </row>
    <row r="2480" spans="1:20" x14ac:dyDescent="0.3">
      <c r="A2480" t="s">
        <v>3479</v>
      </c>
      <c r="B2480" s="1">
        <v>40863</v>
      </c>
      <c r="C2480" s="1">
        <v>40865</v>
      </c>
      <c r="D2480" t="s">
        <v>2661</v>
      </c>
      <c r="E2480" t="s">
        <v>22</v>
      </c>
      <c r="F2480" t="s">
        <v>317</v>
      </c>
      <c r="G2480" t="s">
        <v>905</v>
      </c>
      <c r="H2480">
        <v>305.97449999999998</v>
      </c>
      <c r="I2480">
        <v>3</v>
      </c>
      <c r="J2480">
        <v>25.197900000000001</v>
      </c>
      <c r="K2480">
        <v>2011</v>
      </c>
      <c r="L2480">
        <v>11</v>
      </c>
      <c r="M2480" t="s">
        <v>70</v>
      </c>
      <c r="N2480">
        <v>16</v>
      </c>
      <c r="O2480">
        <v>2</v>
      </c>
      <c r="P2480">
        <v>8.24</v>
      </c>
      <c r="Q2480">
        <v>101.9915</v>
      </c>
      <c r="R2480" t="s">
        <v>26</v>
      </c>
      <c r="S2480" t="b">
        <v>0</v>
      </c>
      <c r="T2480" t="b">
        <v>1</v>
      </c>
    </row>
    <row r="2481" spans="1:20" x14ac:dyDescent="0.3">
      <c r="A2481" t="s">
        <v>3479</v>
      </c>
      <c r="B2481" s="1">
        <v>40863</v>
      </c>
      <c r="C2481" s="1">
        <v>40865</v>
      </c>
      <c r="D2481" t="s">
        <v>2661</v>
      </c>
      <c r="E2481" t="s">
        <v>22</v>
      </c>
      <c r="F2481" t="s">
        <v>45</v>
      </c>
      <c r="G2481" t="s">
        <v>2289</v>
      </c>
      <c r="H2481">
        <v>344.91</v>
      </c>
      <c r="I2481">
        <v>3</v>
      </c>
      <c r="J2481">
        <v>10.347300000000001</v>
      </c>
      <c r="K2481">
        <v>2011</v>
      </c>
      <c r="L2481">
        <v>11</v>
      </c>
      <c r="M2481" t="s">
        <v>70</v>
      </c>
      <c r="N2481">
        <v>16</v>
      </c>
      <c r="O2481">
        <v>2</v>
      </c>
      <c r="P2481">
        <v>3</v>
      </c>
      <c r="Q2481">
        <v>114.97</v>
      </c>
      <c r="R2481" t="s">
        <v>26</v>
      </c>
      <c r="S2481" t="b">
        <v>0</v>
      </c>
      <c r="T2481" t="b">
        <v>1</v>
      </c>
    </row>
    <row r="2482" spans="1:20" x14ac:dyDescent="0.3">
      <c r="A2482" t="s">
        <v>3480</v>
      </c>
      <c r="B2482" s="1">
        <v>41246</v>
      </c>
      <c r="C2482" s="1">
        <v>41250</v>
      </c>
      <c r="D2482" t="s">
        <v>1374</v>
      </c>
      <c r="E2482" t="s">
        <v>51</v>
      </c>
      <c r="F2482" t="s">
        <v>317</v>
      </c>
      <c r="G2482" t="s">
        <v>2379</v>
      </c>
      <c r="H2482">
        <v>359.49900000000002</v>
      </c>
      <c r="I2482">
        <v>3</v>
      </c>
      <c r="J2482">
        <v>-29.605799999999999</v>
      </c>
      <c r="K2482">
        <v>2012</v>
      </c>
      <c r="L2482">
        <v>12</v>
      </c>
      <c r="M2482" t="s">
        <v>41</v>
      </c>
      <c r="N2482">
        <v>3</v>
      </c>
      <c r="O2482">
        <v>4</v>
      </c>
      <c r="P2482">
        <v>-8.24</v>
      </c>
      <c r="Q2482">
        <v>119.833</v>
      </c>
      <c r="R2482" t="s">
        <v>26</v>
      </c>
      <c r="S2482" t="b">
        <v>1</v>
      </c>
      <c r="T2482" t="b">
        <v>1</v>
      </c>
    </row>
    <row r="2483" spans="1:20" x14ac:dyDescent="0.3">
      <c r="A2483" t="s">
        <v>3481</v>
      </c>
      <c r="B2483" s="1">
        <v>41832</v>
      </c>
      <c r="C2483" s="1">
        <v>41837</v>
      </c>
      <c r="D2483" t="s">
        <v>2179</v>
      </c>
      <c r="E2483" t="s">
        <v>194</v>
      </c>
      <c r="F2483" t="s">
        <v>54</v>
      </c>
      <c r="G2483" t="s">
        <v>3482</v>
      </c>
      <c r="H2483">
        <v>71.951999999999998</v>
      </c>
      <c r="I2483">
        <v>6</v>
      </c>
      <c r="J2483">
        <v>5.3963999999999999</v>
      </c>
      <c r="K2483">
        <v>2014</v>
      </c>
      <c r="L2483">
        <v>7</v>
      </c>
      <c r="M2483" t="s">
        <v>66</v>
      </c>
      <c r="N2483">
        <v>12</v>
      </c>
      <c r="O2483">
        <v>5</v>
      </c>
      <c r="P2483">
        <v>7.5</v>
      </c>
      <c r="Q2483">
        <v>11.992000000000001</v>
      </c>
      <c r="R2483" t="s">
        <v>26</v>
      </c>
      <c r="S2483" t="b">
        <v>0</v>
      </c>
      <c r="T2483" t="b">
        <v>0</v>
      </c>
    </row>
    <row r="2484" spans="1:20" x14ac:dyDescent="0.3">
      <c r="A2484" t="s">
        <v>3481</v>
      </c>
      <c r="B2484" s="1">
        <v>41832</v>
      </c>
      <c r="C2484" s="1">
        <v>41837</v>
      </c>
      <c r="D2484" t="s">
        <v>2179</v>
      </c>
      <c r="E2484" t="s">
        <v>194</v>
      </c>
      <c r="F2484" t="s">
        <v>33</v>
      </c>
      <c r="G2484" t="s">
        <v>830</v>
      </c>
      <c r="H2484">
        <v>29.8</v>
      </c>
      <c r="I2484">
        <v>5</v>
      </c>
      <c r="J2484">
        <v>9.3125</v>
      </c>
      <c r="K2484">
        <v>2014</v>
      </c>
      <c r="L2484">
        <v>7</v>
      </c>
      <c r="M2484" t="s">
        <v>66</v>
      </c>
      <c r="N2484">
        <v>12</v>
      </c>
      <c r="O2484">
        <v>5</v>
      </c>
      <c r="P2484">
        <v>31.25</v>
      </c>
      <c r="Q2484">
        <v>5.96</v>
      </c>
      <c r="R2484" t="s">
        <v>26</v>
      </c>
      <c r="S2484" t="b">
        <v>0</v>
      </c>
      <c r="T2484" t="b">
        <v>0</v>
      </c>
    </row>
    <row r="2485" spans="1:20" x14ac:dyDescent="0.3">
      <c r="A2485" t="s">
        <v>3483</v>
      </c>
      <c r="B2485" s="1">
        <v>41717</v>
      </c>
      <c r="C2485" s="1">
        <v>41722</v>
      </c>
      <c r="D2485" t="s">
        <v>3484</v>
      </c>
      <c r="E2485" t="s">
        <v>39</v>
      </c>
      <c r="F2485" t="s">
        <v>31</v>
      </c>
      <c r="G2485" t="s">
        <v>545</v>
      </c>
      <c r="H2485">
        <v>46.2</v>
      </c>
      <c r="I2485">
        <v>4</v>
      </c>
      <c r="J2485">
        <v>21.251999999999999</v>
      </c>
      <c r="K2485">
        <v>2014</v>
      </c>
      <c r="L2485">
        <v>3</v>
      </c>
      <c r="M2485" t="s">
        <v>135</v>
      </c>
      <c r="N2485">
        <v>19</v>
      </c>
      <c r="O2485">
        <v>5</v>
      </c>
      <c r="P2485">
        <v>46</v>
      </c>
      <c r="Q2485">
        <v>11.55</v>
      </c>
      <c r="R2485" t="s">
        <v>26</v>
      </c>
      <c r="S2485" t="b">
        <v>0</v>
      </c>
      <c r="T2485" t="b">
        <v>0</v>
      </c>
    </row>
    <row r="2486" spans="1:20" x14ac:dyDescent="0.3">
      <c r="A2486" t="s">
        <v>3485</v>
      </c>
      <c r="B2486" s="1">
        <v>41818</v>
      </c>
      <c r="C2486" s="1">
        <v>41820</v>
      </c>
      <c r="D2486" t="s">
        <v>3268</v>
      </c>
      <c r="E2486" t="s">
        <v>39</v>
      </c>
      <c r="F2486" t="s">
        <v>72</v>
      </c>
      <c r="G2486" t="s">
        <v>2995</v>
      </c>
      <c r="H2486">
        <v>19.440000000000001</v>
      </c>
      <c r="I2486">
        <v>3</v>
      </c>
      <c r="J2486">
        <v>9.3312000000000008</v>
      </c>
      <c r="K2486">
        <v>2014</v>
      </c>
      <c r="L2486">
        <v>6</v>
      </c>
      <c r="M2486" t="s">
        <v>25</v>
      </c>
      <c r="N2486">
        <v>28</v>
      </c>
      <c r="O2486">
        <v>2</v>
      </c>
      <c r="P2486">
        <v>48</v>
      </c>
      <c r="Q2486">
        <v>6.48</v>
      </c>
      <c r="R2486" t="s">
        <v>26</v>
      </c>
      <c r="S2486" t="b">
        <v>0</v>
      </c>
      <c r="T2486" t="b">
        <v>0</v>
      </c>
    </row>
    <row r="2487" spans="1:20" x14ac:dyDescent="0.3">
      <c r="A2487" t="s">
        <v>3485</v>
      </c>
      <c r="B2487" s="1">
        <v>41818</v>
      </c>
      <c r="C2487" s="1">
        <v>41820</v>
      </c>
      <c r="D2487" t="s">
        <v>3268</v>
      </c>
      <c r="E2487" t="s">
        <v>39</v>
      </c>
      <c r="F2487" t="s">
        <v>29</v>
      </c>
      <c r="G2487" t="s">
        <v>3486</v>
      </c>
      <c r="H2487">
        <v>126.3</v>
      </c>
      <c r="I2487">
        <v>3</v>
      </c>
      <c r="J2487">
        <v>40.415999999999997</v>
      </c>
      <c r="K2487">
        <v>2014</v>
      </c>
      <c r="L2487">
        <v>6</v>
      </c>
      <c r="M2487" t="s">
        <v>25</v>
      </c>
      <c r="N2487">
        <v>28</v>
      </c>
      <c r="O2487">
        <v>2</v>
      </c>
      <c r="P2487">
        <v>32</v>
      </c>
      <c r="Q2487">
        <v>42.1</v>
      </c>
      <c r="R2487" t="s">
        <v>26</v>
      </c>
      <c r="S2487" t="b">
        <v>0</v>
      </c>
      <c r="T2487" t="b">
        <v>0</v>
      </c>
    </row>
    <row r="2488" spans="1:20" x14ac:dyDescent="0.3">
      <c r="A2488" t="s">
        <v>3487</v>
      </c>
      <c r="B2488" s="1">
        <v>41184</v>
      </c>
      <c r="C2488" s="1">
        <v>41186</v>
      </c>
      <c r="D2488" t="s">
        <v>2555</v>
      </c>
      <c r="E2488" t="s">
        <v>3129</v>
      </c>
      <c r="F2488" t="s">
        <v>29</v>
      </c>
      <c r="G2488" t="s">
        <v>1526</v>
      </c>
      <c r="H2488">
        <v>11.032</v>
      </c>
      <c r="I2488">
        <v>1</v>
      </c>
      <c r="J2488">
        <v>3.0337999999999998</v>
      </c>
      <c r="K2488">
        <v>2012</v>
      </c>
      <c r="L2488">
        <v>10</v>
      </c>
      <c r="M2488" t="s">
        <v>82</v>
      </c>
      <c r="N2488">
        <v>2</v>
      </c>
      <c r="O2488">
        <v>2</v>
      </c>
      <c r="P2488">
        <v>27.5</v>
      </c>
      <c r="Q2488">
        <v>11.032</v>
      </c>
      <c r="R2488" t="s">
        <v>26</v>
      </c>
      <c r="S2488" t="b">
        <v>0</v>
      </c>
      <c r="T2488" t="b">
        <v>0</v>
      </c>
    </row>
    <row r="2489" spans="1:20" x14ac:dyDescent="0.3">
      <c r="A2489" t="s">
        <v>3487</v>
      </c>
      <c r="B2489" s="1">
        <v>41184</v>
      </c>
      <c r="C2489" s="1">
        <v>41186</v>
      </c>
      <c r="D2489" t="s">
        <v>2555</v>
      </c>
      <c r="E2489" t="s">
        <v>3129</v>
      </c>
      <c r="F2489" t="s">
        <v>61</v>
      </c>
      <c r="G2489" t="s">
        <v>166</v>
      </c>
      <c r="H2489">
        <v>53.04</v>
      </c>
      <c r="I2489">
        <v>3</v>
      </c>
      <c r="J2489">
        <v>-4.641</v>
      </c>
      <c r="K2489">
        <v>2012</v>
      </c>
      <c r="L2489">
        <v>10</v>
      </c>
      <c r="M2489" t="s">
        <v>82</v>
      </c>
      <c r="N2489">
        <v>2</v>
      </c>
      <c r="O2489">
        <v>2</v>
      </c>
      <c r="P2489">
        <v>-8.75</v>
      </c>
      <c r="Q2489">
        <v>17.68</v>
      </c>
      <c r="R2489" t="s">
        <v>26</v>
      </c>
      <c r="S2489" t="b">
        <v>1</v>
      </c>
      <c r="T2489" t="b">
        <v>0</v>
      </c>
    </row>
    <row r="2490" spans="1:20" x14ac:dyDescent="0.3">
      <c r="A2490" t="s">
        <v>3488</v>
      </c>
      <c r="B2490" s="1">
        <v>41673</v>
      </c>
      <c r="C2490" s="1">
        <v>41678</v>
      </c>
      <c r="D2490" t="s">
        <v>1425</v>
      </c>
      <c r="E2490" t="s">
        <v>194</v>
      </c>
      <c r="F2490" t="s">
        <v>29</v>
      </c>
      <c r="G2490" t="s">
        <v>3489</v>
      </c>
      <c r="H2490">
        <v>210.58</v>
      </c>
      <c r="I2490">
        <v>2</v>
      </c>
      <c r="J2490">
        <v>12.6348</v>
      </c>
      <c r="K2490">
        <v>2014</v>
      </c>
      <c r="L2490">
        <v>2</v>
      </c>
      <c r="M2490" t="s">
        <v>303</v>
      </c>
      <c r="N2490">
        <v>3</v>
      </c>
      <c r="O2490">
        <v>5</v>
      </c>
      <c r="P2490">
        <v>6</v>
      </c>
      <c r="Q2490">
        <v>105.29</v>
      </c>
      <c r="R2490" t="s">
        <v>26</v>
      </c>
      <c r="S2490" t="b">
        <v>0</v>
      </c>
      <c r="T2490" t="b">
        <v>0</v>
      </c>
    </row>
    <row r="2491" spans="1:20" x14ac:dyDescent="0.3">
      <c r="A2491" t="s">
        <v>3488</v>
      </c>
      <c r="B2491" s="1">
        <v>41673</v>
      </c>
      <c r="C2491" s="1">
        <v>41678</v>
      </c>
      <c r="D2491" t="s">
        <v>1425</v>
      </c>
      <c r="E2491" t="s">
        <v>194</v>
      </c>
      <c r="F2491" t="s">
        <v>33</v>
      </c>
      <c r="G2491" t="s">
        <v>1948</v>
      </c>
      <c r="H2491">
        <v>30.96</v>
      </c>
      <c r="I2491">
        <v>2</v>
      </c>
      <c r="J2491">
        <v>10.061999999999999</v>
      </c>
      <c r="K2491">
        <v>2014</v>
      </c>
      <c r="L2491">
        <v>2</v>
      </c>
      <c r="M2491" t="s">
        <v>303</v>
      </c>
      <c r="N2491">
        <v>3</v>
      </c>
      <c r="O2491">
        <v>5</v>
      </c>
      <c r="P2491">
        <v>32.5</v>
      </c>
      <c r="Q2491">
        <v>15.48</v>
      </c>
      <c r="R2491" t="s">
        <v>26</v>
      </c>
      <c r="S2491" t="b">
        <v>0</v>
      </c>
      <c r="T2491" t="b">
        <v>0</v>
      </c>
    </row>
    <row r="2492" spans="1:20" x14ac:dyDescent="0.3">
      <c r="A2492" t="s">
        <v>3488</v>
      </c>
      <c r="B2492" s="1">
        <v>41673</v>
      </c>
      <c r="C2492" s="1">
        <v>41678</v>
      </c>
      <c r="D2492" t="s">
        <v>1425</v>
      </c>
      <c r="E2492" t="s">
        <v>194</v>
      </c>
      <c r="F2492" t="s">
        <v>793</v>
      </c>
      <c r="G2492" t="s">
        <v>3490</v>
      </c>
      <c r="H2492">
        <v>239.98400000000001</v>
      </c>
      <c r="I2492">
        <v>2</v>
      </c>
      <c r="J2492">
        <v>38.997399999999999</v>
      </c>
      <c r="K2492">
        <v>2014</v>
      </c>
      <c r="L2492">
        <v>2</v>
      </c>
      <c r="M2492" t="s">
        <v>303</v>
      </c>
      <c r="N2492">
        <v>3</v>
      </c>
      <c r="O2492">
        <v>5</v>
      </c>
      <c r="P2492">
        <v>16.25</v>
      </c>
      <c r="Q2492">
        <v>119.992</v>
      </c>
      <c r="R2492" t="s">
        <v>26</v>
      </c>
      <c r="S2492" t="b">
        <v>0</v>
      </c>
      <c r="T2492" t="b">
        <v>1</v>
      </c>
    </row>
    <row r="2493" spans="1:20" x14ac:dyDescent="0.3">
      <c r="A2493" t="s">
        <v>3491</v>
      </c>
      <c r="B2493" s="1">
        <v>41638</v>
      </c>
      <c r="C2493" s="1">
        <v>41642</v>
      </c>
      <c r="D2493" t="s">
        <v>3492</v>
      </c>
      <c r="E2493" t="s">
        <v>1331</v>
      </c>
      <c r="F2493" t="s">
        <v>45</v>
      </c>
      <c r="G2493" t="s">
        <v>626</v>
      </c>
      <c r="H2493">
        <v>14.03</v>
      </c>
      <c r="I2493">
        <v>1</v>
      </c>
      <c r="J2493">
        <v>4.0686999999999998</v>
      </c>
      <c r="K2493">
        <v>2013</v>
      </c>
      <c r="L2493">
        <v>12</v>
      </c>
      <c r="M2493" t="s">
        <v>41</v>
      </c>
      <c r="N2493">
        <v>30</v>
      </c>
      <c r="O2493">
        <v>4</v>
      </c>
      <c r="P2493">
        <v>29</v>
      </c>
      <c r="Q2493">
        <v>14.03</v>
      </c>
      <c r="R2493" t="s">
        <v>26</v>
      </c>
      <c r="S2493" t="b">
        <v>0</v>
      </c>
      <c r="T2493" t="b">
        <v>0</v>
      </c>
    </row>
    <row r="2494" spans="1:20" x14ac:dyDescent="0.3">
      <c r="A2494" t="s">
        <v>3491</v>
      </c>
      <c r="B2494" s="1">
        <v>41638</v>
      </c>
      <c r="C2494" s="1">
        <v>41642</v>
      </c>
      <c r="D2494" t="s">
        <v>3492</v>
      </c>
      <c r="E2494" t="s">
        <v>1331</v>
      </c>
      <c r="F2494" t="s">
        <v>122</v>
      </c>
      <c r="G2494" t="s">
        <v>2301</v>
      </c>
      <c r="H2494">
        <v>27.96</v>
      </c>
      <c r="I2494">
        <v>2</v>
      </c>
      <c r="J2494">
        <v>7.2695999999999996</v>
      </c>
      <c r="K2494">
        <v>2013</v>
      </c>
      <c r="L2494">
        <v>12</v>
      </c>
      <c r="M2494" t="s">
        <v>41</v>
      </c>
      <c r="N2494">
        <v>30</v>
      </c>
      <c r="O2494">
        <v>4</v>
      </c>
      <c r="P2494">
        <v>26</v>
      </c>
      <c r="Q2494">
        <v>13.98</v>
      </c>
      <c r="R2494" t="s">
        <v>26</v>
      </c>
      <c r="S2494" t="b">
        <v>0</v>
      </c>
      <c r="T2494" t="b">
        <v>0</v>
      </c>
    </row>
    <row r="2495" spans="1:20" x14ac:dyDescent="0.3">
      <c r="A2495" t="s">
        <v>3493</v>
      </c>
      <c r="B2495" s="1">
        <v>41530</v>
      </c>
      <c r="C2495" s="1">
        <v>41531</v>
      </c>
      <c r="D2495" t="s">
        <v>1601</v>
      </c>
      <c r="E2495" t="s">
        <v>297</v>
      </c>
      <c r="F2495" t="s">
        <v>54</v>
      </c>
      <c r="G2495" t="s">
        <v>3494</v>
      </c>
      <c r="H2495">
        <v>146.952</v>
      </c>
      <c r="I2495">
        <v>3</v>
      </c>
      <c r="J2495">
        <v>9.1844999999999999</v>
      </c>
      <c r="K2495">
        <v>2013</v>
      </c>
      <c r="L2495">
        <v>9</v>
      </c>
      <c r="M2495" t="s">
        <v>87</v>
      </c>
      <c r="N2495">
        <v>13</v>
      </c>
      <c r="O2495">
        <v>1</v>
      </c>
      <c r="P2495">
        <v>6.25</v>
      </c>
      <c r="Q2495">
        <v>48.984000000000002</v>
      </c>
      <c r="R2495" t="s">
        <v>26</v>
      </c>
      <c r="S2495" t="b">
        <v>0</v>
      </c>
      <c r="T2495" t="b">
        <v>0</v>
      </c>
    </row>
    <row r="2496" spans="1:20" x14ac:dyDescent="0.3">
      <c r="A2496" t="s">
        <v>3493</v>
      </c>
      <c r="B2496" s="1">
        <v>41530</v>
      </c>
      <c r="C2496" s="1">
        <v>41531</v>
      </c>
      <c r="D2496" t="s">
        <v>1601</v>
      </c>
      <c r="E2496" t="s">
        <v>297</v>
      </c>
      <c r="F2496" t="s">
        <v>110</v>
      </c>
      <c r="G2496" t="s">
        <v>1426</v>
      </c>
      <c r="H2496">
        <v>83.135999999999996</v>
      </c>
      <c r="I2496">
        <v>4</v>
      </c>
      <c r="J2496">
        <v>5.1959999999999997</v>
      </c>
      <c r="K2496">
        <v>2013</v>
      </c>
      <c r="L2496">
        <v>9</v>
      </c>
      <c r="M2496" t="s">
        <v>87</v>
      </c>
      <c r="N2496">
        <v>13</v>
      </c>
      <c r="O2496">
        <v>1</v>
      </c>
      <c r="P2496">
        <v>6.25</v>
      </c>
      <c r="Q2496">
        <v>20.783999999999999</v>
      </c>
      <c r="R2496" t="s">
        <v>26</v>
      </c>
      <c r="S2496" t="b">
        <v>0</v>
      </c>
      <c r="T2496" t="b">
        <v>0</v>
      </c>
    </row>
    <row r="2497" spans="1:20" x14ac:dyDescent="0.3">
      <c r="A2497" t="s">
        <v>3495</v>
      </c>
      <c r="B2497" s="1">
        <v>40988</v>
      </c>
      <c r="C2497" s="1">
        <v>40990</v>
      </c>
      <c r="D2497" t="s">
        <v>3013</v>
      </c>
      <c r="E2497" t="s">
        <v>412</v>
      </c>
      <c r="F2497" t="s">
        <v>45</v>
      </c>
      <c r="G2497" t="s">
        <v>2712</v>
      </c>
      <c r="H2497">
        <v>29.303999999999998</v>
      </c>
      <c r="I2497">
        <v>3</v>
      </c>
      <c r="J2497">
        <v>2.5640999999999998</v>
      </c>
      <c r="K2497">
        <v>2012</v>
      </c>
      <c r="L2497">
        <v>3</v>
      </c>
      <c r="M2497" t="s">
        <v>135</v>
      </c>
      <c r="N2497">
        <v>20</v>
      </c>
      <c r="O2497">
        <v>2</v>
      </c>
      <c r="P2497">
        <v>8.75</v>
      </c>
      <c r="Q2497">
        <v>9.7679999999999989</v>
      </c>
      <c r="R2497" t="s">
        <v>26</v>
      </c>
      <c r="S2497" t="b">
        <v>0</v>
      </c>
      <c r="T2497" t="b">
        <v>0</v>
      </c>
    </row>
    <row r="2498" spans="1:20" x14ac:dyDescent="0.3">
      <c r="A2498" t="s">
        <v>3496</v>
      </c>
      <c r="B2498" s="1">
        <v>41533</v>
      </c>
      <c r="C2498" s="1">
        <v>41538</v>
      </c>
      <c r="D2498" t="s">
        <v>2661</v>
      </c>
      <c r="E2498" t="s">
        <v>3497</v>
      </c>
      <c r="F2498" t="s">
        <v>33</v>
      </c>
      <c r="G2498" t="s">
        <v>3310</v>
      </c>
      <c r="H2498">
        <v>20.416</v>
      </c>
      <c r="I2498">
        <v>4</v>
      </c>
      <c r="J2498">
        <v>6.6352000000000002</v>
      </c>
      <c r="K2498">
        <v>2013</v>
      </c>
      <c r="L2498">
        <v>9</v>
      </c>
      <c r="M2498" t="s">
        <v>87</v>
      </c>
      <c r="N2498">
        <v>16</v>
      </c>
      <c r="O2498">
        <v>5</v>
      </c>
      <c r="P2498">
        <v>32.5</v>
      </c>
      <c r="Q2498">
        <v>5.1040000000000001</v>
      </c>
      <c r="R2498" t="s">
        <v>26</v>
      </c>
      <c r="S2498" t="b">
        <v>0</v>
      </c>
      <c r="T2498" t="b">
        <v>0</v>
      </c>
    </row>
    <row r="2499" spans="1:20" x14ac:dyDescent="0.3">
      <c r="A2499" t="s">
        <v>3498</v>
      </c>
      <c r="B2499" s="1">
        <v>41788</v>
      </c>
      <c r="C2499" s="1">
        <v>41793</v>
      </c>
      <c r="D2499" t="s">
        <v>2439</v>
      </c>
      <c r="E2499" t="s">
        <v>105</v>
      </c>
      <c r="F2499" t="s">
        <v>54</v>
      </c>
      <c r="G2499" t="s">
        <v>3499</v>
      </c>
      <c r="H2499">
        <v>195.96</v>
      </c>
      <c r="I2499">
        <v>5</v>
      </c>
      <c r="J2499">
        <v>19.596</v>
      </c>
      <c r="K2499">
        <v>2014</v>
      </c>
      <c r="L2499">
        <v>5</v>
      </c>
      <c r="M2499" t="s">
        <v>47</v>
      </c>
      <c r="N2499">
        <v>29</v>
      </c>
      <c r="O2499">
        <v>5</v>
      </c>
      <c r="P2499">
        <v>10</v>
      </c>
      <c r="Q2499">
        <v>39.192</v>
      </c>
      <c r="R2499" t="s">
        <v>26</v>
      </c>
      <c r="S2499" t="b">
        <v>0</v>
      </c>
      <c r="T2499" t="b">
        <v>0</v>
      </c>
    </row>
    <row r="2500" spans="1:20" x14ac:dyDescent="0.3">
      <c r="A2500" t="s">
        <v>3498</v>
      </c>
      <c r="B2500" s="1">
        <v>41788</v>
      </c>
      <c r="C2500" s="1">
        <v>41793</v>
      </c>
      <c r="D2500" t="s">
        <v>2439</v>
      </c>
      <c r="E2500" t="s">
        <v>105</v>
      </c>
      <c r="F2500" t="s">
        <v>72</v>
      </c>
      <c r="G2500" t="s">
        <v>1656</v>
      </c>
      <c r="H2500">
        <v>15.552</v>
      </c>
      <c r="I2500">
        <v>3</v>
      </c>
      <c r="J2500">
        <v>5.4432</v>
      </c>
      <c r="K2500">
        <v>2014</v>
      </c>
      <c r="L2500">
        <v>5</v>
      </c>
      <c r="M2500" t="s">
        <v>47</v>
      </c>
      <c r="N2500">
        <v>29</v>
      </c>
      <c r="O2500">
        <v>5</v>
      </c>
      <c r="P2500">
        <v>35</v>
      </c>
      <c r="Q2500">
        <v>5.1840000000000002</v>
      </c>
      <c r="R2500" t="s">
        <v>26</v>
      </c>
      <c r="S2500" t="b">
        <v>0</v>
      </c>
      <c r="T2500" t="b">
        <v>0</v>
      </c>
    </row>
    <row r="2501" spans="1:20" x14ac:dyDescent="0.3">
      <c r="A2501" t="s">
        <v>3498</v>
      </c>
      <c r="B2501" s="1">
        <v>41788</v>
      </c>
      <c r="C2501" s="1">
        <v>41793</v>
      </c>
      <c r="D2501" t="s">
        <v>2439</v>
      </c>
      <c r="E2501" t="s">
        <v>105</v>
      </c>
      <c r="F2501" t="s">
        <v>61</v>
      </c>
      <c r="G2501" t="s">
        <v>2993</v>
      </c>
      <c r="H2501">
        <v>271.96800000000002</v>
      </c>
      <c r="I2501">
        <v>4</v>
      </c>
      <c r="J2501">
        <v>54.393599999999999</v>
      </c>
      <c r="K2501">
        <v>2014</v>
      </c>
      <c r="L2501">
        <v>5</v>
      </c>
      <c r="M2501" t="s">
        <v>47</v>
      </c>
      <c r="N2501">
        <v>29</v>
      </c>
      <c r="O2501">
        <v>5</v>
      </c>
      <c r="P2501">
        <v>20</v>
      </c>
      <c r="Q2501">
        <v>67.992000000000004</v>
      </c>
      <c r="R2501" t="s">
        <v>26</v>
      </c>
      <c r="S2501" t="b">
        <v>0</v>
      </c>
      <c r="T2501" t="b">
        <v>1</v>
      </c>
    </row>
    <row r="2502" spans="1:20" x14ac:dyDescent="0.3">
      <c r="A2502" t="s">
        <v>3500</v>
      </c>
      <c r="B2502" s="1">
        <v>40896</v>
      </c>
      <c r="C2502" s="1">
        <v>40898</v>
      </c>
      <c r="D2502" t="s">
        <v>2100</v>
      </c>
      <c r="E2502" t="s">
        <v>22</v>
      </c>
      <c r="F2502" t="s">
        <v>23</v>
      </c>
      <c r="G2502" t="s">
        <v>2912</v>
      </c>
      <c r="H2502">
        <v>14.62</v>
      </c>
      <c r="I2502">
        <v>2</v>
      </c>
      <c r="J2502">
        <v>6.8714000000000004</v>
      </c>
      <c r="K2502">
        <v>2011</v>
      </c>
      <c r="L2502">
        <v>12</v>
      </c>
      <c r="M2502" t="s">
        <v>41</v>
      </c>
      <c r="N2502">
        <v>19</v>
      </c>
      <c r="O2502">
        <v>2</v>
      </c>
      <c r="P2502">
        <v>47</v>
      </c>
      <c r="Q2502">
        <v>7.31</v>
      </c>
      <c r="R2502" t="s">
        <v>26</v>
      </c>
      <c r="S2502" t="b">
        <v>0</v>
      </c>
      <c r="T2502" t="b">
        <v>0</v>
      </c>
    </row>
    <row r="2503" spans="1:20" x14ac:dyDescent="0.3">
      <c r="A2503" t="s">
        <v>3500</v>
      </c>
      <c r="B2503" s="1">
        <v>40896</v>
      </c>
      <c r="C2503" s="1">
        <v>40898</v>
      </c>
      <c r="D2503" t="s">
        <v>2100</v>
      </c>
      <c r="E2503" t="s">
        <v>22</v>
      </c>
      <c r="F2503" t="s">
        <v>119</v>
      </c>
      <c r="G2503" t="s">
        <v>1275</v>
      </c>
      <c r="H2503">
        <v>22.55</v>
      </c>
      <c r="I2503">
        <v>5</v>
      </c>
      <c r="J2503">
        <v>8.7944999999999993</v>
      </c>
      <c r="K2503">
        <v>2011</v>
      </c>
      <c r="L2503">
        <v>12</v>
      </c>
      <c r="M2503" t="s">
        <v>41</v>
      </c>
      <c r="N2503">
        <v>19</v>
      </c>
      <c r="O2503">
        <v>2</v>
      </c>
      <c r="P2503">
        <v>39</v>
      </c>
      <c r="Q2503">
        <v>4.51</v>
      </c>
      <c r="R2503" t="s">
        <v>26</v>
      </c>
      <c r="S2503" t="b">
        <v>0</v>
      </c>
      <c r="T2503" t="b">
        <v>0</v>
      </c>
    </row>
    <row r="2504" spans="1:20" x14ac:dyDescent="0.3">
      <c r="A2504" t="s">
        <v>3500</v>
      </c>
      <c r="B2504" s="1">
        <v>40896</v>
      </c>
      <c r="C2504" s="1">
        <v>40898</v>
      </c>
      <c r="D2504" t="s">
        <v>2100</v>
      </c>
      <c r="E2504" t="s">
        <v>22</v>
      </c>
      <c r="F2504" t="s">
        <v>54</v>
      </c>
      <c r="G2504" t="s">
        <v>1719</v>
      </c>
      <c r="H2504">
        <v>211.16800000000001</v>
      </c>
      <c r="I2504">
        <v>4</v>
      </c>
      <c r="J2504">
        <v>15.8376</v>
      </c>
      <c r="K2504">
        <v>2011</v>
      </c>
      <c r="L2504">
        <v>12</v>
      </c>
      <c r="M2504" t="s">
        <v>41</v>
      </c>
      <c r="N2504">
        <v>19</v>
      </c>
      <c r="O2504">
        <v>2</v>
      </c>
      <c r="P2504">
        <v>7.5</v>
      </c>
      <c r="Q2504">
        <v>52.792000000000002</v>
      </c>
      <c r="R2504" t="s">
        <v>26</v>
      </c>
      <c r="S2504" t="b">
        <v>0</v>
      </c>
      <c r="T2504" t="b">
        <v>0</v>
      </c>
    </row>
    <row r="2505" spans="1:20" x14ac:dyDescent="0.3">
      <c r="A2505" t="s">
        <v>3501</v>
      </c>
      <c r="B2505" s="1">
        <v>41463</v>
      </c>
      <c r="C2505" s="1">
        <v>41469</v>
      </c>
      <c r="D2505" t="s">
        <v>157</v>
      </c>
      <c r="E2505" t="s">
        <v>468</v>
      </c>
      <c r="F2505" t="s">
        <v>72</v>
      </c>
      <c r="G2505" t="s">
        <v>376</v>
      </c>
      <c r="H2505">
        <v>12.96</v>
      </c>
      <c r="I2505">
        <v>2</v>
      </c>
      <c r="J2505">
        <v>6.2207999999999997</v>
      </c>
      <c r="K2505">
        <v>2013</v>
      </c>
      <c r="L2505">
        <v>7</v>
      </c>
      <c r="M2505" t="s">
        <v>66</v>
      </c>
      <c r="N2505">
        <v>8</v>
      </c>
      <c r="O2505">
        <v>6</v>
      </c>
      <c r="P2505">
        <v>48</v>
      </c>
      <c r="Q2505">
        <v>6.48</v>
      </c>
      <c r="R2505" t="s">
        <v>26</v>
      </c>
      <c r="S2505" t="b">
        <v>0</v>
      </c>
      <c r="T2505" t="b">
        <v>0</v>
      </c>
    </row>
    <row r="2506" spans="1:20" x14ac:dyDescent="0.3">
      <c r="A2506" t="s">
        <v>3501</v>
      </c>
      <c r="B2506" s="1">
        <v>41463</v>
      </c>
      <c r="C2506" s="1">
        <v>41469</v>
      </c>
      <c r="D2506" t="s">
        <v>157</v>
      </c>
      <c r="E2506" t="s">
        <v>468</v>
      </c>
      <c r="F2506" t="s">
        <v>31</v>
      </c>
      <c r="G2506" t="s">
        <v>2484</v>
      </c>
      <c r="H2506">
        <v>45.98</v>
      </c>
      <c r="I2506">
        <v>2</v>
      </c>
      <c r="J2506">
        <v>12.8744</v>
      </c>
      <c r="K2506">
        <v>2013</v>
      </c>
      <c r="L2506">
        <v>7</v>
      </c>
      <c r="M2506" t="s">
        <v>66</v>
      </c>
      <c r="N2506">
        <v>8</v>
      </c>
      <c r="O2506">
        <v>6</v>
      </c>
      <c r="P2506">
        <v>28</v>
      </c>
      <c r="Q2506">
        <v>22.99</v>
      </c>
      <c r="R2506" t="s">
        <v>26</v>
      </c>
      <c r="S2506" t="b">
        <v>0</v>
      </c>
      <c r="T2506" t="b">
        <v>0</v>
      </c>
    </row>
    <row r="2507" spans="1:20" x14ac:dyDescent="0.3">
      <c r="A2507" t="s">
        <v>3502</v>
      </c>
      <c r="B2507" s="1">
        <v>41871</v>
      </c>
      <c r="C2507" s="1">
        <v>41875</v>
      </c>
      <c r="D2507" t="s">
        <v>1868</v>
      </c>
      <c r="E2507" t="s">
        <v>1231</v>
      </c>
      <c r="F2507" t="s">
        <v>33</v>
      </c>
      <c r="G2507" t="s">
        <v>2940</v>
      </c>
      <c r="H2507">
        <v>102.72</v>
      </c>
      <c r="I2507">
        <v>3</v>
      </c>
      <c r="J2507">
        <v>37.235999999999997</v>
      </c>
      <c r="K2507">
        <v>2014</v>
      </c>
      <c r="L2507">
        <v>8</v>
      </c>
      <c r="M2507" t="s">
        <v>53</v>
      </c>
      <c r="N2507">
        <v>20</v>
      </c>
      <c r="O2507">
        <v>4</v>
      </c>
      <c r="P2507">
        <v>36.25</v>
      </c>
      <c r="Q2507">
        <v>34.24</v>
      </c>
      <c r="R2507" t="s">
        <v>26</v>
      </c>
      <c r="S2507" t="b">
        <v>0</v>
      </c>
      <c r="T2507" t="b">
        <v>0</v>
      </c>
    </row>
    <row r="2508" spans="1:20" x14ac:dyDescent="0.3">
      <c r="A2508" t="s">
        <v>3503</v>
      </c>
      <c r="B2508" s="1">
        <v>41790</v>
      </c>
      <c r="C2508" s="1">
        <v>41795</v>
      </c>
      <c r="D2508" t="s">
        <v>3400</v>
      </c>
      <c r="E2508" t="s">
        <v>22</v>
      </c>
      <c r="F2508" t="s">
        <v>72</v>
      </c>
      <c r="G2508" t="s">
        <v>2989</v>
      </c>
      <c r="H2508">
        <v>37.520000000000003</v>
      </c>
      <c r="I2508">
        <v>4</v>
      </c>
      <c r="J2508">
        <v>18.009599999999999</v>
      </c>
      <c r="K2508">
        <v>2014</v>
      </c>
      <c r="L2508">
        <v>5</v>
      </c>
      <c r="M2508" t="s">
        <v>47</v>
      </c>
      <c r="N2508">
        <v>31</v>
      </c>
      <c r="O2508">
        <v>5</v>
      </c>
      <c r="P2508">
        <v>48</v>
      </c>
      <c r="Q2508">
        <v>9.3800000000000008</v>
      </c>
      <c r="R2508" t="s">
        <v>26</v>
      </c>
      <c r="S2508" t="b">
        <v>0</v>
      </c>
      <c r="T2508" t="b">
        <v>0</v>
      </c>
    </row>
    <row r="2509" spans="1:20" x14ac:dyDescent="0.3">
      <c r="A2509" t="s">
        <v>3504</v>
      </c>
      <c r="B2509" s="1">
        <v>41116</v>
      </c>
      <c r="C2509" s="1">
        <v>41121</v>
      </c>
      <c r="D2509" t="s">
        <v>554</v>
      </c>
      <c r="E2509" t="s">
        <v>849</v>
      </c>
      <c r="F2509" t="s">
        <v>110</v>
      </c>
      <c r="G2509" t="s">
        <v>2804</v>
      </c>
      <c r="H2509">
        <v>266.35199999999998</v>
      </c>
      <c r="I2509">
        <v>3</v>
      </c>
      <c r="J2509">
        <v>13.317600000000001</v>
      </c>
      <c r="K2509">
        <v>2012</v>
      </c>
      <c r="L2509">
        <v>7</v>
      </c>
      <c r="M2509" t="s">
        <v>66</v>
      </c>
      <c r="N2509">
        <v>26</v>
      </c>
      <c r="O2509">
        <v>5</v>
      </c>
      <c r="P2509">
        <v>5</v>
      </c>
      <c r="Q2509">
        <v>88.783999999999992</v>
      </c>
      <c r="R2509" t="s">
        <v>26</v>
      </c>
      <c r="S2509" t="b">
        <v>0</v>
      </c>
      <c r="T2509" t="b">
        <v>1</v>
      </c>
    </row>
    <row r="2510" spans="1:20" x14ac:dyDescent="0.3">
      <c r="A2510" t="s">
        <v>3505</v>
      </c>
      <c r="B2510" s="1">
        <v>41508</v>
      </c>
      <c r="C2510" s="1">
        <v>41511</v>
      </c>
      <c r="D2510" t="s">
        <v>568</v>
      </c>
      <c r="E2510" t="s">
        <v>39</v>
      </c>
      <c r="F2510" t="s">
        <v>33</v>
      </c>
      <c r="G2510" t="s">
        <v>654</v>
      </c>
      <c r="H2510">
        <v>33.44</v>
      </c>
      <c r="I2510">
        <v>10</v>
      </c>
      <c r="J2510">
        <v>11.704000000000001</v>
      </c>
      <c r="K2510">
        <v>2013</v>
      </c>
      <c r="L2510">
        <v>8</v>
      </c>
      <c r="M2510" t="s">
        <v>53</v>
      </c>
      <c r="N2510">
        <v>22</v>
      </c>
      <c r="O2510">
        <v>3</v>
      </c>
      <c r="P2510">
        <v>35</v>
      </c>
      <c r="Q2510">
        <v>3.3439999999999999</v>
      </c>
      <c r="R2510" t="s">
        <v>26</v>
      </c>
      <c r="S2510" t="b">
        <v>0</v>
      </c>
      <c r="T2510" t="b">
        <v>0</v>
      </c>
    </row>
    <row r="2511" spans="1:20" x14ac:dyDescent="0.3">
      <c r="A2511" t="s">
        <v>3506</v>
      </c>
      <c r="B2511" s="1">
        <v>40639</v>
      </c>
      <c r="C2511" s="1">
        <v>40643</v>
      </c>
      <c r="D2511" t="s">
        <v>1051</v>
      </c>
      <c r="E2511" t="s">
        <v>22</v>
      </c>
      <c r="F2511" t="s">
        <v>31</v>
      </c>
      <c r="G2511" t="s">
        <v>1847</v>
      </c>
      <c r="H2511">
        <v>70.95</v>
      </c>
      <c r="I2511">
        <v>3</v>
      </c>
      <c r="J2511">
        <v>18.446999999999999</v>
      </c>
      <c r="K2511">
        <v>2011</v>
      </c>
      <c r="L2511">
        <v>4</v>
      </c>
      <c r="M2511" t="s">
        <v>236</v>
      </c>
      <c r="N2511">
        <v>6</v>
      </c>
      <c r="O2511">
        <v>4</v>
      </c>
      <c r="P2511">
        <v>26</v>
      </c>
      <c r="Q2511">
        <v>23.65</v>
      </c>
      <c r="R2511" t="s">
        <v>26</v>
      </c>
      <c r="S2511" t="b">
        <v>0</v>
      </c>
      <c r="T2511" t="b">
        <v>0</v>
      </c>
    </row>
    <row r="2512" spans="1:20" x14ac:dyDescent="0.3">
      <c r="A2512" t="s">
        <v>3506</v>
      </c>
      <c r="B2512" s="1">
        <v>40639</v>
      </c>
      <c r="C2512" s="1">
        <v>40643</v>
      </c>
      <c r="D2512" t="s">
        <v>1051</v>
      </c>
      <c r="E2512" t="s">
        <v>22</v>
      </c>
      <c r="F2512" t="s">
        <v>33</v>
      </c>
      <c r="G2512" t="s">
        <v>102</v>
      </c>
      <c r="H2512">
        <v>65.567999999999998</v>
      </c>
      <c r="I2512">
        <v>2</v>
      </c>
      <c r="J2512">
        <v>23.7684</v>
      </c>
      <c r="K2512">
        <v>2011</v>
      </c>
      <c r="L2512">
        <v>4</v>
      </c>
      <c r="M2512" t="s">
        <v>236</v>
      </c>
      <c r="N2512">
        <v>6</v>
      </c>
      <c r="O2512">
        <v>4</v>
      </c>
      <c r="P2512">
        <v>36.25</v>
      </c>
      <c r="Q2512">
        <v>32.783999999999999</v>
      </c>
      <c r="R2512" t="s">
        <v>26</v>
      </c>
      <c r="S2512" t="b">
        <v>0</v>
      </c>
      <c r="T2512" t="b">
        <v>0</v>
      </c>
    </row>
    <row r="2513" spans="1:20" x14ac:dyDescent="0.3">
      <c r="A2513" t="s">
        <v>3506</v>
      </c>
      <c r="B2513" s="1">
        <v>40639</v>
      </c>
      <c r="C2513" s="1">
        <v>40643</v>
      </c>
      <c r="D2513" t="s">
        <v>1051</v>
      </c>
      <c r="E2513" t="s">
        <v>22</v>
      </c>
      <c r="F2513" t="s">
        <v>61</v>
      </c>
      <c r="G2513" t="s">
        <v>1368</v>
      </c>
      <c r="H2513">
        <v>299.97000000000003</v>
      </c>
      <c r="I2513">
        <v>3</v>
      </c>
      <c r="J2513">
        <v>131.98679999999999</v>
      </c>
      <c r="K2513">
        <v>2011</v>
      </c>
      <c r="L2513">
        <v>4</v>
      </c>
      <c r="M2513" t="s">
        <v>236</v>
      </c>
      <c r="N2513">
        <v>6</v>
      </c>
      <c r="O2513">
        <v>4</v>
      </c>
      <c r="P2513">
        <v>44</v>
      </c>
      <c r="Q2513">
        <v>99.990000000000009</v>
      </c>
      <c r="R2513" t="s">
        <v>26</v>
      </c>
      <c r="S2513" t="b">
        <v>0</v>
      </c>
      <c r="T2513" t="b">
        <v>1</v>
      </c>
    </row>
    <row r="2514" spans="1:20" x14ac:dyDescent="0.3">
      <c r="A2514" t="s">
        <v>3507</v>
      </c>
      <c r="B2514" s="1">
        <v>41314</v>
      </c>
      <c r="C2514" s="1">
        <v>41318</v>
      </c>
      <c r="D2514" t="s">
        <v>2765</v>
      </c>
      <c r="E2514" t="s">
        <v>51</v>
      </c>
      <c r="F2514" t="s">
        <v>61</v>
      </c>
      <c r="G2514" t="s">
        <v>202</v>
      </c>
      <c r="H2514">
        <v>89.97</v>
      </c>
      <c r="I2514">
        <v>3</v>
      </c>
      <c r="J2514">
        <v>39.586799999999997</v>
      </c>
      <c r="K2514">
        <v>2013</v>
      </c>
      <c r="L2514">
        <v>2</v>
      </c>
      <c r="M2514" t="s">
        <v>303</v>
      </c>
      <c r="N2514">
        <v>9</v>
      </c>
      <c r="O2514">
        <v>4</v>
      </c>
      <c r="P2514">
        <v>44</v>
      </c>
      <c r="Q2514">
        <v>29.99</v>
      </c>
      <c r="R2514" t="s">
        <v>26</v>
      </c>
      <c r="S2514" t="b">
        <v>0</v>
      </c>
      <c r="T2514" t="b">
        <v>0</v>
      </c>
    </row>
    <row r="2515" spans="1:20" x14ac:dyDescent="0.3">
      <c r="A2515" t="s">
        <v>3507</v>
      </c>
      <c r="B2515" s="1">
        <v>41314</v>
      </c>
      <c r="C2515" s="1">
        <v>41318</v>
      </c>
      <c r="D2515" t="s">
        <v>2765</v>
      </c>
      <c r="E2515" t="s">
        <v>51</v>
      </c>
      <c r="F2515" t="s">
        <v>61</v>
      </c>
      <c r="G2515" t="s">
        <v>3508</v>
      </c>
      <c r="H2515">
        <v>31.86</v>
      </c>
      <c r="I2515">
        <v>2</v>
      </c>
      <c r="J2515">
        <v>11.151</v>
      </c>
      <c r="K2515">
        <v>2013</v>
      </c>
      <c r="L2515">
        <v>2</v>
      </c>
      <c r="M2515" t="s">
        <v>303</v>
      </c>
      <c r="N2515">
        <v>9</v>
      </c>
      <c r="O2515">
        <v>4</v>
      </c>
      <c r="P2515">
        <v>35</v>
      </c>
      <c r="Q2515">
        <v>15.93</v>
      </c>
      <c r="R2515" t="s">
        <v>26</v>
      </c>
      <c r="S2515" t="b">
        <v>0</v>
      </c>
      <c r="T2515" t="b">
        <v>0</v>
      </c>
    </row>
    <row r="2516" spans="1:20" x14ac:dyDescent="0.3">
      <c r="A2516" t="s">
        <v>3509</v>
      </c>
      <c r="B2516" s="1">
        <v>41998</v>
      </c>
      <c r="C2516" s="1">
        <v>42004</v>
      </c>
      <c r="D2516" t="s">
        <v>539</v>
      </c>
      <c r="E2516" t="s">
        <v>1644</v>
      </c>
      <c r="F2516" t="s">
        <v>33</v>
      </c>
      <c r="G2516" t="s">
        <v>3510</v>
      </c>
      <c r="H2516">
        <v>21.312000000000001</v>
      </c>
      <c r="I2516">
        <v>3</v>
      </c>
      <c r="J2516">
        <v>7.992</v>
      </c>
      <c r="K2516">
        <v>2014</v>
      </c>
      <c r="L2516">
        <v>12</v>
      </c>
      <c r="M2516" t="s">
        <v>41</v>
      </c>
      <c r="N2516">
        <v>25</v>
      </c>
      <c r="O2516">
        <v>6</v>
      </c>
      <c r="P2516">
        <v>37.5</v>
      </c>
      <c r="Q2516">
        <v>7.1040000000000001</v>
      </c>
      <c r="R2516" t="s">
        <v>26</v>
      </c>
      <c r="S2516" t="b">
        <v>0</v>
      </c>
      <c r="T2516" t="b">
        <v>0</v>
      </c>
    </row>
    <row r="2517" spans="1:20" x14ac:dyDescent="0.3">
      <c r="A2517" t="s">
        <v>3511</v>
      </c>
      <c r="B2517" s="1">
        <v>41926</v>
      </c>
      <c r="C2517" s="1">
        <v>41933</v>
      </c>
      <c r="D2517" t="s">
        <v>869</v>
      </c>
      <c r="E2517" t="s">
        <v>1331</v>
      </c>
      <c r="F2517" t="s">
        <v>61</v>
      </c>
      <c r="G2517" t="s">
        <v>2212</v>
      </c>
      <c r="H2517">
        <v>209.94</v>
      </c>
      <c r="I2517">
        <v>6</v>
      </c>
      <c r="J2517">
        <v>39.888599999999997</v>
      </c>
      <c r="K2517">
        <v>2014</v>
      </c>
      <c r="L2517">
        <v>10</v>
      </c>
      <c r="M2517" t="s">
        <v>82</v>
      </c>
      <c r="N2517">
        <v>14</v>
      </c>
      <c r="O2517">
        <v>7</v>
      </c>
      <c r="P2517">
        <v>19</v>
      </c>
      <c r="Q2517">
        <v>34.99</v>
      </c>
      <c r="R2517" t="s">
        <v>26</v>
      </c>
      <c r="S2517" t="b">
        <v>0</v>
      </c>
      <c r="T2517" t="b">
        <v>0</v>
      </c>
    </row>
    <row r="2518" spans="1:20" x14ac:dyDescent="0.3">
      <c r="A2518" t="s">
        <v>3511</v>
      </c>
      <c r="B2518" s="1">
        <v>41926</v>
      </c>
      <c r="C2518" s="1">
        <v>41933</v>
      </c>
      <c r="D2518" t="s">
        <v>869</v>
      </c>
      <c r="E2518" t="s">
        <v>1331</v>
      </c>
      <c r="F2518" t="s">
        <v>54</v>
      </c>
      <c r="G2518" t="s">
        <v>2994</v>
      </c>
      <c r="H2518">
        <v>31.984000000000002</v>
      </c>
      <c r="I2518">
        <v>2</v>
      </c>
      <c r="J2518">
        <v>-7.9960000000000004</v>
      </c>
      <c r="K2518">
        <v>2014</v>
      </c>
      <c r="L2518">
        <v>10</v>
      </c>
      <c r="M2518" t="s">
        <v>82</v>
      </c>
      <c r="N2518">
        <v>14</v>
      </c>
      <c r="O2518">
        <v>7</v>
      </c>
      <c r="P2518">
        <v>-25</v>
      </c>
      <c r="Q2518">
        <v>15.992000000000001</v>
      </c>
      <c r="R2518" t="s">
        <v>26</v>
      </c>
      <c r="S2518" t="b">
        <v>1</v>
      </c>
      <c r="T2518" t="b">
        <v>0</v>
      </c>
    </row>
    <row r="2519" spans="1:20" x14ac:dyDescent="0.3">
      <c r="A2519" t="s">
        <v>3512</v>
      </c>
      <c r="B2519" s="1">
        <v>41975</v>
      </c>
      <c r="C2519" s="1">
        <v>41980</v>
      </c>
      <c r="D2519" t="s">
        <v>126</v>
      </c>
      <c r="E2519" t="s">
        <v>39</v>
      </c>
      <c r="F2519" t="s">
        <v>33</v>
      </c>
      <c r="G2519" t="s">
        <v>2205</v>
      </c>
      <c r="H2519">
        <v>15.92</v>
      </c>
      <c r="I2519">
        <v>5</v>
      </c>
      <c r="J2519">
        <v>5.3730000000000002</v>
      </c>
      <c r="K2519">
        <v>2014</v>
      </c>
      <c r="L2519">
        <v>12</v>
      </c>
      <c r="M2519" t="s">
        <v>41</v>
      </c>
      <c r="N2519">
        <v>2</v>
      </c>
      <c r="O2519">
        <v>5</v>
      </c>
      <c r="P2519">
        <v>33.75</v>
      </c>
      <c r="Q2519">
        <v>3.1840000000000002</v>
      </c>
      <c r="R2519" t="s">
        <v>26</v>
      </c>
      <c r="S2519" t="b">
        <v>0</v>
      </c>
      <c r="T2519" t="b">
        <v>0</v>
      </c>
    </row>
    <row r="2520" spans="1:20" x14ac:dyDescent="0.3">
      <c r="A2520" t="s">
        <v>3512</v>
      </c>
      <c r="B2520" s="1">
        <v>41975</v>
      </c>
      <c r="C2520" s="1">
        <v>41980</v>
      </c>
      <c r="D2520" t="s">
        <v>126</v>
      </c>
      <c r="E2520" t="s">
        <v>39</v>
      </c>
      <c r="F2520" t="s">
        <v>29</v>
      </c>
      <c r="G2520" t="s">
        <v>310</v>
      </c>
      <c r="H2520">
        <v>70.680000000000007</v>
      </c>
      <c r="I2520">
        <v>12</v>
      </c>
      <c r="J2520">
        <v>31.0992</v>
      </c>
      <c r="K2520">
        <v>2014</v>
      </c>
      <c r="L2520">
        <v>12</v>
      </c>
      <c r="M2520" t="s">
        <v>41</v>
      </c>
      <c r="N2520">
        <v>2</v>
      </c>
      <c r="O2520">
        <v>5</v>
      </c>
      <c r="P2520">
        <v>44</v>
      </c>
      <c r="Q2520">
        <v>5.8900000000000006</v>
      </c>
      <c r="R2520" t="s">
        <v>26</v>
      </c>
      <c r="S2520" t="b">
        <v>0</v>
      </c>
      <c r="T2520" t="b">
        <v>0</v>
      </c>
    </row>
    <row r="2521" spans="1:20" x14ac:dyDescent="0.3">
      <c r="A2521" t="s">
        <v>3513</v>
      </c>
      <c r="B2521" s="1">
        <v>40991</v>
      </c>
      <c r="C2521" s="1">
        <v>40993</v>
      </c>
      <c r="D2521" t="s">
        <v>1323</v>
      </c>
      <c r="E2521" t="s">
        <v>22</v>
      </c>
      <c r="F2521" t="s">
        <v>72</v>
      </c>
      <c r="G2521" t="s">
        <v>2532</v>
      </c>
      <c r="H2521">
        <v>192.72</v>
      </c>
      <c r="I2521">
        <v>11</v>
      </c>
      <c r="J2521">
        <v>92.505600000000001</v>
      </c>
      <c r="K2521">
        <v>2012</v>
      </c>
      <c r="L2521">
        <v>3</v>
      </c>
      <c r="M2521" t="s">
        <v>135</v>
      </c>
      <c r="N2521">
        <v>23</v>
      </c>
      <c r="O2521">
        <v>2</v>
      </c>
      <c r="P2521">
        <v>48</v>
      </c>
      <c r="Q2521">
        <v>17.52</v>
      </c>
      <c r="R2521" t="s">
        <v>26</v>
      </c>
      <c r="S2521" t="b">
        <v>0</v>
      </c>
      <c r="T2521" t="b">
        <v>0</v>
      </c>
    </row>
    <row r="2522" spans="1:20" x14ac:dyDescent="0.3">
      <c r="A2522" t="s">
        <v>3513</v>
      </c>
      <c r="B2522" s="1">
        <v>40991</v>
      </c>
      <c r="C2522" s="1">
        <v>40993</v>
      </c>
      <c r="D2522" t="s">
        <v>1323</v>
      </c>
      <c r="E2522" t="s">
        <v>22</v>
      </c>
      <c r="F2522" t="s">
        <v>61</v>
      </c>
      <c r="G2522" t="s">
        <v>2346</v>
      </c>
      <c r="H2522">
        <v>239.97</v>
      </c>
      <c r="I2522">
        <v>3</v>
      </c>
      <c r="J2522">
        <v>86.389200000000002</v>
      </c>
      <c r="K2522">
        <v>2012</v>
      </c>
      <c r="L2522">
        <v>3</v>
      </c>
      <c r="M2522" t="s">
        <v>135</v>
      </c>
      <c r="N2522">
        <v>23</v>
      </c>
      <c r="O2522">
        <v>2</v>
      </c>
      <c r="P2522">
        <v>36</v>
      </c>
      <c r="Q2522">
        <v>79.989999999999995</v>
      </c>
      <c r="R2522" t="s">
        <v>26</v>
      </c>
      <c r="S2522" t="b">
        <v>0</v>
      </c>
      <c r="T2522" t="b">
        <v>1</v>
      </c>
    </row>
    <row r="2523" spans="1:20" x14ac:dyDescent="0.3">
      <c r="A2523" t="s">
        <v>3514</v>
      </c>
      <c r="B2523" s="1">
        <v>40751</v>
      </c>
      <c r="C2523" s="1">
        <v>40754</v>
      </c>
      <c r="D2523" t="s">
        <v>206</v>
      </c>
      <c r="E2523" t="s">
        <v>22</v>
      </c>
      <c r="F2523" t="s">
        <v>45</v>
      </c>
      <c r="G2523" t="s">
        <v>3515</v>
      </c>
      <c r="H2523">
        <v>276.27999999999997</v>
      </c>
      <c r="I2523">
        <v>2</v>
      </c>
      <c r="J2523">
        <v>0</v>
      </c>
      <c r="K2523">
        <v>2011</v>
      </c>
      <c r="L2523">
        <v>7</v>
      </c>
      <c r="M2523" t="s">
        <v>66</v>
      </c>
      <c r="N2523">
        <v>27</v>
      </c>
      <c r="O2523">
        <v>3</v>
      </c>
      <c r="P2523">
        <v>0</v>
      </c>
      <c r="Q2523">
        <v>138.13999999999999</v>
      </c>
      <c r="R2523" t="s">
        <v>26</v>
      </c>
      <c r="S2523" t="b">
        <v>0</v>
      </c>
      <c r="T2523" t="b">
        <v>1</v>
      </c>
    </row>
    <row r="2524" spans="1:20" x14ac:dyDescent="0.3">
      <c r="A2524" t="s">
        <v>3516</v>
      </c>
      <c r="B2524" s="1">
        <v>41502</v>
      </c>
      <c r="C2524" s="1">
        <v>41509</v>
      </c>
      <c r="D2524" t="s">
        <v>1811</v>
      </c>
      <c r="E2524" t="s">
        <v>22</v>
      </c>
      <c r="F2524" t="s">
        <v>29</v>
      </c>
      <c r="G2524" t="s">
        <v>3517</v>
      </c>
      <c r="H2524">
        <v>312.02999999999997</v>
      </c>
      <c r="I2524">
        <v>3</v>
      </c>
      <c r="J2524">
        <v>43.684199999999997</v>
      </c>
      <c r="K2524">
        <v>2013</v>
      </c>
      <c r="L2524">
        <v>8</v>
      </c>
      <c r="M2524" t="s">
        <v>53</v>
      </c>
      <c r="N2524">
        <v>16</v>
      </c>
      <c r="O2524">
        <v>7</v>
      </c>
      <c r="P2524">
        <v>14</v>
      </c>
      <c r="Q2524">
        <v>104.01</v>
      </c>
      <c r="R2524" t="s">
        <v>26</v>
      </c>
      <c r="S2524" t="b">
        <v>0</v>
      </c>
      <c r="T2524" t="b">
        <v>1</v>
      </c>
    </row>
    <row r="2525" spans="1:20" x14ac:dyDescent="0.3">
      <c r="A2525" t="s">
        <v>3516</v>
      </c>
      <c r="B2525" s="1">
        <v>41502</v>
      </c>
      <c r="C2525" s="1">
        <v>41509</v>
      </c>
      <c r="D2525" t="s">
        <v>1811</v>
      </c>
      <c r="E2525" t="s">
        <v>22</v>
      </c>
      <c r="F2525" t="s">
        <v>45</v>
      </c>
      <c r="G2525" t="s">
        <v>1120</v>
      </c>
      <c r="H2525">
        <v>17.940000000000001</v>
      </c>
      <c r="I2525">
        <v>3</v>
      </c>
      <c r="J2525">
        <v>3.0497999999999998</v>
      </c>
      <c r="K2525">
        <v>2013</v>
      </c>
      <c r="L2525">
        <v>8</v>
      </c>
      <c r="M2525" t="s">
        <v>53</v>
      </c>
      <c r="N2525">
        <v>16</v>
      </c>
      <c r="O2525">
        <v>7</v>
      </c>
      <c r="P2525">
        <v>17</v>
      </c>
      <c r="Q2525">
        <v>5.98</v>
      </c>
      <c r="R2525" t="s">
        <v>26</v>
      </c>
      <c r="S2525" t="b">
        <v>0</v>
      </c>
      <c r="T2525" t="b">
        <v>0</v>
      </c>
    </row>
    <row r="2526" spans="1:20" x14ac:dyDescent="0.3">
      <c r="A2526" t="s">
        <v>3516</v>
      </c>
      <c r="B2526" s="1">
        <v>41502</v>
      </c>
      <c r="C2526" s="1">
        <v>41509</v>
      </c>
      <c r="D2526" t="s">
        <v>1811</v>
      </c>
      <c r="E2526" t="s">
        <v>22</v>
      </c>
      <c r="F2526" t="s">
        <v>54</v>
      </c>
      <c r="G2526" t="s">
        <v>3518</v>
      </c>
      <c r="H2526">
        <v>165.6</v>
      </c>
      <c r="I2526">
        <v>3</v>
      </c>
      <c r="J2526">
        <v>10.35</v>
      </c>
      <c r="K2526">
        <v>2013</v>
      </c>
      <c r="L2526">
        <v>8</v>
      </c>
      <c r="M2526" t="s">
        <v>53</v>
      </c>
      <c r="N2526">
        <v>16</v>
      </c>
      <c r="O2526">
        <v>7</v>
      </c>
      <c r="P2526">
        <v>6.25</v>
      </c>
      <c r="Q2526">
        <v>55.2</v>
      </c>
      <c r="R2526" t="s">
        <v>26</v>
      </c>
      <c r="S2526" t="b">
        <v>0</v>
      </c>
      <c r="T2526" t="b">
        <v>0</v>
      </c>
    </row>
    <row r="2527" spans="1:20" x14ac:dyDescent="0.3">
      <c r="A2527" t="s">
        <v>3516</v>
      </c>
      <c r="B2527" s="1">
        <v>41502</v>
      </c>
      <c r="C2527" s="1">
        <v>41509</v>
      </c>
      <c r="D2527" t="s">
        <v>1811</v>
      </c>
      <c r="E2527" t="s">
        <v>22</v>
      </c>
      <c r="F2527" t="s">
        <v>72</v>
      </c>
      <c r="G2527" t="s">
        <v>2989</v>
      </c>
      <c r="H2527">
        <v>37.520000000000003</v>
      </c>
      <c r="I2527">
        <v>4</v>
      </c>
      <c r="J2527">
        <v>18.009599999999999</v>
      </c>
      <c r="K2527">
        <v>2013</v>
      </c>
      <c r="L2527">
        <v>8</v>
      </c>
      <c r="M2527" t="s">
        <v>53</v>
      </c>
      <c r="N2527">
        <v>16</v>
      </c>
      <c r="O2527">
        <v>7</v>
      </c>
      <c r="P2527">
        <v>48</v>
      </c>
      <c r="Q2527">
        <v>9.3800000000000008</v>
      </c>
      <c r="R2527" t="s">
        <v>26</v>
      </c>
      <c r="S2527" t="b">
        <v>0</v>
      </c>
      <c r="T2527" t="b">
        <v>0</v>
      </c>
    </row>
    <row r="2528" spans="1:20" x14ac:dyDescent="0.3">
      <c r="A2528" t="s">
        <v>3519</v>
      </c>
      <c r="B2528" s="1">
        <v>41627</v>
      </c>
      <c r="C2528" s="1">
        <v>41629</v>
      </c>
      <c r="D2528" t="s">
        <v>1604</v>
      </c>
      <c r="E2528" t="s">
        <v>51</v>
      </c>
      <c r="F2528" t="s">
        <v>54</v>
      </c>
      <c r="G2528" t="s">
        <v>2613</v>
      </c>
      <c r="H2528">
        <v>66.975999999999999</v>
      </c>
      <c r="I2528">
        <v>7</v>
      </c>
      <c r="J2528">
        <v>6.6976000000000004</v>
      </c>
      <c r="K2528">
        <v>2013</v>
      </c>
      <c r="L2528">
        <v>12</v>
      </c>
      <c r="M2528" t="s">
        <v>41</v>
      </c>
      <c r="N2528">
        <v>19</v>
      </c>
      <c r="O2528">
        <v>2</v>
      </c>
      <c r="P2528">
        <v>10</v>
      </c>
      <c r="Q2528">
        <v>9.5679999999999996</v>
      </c>
      <c r="R2528" t="s">
        <v>26</v>
      </c>
      <c r="S2528" t="b">
        <v>0</v>
      </c>
      <c r="T2528" t="b">
        <v>0</v>
      </c>
    </row>
    <row r="2529" spans="1:20" x14ac:dyDescent="0.3">
      <c r="A2529" t="s">
        <v>3520</v>
      </c>
      <c r="B2529" s="1">
        <v>40934</v>
      </c>
      <c r="C2529" s="1">
        <v>40940</v>
      </c>
      <c r="D2529" t="s">
        <v>3010</v>
      </c>
      <c r="E2529" t="s">
        <v>2369</v>
      </c>
      <c r="F2529" t="s">
        <v>72</v>
      </c>
      <c r="G2529" t="s">
        <v>1777</v>
      </c>
      <c r="H2529">
        <v>182.72</v>
      </c>
      <c r="I2529">
        <v>8</v>
      </c>
      <c r="J2529">
        <v>84.051199999999994</v>
      </c>
      <c r="K2529">
        <v>2012</v>
      </c>
      <c r="L2529">
        <v>1</v>
      </c>
      <c r="M2529" t="s">
        <v>60</v>
      </c>
      <c r="N2529">
        <v>26</v>
      </c>
      <c r="O2529">
        <v>6</v>
      </c>
      <c r="P2529">
        <v>46</v>
      </c>
      <c r="Q2529">
        <v>22.84</v>
      </c>
      <c r="R2529" t="s">
        <v>26</v>
      </c>
      <c r="S2529" t="b">
        <v>0</v>
      </c>
      <c r="T2529" t="b">
        <v>0</v>
      </c>
    </row>
    <row r="2530" spans="1:20" x14ac:dyDescent="0.3">
      <c r="A2530" t="s">
        <v>3521</v>
      </c>
      <c r="B2530" s="1">
        <v>41179</v>
      </c>
      <c r="C2530" s="1">
        <v>41181</v>
      </c>
      <c r="D2530" t="s">
        <v>2768</v>
      </c>
      <c r="E2530" t="s">
        <v>39</v>
      </c>
      <c r="F2530" t="s">
        <v>31</v>
      </c>
      <c r="G2530" t="s">
        <v>1064</v>
      </c>
      <c r="H2530">
        <v>99.2</v>
      </c>
      <c r="I2530">
        <v>5</v>
      </c>
      <c r="J2530">
        <v>25.792000000000002</v>
      </c>
      <c r="K2530">
        <v>2012</v>
      </c>
      <c r="L2530">
        <v>9</v>
      </c>
      <c r="M2530" t="s">
        <v>87</v>
      </c>
      <c r="N2530">
        <v>27</v>
      </c>
      <c r="O2530">
        <v>2</v>
      </c>
      <c r="P2530">
        <v>26</v>
      </c>
      <c r="Q2530">
        <v>19.84</v>
      </c>
      <c r="R2530" t="s">
        <v>26</v>
      </c>
      <c r="S2530" t="b">
        <v>0</v>
      </c>
      <c r="T2530" t="b">
        <v>0</v>
      </c>
    </row>
    <row r="2531" spans="1:20" x14ac:dyDescent="0.3">
      <c r="A2531" t="s">
        <v>3522</v>
      </c>
      <c r="B2531" s="1">
        <v>41260</v>
      </c>
      <c r="C2531" s="1">
        <v>41262</v>
      </c>
      <c r="D2531" t="s">
        <v>1074</v>
      </c>
      <c r="E2531" t="s">
        <v>22</v>
      </c>
      <c r="F2531" t="s">
        <v>31</v>
      </c>
      <c r="G2531" t="s">
        <v>734</v>
      </c>
      <c r="H2531">
        <v>204.85</v>
      </c>
      <c r="I2531">
        <v>5</v>
      </c>
      <c r="J2531">
        <v>53.261000000000003</v>
      </c>
      <c r="K2531">
        <v>2012</v>
      </c>
      <c r="L2531">
        <v>12</v>
      </c>
      <c r="M2531" t="s">
        <v>41</v>
      </c>
      <c r="N2531">
        <v>17</v>
      </c>
      <c r="O2531">
        <v>2</v>
      </c>
      <c r="P2531">
        <v>26</v>
      </c>
      <c r="Q2531">
        <v>40.97</v>
      </c>
      <c r="R2531" t="s">
        <v>26</v>
      </c>
      <c r="S2531" t="b">
        <v>0</v>
      </c>
      <c r="T2531" t="b">
        <v>0</v>
      </c>
    </row>
    <row r="2532" spans="1:20" x14ac:dyDescent="0.3">
      <c r="A2532" t="s">
        <v>3522</v>
      </c>
      <c r="B2532" s="1">
        <v>41260</v>
      </c>
      <c r="C2532" s="1">
        <v>41262</v>
      </c>
      <c r="D2532" t="s">
        <v>1074</v>
      </c>
      <c r="E2532" t="s">
        <v>22</v>
      </c>
      <c r="F2532" t="s">
        <v>54</v>
      </c>
      <c r="G2532" t="s">
        <v>2849</v>
      </c>
      <c r="H2532">
        <v>135.98400000000001</v>
      </c>
      <c r="I2532">
        <v>2</v>
      </c>
      <c r="J2532">
        <v>16.998000000000001</v>
      </c>
      <c r="K2532">
        <v>2012</v>
      </c>
      <c r="L2532">
        <v>12</v>
      </c>
      <c r="M2532" t="s">
        <v>41</v>
      </c>
      <c r="N2532">
        <v>17</v>
      </c>
      <c r="O2532">
        <v>2</v>
      </c>
      <c r="P2532">
        <v>12.5</v>
      </c>
      <c r="Q2532">
        <v>67.992000000000004</v>
      </c>
      <c r="R2532" t="s">
        <v>26</v>
      </c>
      <c r="S2532" t="b">
        <v>0</v>
      </c>
      <c r="T2532" t="b">
        <v>0</v>
      </c>
    </row>
    <row r="2533" spans="1:20" x14ac:dyDescent="0.3">
      <c r="A2533" t="s">
        <v>3522</v>
      </c>
      <c r="B2533" s="1">
        <v>41260</v>
      </c>
      <c r="C2533" s="1">
        <v>41262</v>
      </c>
      <c r="D2533" t="s">
        <v>1074</v>
      </c>
      <c r="E2533" t="s">
        <v>22</v>
      </c>
      <c r="F2533" t="s">
        <v>31</v>
      </c>
      <c r="G2533" t="s">
        <v>3523</v>
      </c>
      <c r="H2533">
        <v>16.399999999999999</v>
      </c>
      <c r="I2533">
        <v>5</v>
      </c>
      <c r="J2533">
        <v>7.0519999999999996</v>
      </c>
      <c r="K2533">
        <v>2012</v>
      </c>
      <c r="L2533">
        <v>12</v>
      </c>
      <c r="M2533" t="s">
        <v>41</v>
      </c>
      <c r="N2533">
        <v>17</v>
      </c>
      <c r="O2533">
        <v>2</v>
      </c>
      <c r="P2533">
        <v>43</v>
      </c>
      <c r="Q2533">
        <v>3.28</v>
      </c>
      <c r="R2533" t="s">
        <v>26</v>
      </c>
      <c r="S2533" t="b">
        <v>0</v>
      </c>
      <c r="T2533" t="b">
        <v>0</v>
      </c>
    </row>
    <row r="2534" spans="1:20" x14ac:dyDescent="0.3">
      <c r="A2534" t="s">
        <v>3522</v>
      </c>
      <c r="B2534" s="1">
        <v>41260</v>
      </c>
      <c r="C2534" s="1">
        <v>41262</v>
      </c>
      <c r="D2534" t="s">
        <v>1074</v>
      </c>
      <c r="E2534" t="s">
        <v>22</v>
      </c>
      <c r="F2534" t="s">
        <v>33</v>
      </c>
      <c r="G2534" t="s">
        <v>1340</v>
      </c>
      <c r="H2534">
        <v>92.96</v>
      </c>
      <c r="I2534">
        <v>2</v>
      </c>
      <c r="J2534">
        <v>31.373999999999999</v>
      </c>
      <c r="K2534">
        <v>2012</v>
      </c>
      <c r="L2534">
        <v>12</v>
      </c>
      <c r="M2534" t="s">
        <v>41</v>
      </c>
      <c r="N2534">
        <v>17</v>
      </c>
      <c r="O2534">
        <v>2</v>
      </c>
      <c r="P2534">
        <v>33.75</v>
      </c>
      <c r="Q2534">
        <v>46.48</v>
      </c>
      <c r="R2534" t="s">
        <v>26</v>
      </c>
      <c r="S2534" t="b">
        <v>0</v>
      </c>
      <c r="T2534" t="b">
        <v>0</v>
      </c>
    </row>
    <row r="2535" spans="1:20" x14ac:dyDescent="0.3">
      <c r="A2535" t="s">
        <v>3524</v>
      </c>
      <c r="B2535" s="1">
        <v>41582</v>
      </c>
      <c r="C2535" s="1">
        <v>41584</v>
      </c>
      <c r="D2535" t="s">
        <v>955</v>
      </c>
      <c r="E2535" t="s">
        <v>92</v>
      </c>
      <c r="F2535" t="s">
        <v>33</v>
      </c>
      <c r="G2535" t="s">
        <v>1997</v>
      </c>
      <c r="H2535">
        <v>4.1580000000000004</v>
      </c>
      <c r="I2535">
        <v>7</v>
      </c>
      <c r="J2535">
        <v>-3.4649999999999999</v>
      </c>
      <c r="K2535">
        <v>2013</v>
      </c>
      <c r="L2535">
        <v>11</v>
      </c>
      <c r="M2535" t="s">
        <v>70</v>
      </c>
      <c r="N2535">
        <v>4</v>
      </c>
      <c r="O2535">
        <v>2</v>
      </c>
      <c r="P2535">
        <v>-83.33</v>
      </c>
      <c r="Q2535">
        <v>0.59400000000000008</v>
      </c>
      <c r="R2535" t="s">
        <v>26</v>
      </c>
      <c r="S2535" t="b">
        <v>1</v>
      </c>
      <c r="T2535" t="b">
        <v>0</v>
      </c>
    </row>
    <row r="2536" spans="1:20" x14ac:dyDescent="0.3">
      <c r="A2536" t="s">
        <v>3524</v>
      </c>
      <c r="B2536" s="1">
        <v>41582</v>
      </c>
      <c r="C2536" s="1">
        <v>41584</v>
      </c>
      <c r="D2536" t="s">
        <v>955</v>
      </c>
      <c r="E2536" t="s">
        <v>92</v>
      </c>
      <c r="F2536" t="s">
        <v>793</v>
      </c>
      <c r="G2536" t="s">
        <v>3525</v>
      </c>
      <c r="H2536">
        <v>179.99100000000001</v>
      </c>
      <c r="I2536">
        <v>3</v>
      </c>
      <c r="J2536">
        <v>-251.98740000000001</v>
      </c>
      <c r="K2536">
        <v>2013</v>
      </c>
      <c r="L2536">
        <v>11</v>
      </c>
      <c r="M2536" t="s">
        <v>70</v>
      </c>
      <c r="N2536">
        <v>4</v>
      </c>
      <c r="O2536">
        <v>2</v>
      </c>
      <c r="P2536">
        <v>-140</v>
      </c>
      <c r="Q2536">
        <v>59.997000000000007</v>
      </c>
      <c r="R2536" t="s">
        <v>26</v>
      </c>
      <c r="S2536" t="b">
        <v>1</v>
      </c>
      <c r="T2536" t="b">
        <v>0</v>
      </c>
    </row>
    <row r="2537" spans="1:20" x14ac:dyDescent="0.3">
      <c r="A2537" t="s">
        <v>3526</v>
      </c>
      <c r="B2537" s="1">
        <v>40884</v>
      </c>
      <c r="C2537" s="1">
        <v>40885</v>
      </c>
      <c r="D2537" t="s">
        <v>650</v>
      </c>
      <c r="E2537" t="s">
        <v>51</v>
      </c>
      <c r="F2537" t="s">
        <v>72</v>
      </c>
      <c r="G2537" t="s">
        <v>1447</v>
      </c>
      <c r="H2537">
        <v>164.88</v>
      </c>
      <c r="I2537">
        <v>3</v>
      </c>
      <c r="J2537">
        <v>80.791200000000003</v>
      </c>
      <c r="K2537">
        <v>2011</v>
      </c>
      <c r="L2537">
        <v>12</v>
      </c>
      <c r="M2537" t="s">
        <v>41</v>
      </c>
      <c r="N2537">
        <v>7</v>
      </c>
      <c r="O2537">
        <v>1</v>
      </c>
      <c r="P2537">
        <v>49</v>
      </c>
      <c r="Q2537">
        <v>54.96</v>
      </c>
      <c r="R2537" t="s">
        <v>26</v>
      </c>
      <c r="S2537" t="b">
        <v>0</v>
      </c>
      <c r="T2537" t="b">
        <v>0</v>
      </c>
    </row>
    <row r="2538" spans="1:20" x14ac:dyDescent="0.3">
      <c r="A2538" t="s">
        <v>3527</v>
      </c>
      <c r="B2538" s="1">
        <v>40862</v>
      </c>
      <c r="C2538" s="1">
        <v>40864</v>
      </c>
      <c r="D2538" t="s">
        <v>1326</v>
      </c>
      <c r="E2538" t="s">
        <v>51</v>
      </c>
      <c r="F2538" t="s">
        <v>122</v>
      </c>
      <c r="G2538" t="s">
        <v>400</v>
      </c>
      <c r="H2538">
        <v>10.95</v>
      </c>
      <c r="I2538">
        <v>3</v>
      </c>
      <c r="J2538">
        <v>3.2850000000000001</v>
      </c>
      <c r="K2538">
        <v>2011</v>
      </c>
      <c r="L2538">
        <v>11</v>
      </c>
      <c r="M2538" t="s">
        <v>70</v>
      </c>
      <c r="N2538">
        <v>15</v>
      </c>
      <c r="O2538">
        <v>2</v>
      </c>
      <c r="P2538">
        <v>30</v>
      </c>
      <c r="Q2538">
        <v>3.65</v>
      </c>
      <c r="R2538" t="s">
        <v>26</v>
      </c>
      <c r="S2538" t="b">
        <v>0</v>
      </c>
      <c r="T2538" t="b">
        <v>0</v>
      </c>
    </row>
    <row r="2539" spans="1:20" x14ac:dyDescent="0.3">
      <c r="A2539" t="s">
        <v>3528</v>
      </c>
      <c r="B2539" s="1">
        <v>40901</v>
      </c>
      <c r="C2539" s="1">
        <v>40903</v>
      </c>
      <c r="D2539" t="s">
        <v>3529</v>
      </c>
      <c r="E2539" t="s">
        <v>194</v>
      </c>
      <c r="F2539" t="s">
        <v>35</v>
      </c>
      <c r="G2539" t="s">
        <v>3288</v>
      </c>
      <c r="H2539">
        <v>13.97</v>
      </c>
      <c r="I2539">
        <v>1</v>
      </c>
      <c r="J2539">
        <v>3.6322000000000001</v>
      </c>
      <c r="K2539">
        <v>2011</v>
      </c>
      <c r="L2539">
        <v>12</v>
      </c>
      <c r="M2539" t="s">
        <v>41</v>
      </c>
      <c r="N2539">
        <v>24</v>
      </c>
      <c r="O2539">
        <v>2</v>
      </c>
      <c r="P2539">
        <v>26</v>
      </c>
      <c r="Q2539">
        <v>13.97</v>
      </c>
      <c r="R2539" t="s">
        <v>48</v>
      </c>
      <c r="S2539" t="b">
        <v>0</v>
      </c>
      <c r="T2539" t="b">
        <v>0</v>
      </c>
    </row>
    <row r="2540" spans="1:20" x14ac:dyDescent="0.3">
      <c r="A2540" t="s">
        <v>3530</v>
      </c>
      <c r="B2540" s="1">
        <v>40806</v>
      </c>
      <c r="C2540" s="1">
        <v>40810</v>
      </c>
      <c r="D2540" t="s">
        <v>769</v>
      </c>
      <c r="E2540" t="s">
        <v>194</v>
      </c>
      <c r="F2540" t="s">
        <v>72</v>
      </c>
      <c r="G2540" t="s">
        <v>3169</v>
      </c>
      <c r="H2540">
        <v>8.56</v>
      </c>
      <c r="I2540">
        <v>2</v>
      </c>
      <c r="J2540">
        <v>3.8519999999999999</v>
      </c>
      <c r="K2540">
        <v>2011</v>
      </c>
      <c r="L2540">
        <v>9</v>
      </c>
      <c r="M2540" t="s">
        <v>87</v>
      </c>
      <c r="N2540">
        <v>20</v>
      </c>
      <c r="O2540">
        <v>4</v>
      </c>
      <c r="P2540">
        <v>45</v>
      </c>
      <c r="Q2540">
        <v>4.28</v>
      </c>
      <c r="R2540" t="s">
        <v>26</v>
      </c>
      <c r="S2540" t="b">
        <v>0</v>
      </c>
      <c r="T2540" t="b">
        <v>0</v>
      </c>
    </row>
    <row r="2541" spans="1:20" x14ac:dyDescent="0.3">
      <c r="A2541" t="s">
        <v>3531</v>
      </c>
      <c r="B2541" s="1">
        <v>41755</v>
      </c>
      <c r="C2541" s="1">
        <v>41757</v>
      </c>
      <c r="D2541" t="s">
        <v>3104</v>
      </c>
      <c r="E2541" t="s">
        <v>22</v>
      </c>
      <c r="F2541" t="s">
        <v>317</v>
      </c>
      <c r="G2541" t="s">
        <v>3006</v>
      </c>
      <c r="H2541">
        <v>344.98099999999999</v>
      </c>
      <c r="I2541">
        <v>7</v>
      </c>
      <c r="J2541">
        <v>28.4102</v>
      </c>
      <c r="K2541">
        <v>2014</v>
      </c>
      <c r="L2541">
        <v>4</v>
      </c>
      <c r="M2541" t="s">
        <v>236</v>
      </c>
      <c r="N2541">
        <v>26</v>
      </c>
      <c r="O2541">
        <v>2</v>
      </c>
      <c r="P2541">
        <v>8.24</v>
      </c>
      <c r="Q2541">
        <v>49.283000000000001</v>
      </c>
      <c r="R2541" t="s">
        <v>26</v>
      </c>
      <c r="S2541" t="b">
        <v>0</v>
      </c>
      <c r="T2541" t="b">
        <v>1</v>
      </c>
    </row>
    <row r="2542" spans="1:20" x14ac:dyDescent="0.3">
      <c r="A2542" t="s">
        <v>3532</v>
      </c>
      <c r="B2542" s="1">
        <v>41914</v>
      </c>
      <c r="C2542" s="1">
        <v>41919</v>
      </c>
      <c r="D2542" t="s">
        <v>309</v>
      </c>
      <c r="E2542" t="s">
        <v>51</v>
      </c>
      <c r="F2542" t="s">
        <v>61</v>
      </c>
      <c r="G2542" t="s">
        <v>2141</v>
      </c>
      <c r="H2542">
        <v>104.75</v>
      </c>
      <c r="I2542">
        <v>5</v>
      </c>
      <c r="J2542">
        <v>21.997499999999999</v>
      </c>
      <c r="K2542">
        <v>2014</v>
      </c>
      <c r="L2542">
        <v>10</v>
      </c>
      <c r="M2542" t="s">
        <v>82</v>
      </c>
      <c r="N2542">
        <v>2</v>
      </c>
      <c r="O2542">
        <v>5</v>
      </c>
      <c r="P2542">
        <v>21</v>
      </c>
      <c r="Q2542">
        <v>20.95</v>
      </c>
      <c r="R2542" t="s">
        <v>26</v>
      </c>
      <c r="S2542" t="b">
        <v>0</v>
      </c>
      <c r="T2542" t="b">
        <v>0</v>
      </c>
    </row>
    <row r="2543" spans="1:20" x14ac:dyDescent="0.3">
      <c r="A2543" t="s">
        <v>3533</v>
      </c>
      <c r="B2543" s="1">
        <v>40716</v>
      </c>
      <c r="C2543" s="1">
        <v>40716</v>
      </c>
      <c r="D2543" t="s">
        <v>3534</v>
      </c>
      <c r="E2543" t="s">
        <v>105</v>
      </c>
      <c r="F2543" t="s">
        <v>33</v>
      </c>
      <c r="G2543" t="s">
        <v>2430</v>
      </c>
      <c r="H2543">
        <v>8.2260000000000009</v>
      </c>
      <c r="I2543">
        <v>3</v>
      </c>
      <c r="J2543">
        <v>-6.0324</v>
      </c>
      <c r="K2543">
        <v>2011</v>
      </c>
      <c r="L2543">
        <v>6</v>
      </c>
      <c r="M2543" t="s">
        <v>25</v>
      </c>
      <c r="N2543">
        <v>22</v>
      </c>
      <c r="O2543">
        <v>0</v>
      </c>
      <c r="P2543">
        <v>-73.33</v>
      </c>
      <c r="Q2543">
        <v>2.742</v>
      </c>
      <c r="R2543" t="s">
        <v>48</v>
      </c>
      <c r="S2543" t="b">
        <v>1</v>
      </c>
      <c r="T2543" t="b">
        <v>0</v>
      </c>
    </row>
    <row r="2544" spans="1:20" x14ac:dyDescent="0.3">
      <c r="A2544" t="s">
        <v>3535</v>
      </c>
      <c r="B2544" s="1">
        <v>41004</v>
      </c>
      <c r="C2544" s="1">
        <v>41005</v>
      </c>
      <c r="D2544" t="s">
        <v>2803</v>
      </c>
      <c r="E2544" t="s">
        <v>1068</v>
      </c>
      <c r="F2544" t="s">
        <v>61</v>
      </c>
      <c r="G2544" t="s">
        <v>850</v>
      </c>
      <c r="H2544">
        <v>239.94</v>
      </c>
      <c r="I2544">
        <v>6</v>
      </c>
      <c r="J2544">
        <v>26.3934</v>
      </c>
      <c r="K2544">
        <v>2012</v>
      </c>
      <c r="L2544">
        <v>4</v>
      </c>
      <c r="M2544" t="s">
        <v>236</v>
      </c>
      <c r="N2544">
        <v>5</v>
      </c>
      <c r="O2544">
        <v>1</v>
      </c>
      <c r="P2544">
        <v>11</v>
      </c>
      <c r="Q2544">
        <v>39.99</v>
      </c>
      <c r="R2544" t="s">
        <v>26</v>
      </c>
      <c r="S2544" t="b">
        <v>0</v>
      </c>
      <c r="T2544" t="b">
        <v>1</v>
      </c>
    </row>
    <row r="2545" spans="1:20" x14ac:dyDescent="0.3">
      <c r="A2545" t="s">
        <v>3535</v>
      </c>
      <c r="B2545" s="1">
        <v>41004</v>
      </c>
      <c r="C2545" s="1">
        <v>41005</v>
      </c>
      <c r="D2545" t="s">
        <v>2803</v>
      </c>
      <c r="E2545" t="s">
        <v>1068</v>
      </c>
      <c r="F2545" t="s">
        <v>31</v>
      </c>
      <c r="G2545" t="s">
        <v>3536</v>
      </c>
      <c r="H2545">
        <v>23.84</v>
      </c>
      <c r="I2545">
        <v>8</v>
      </c>
      <c r="J2545">
        <v>6.4367999999999999</v>
      </c>
      <c r="K2545">
        <v>2012</v>
      </c>
      <c r="L2545">
        <v>4</v>
      </c>
      <c r="M2545" t="s">
        <v>236</v>
      </c>
      <c r="N2545">
        <v>5</v>
      </c>
      <c r="O2545">
        <v>1</v>
      </c>
      <c r="P2545">
        <v>27</v>
      </c>
      <c r="Q2545">
        <v>2.98</v>
      </c>
      <c r="R2545" t="s">
        <v>26</v>
      </c>
      <c r="S2545" t="b">
        <v>0</v>
      </c>
      <c r="T2545" t="b">
        <v>0</v>
      </c>
    </row>
    <row r="2546" spans="1:20" x14ac:dyDescent="0.3">
      <c r="A2546" t="s">
        <v>3537</v>
      </c>
      <c r="B2546" s="1">
        <v>41717</v>
      </c>
      <c r="C2546" s="1">
        <v>41721</v>
      </c>
      <c r="D2546" t="s">
        <v>3538</v>
      </c>
      <c r="E2546" t="s">
        <v>22</v>
      </c>
      <c r="F2546" t="s">
        <v>31</v>
      </c>
      <c r="G2546" t="s">
        <v>1480</v>
      </c>
      <c r="H2546">
        <v>13.9</v>
      </c>
      <c r="I2546">
        <v>5</v>
      </c>
      <c r="J2546">
        <v>3.7530000000000001</v>
      </c>
      <c r="K2546">
        <v>2014</v>
      </c>
      <c r="L2546">
        <v>3</v>
      </c>
      <c r="M2546" t="s">
        <v>135</v>
      </c>
      <c r="N2546">
        <v>19</v>
      </c>
      <c r="O2546">
        <v>4</v>
      </c>
      <c r="P2546">
        <v>27</v>
      </c>
      <c r="Q2546">
        <v>2.78</v>
      </c>
      <c r="R2546" t="s">
        <v>26</v>
      </c>
      <c r="S2546" t="b">
        <v>0</v>
      </c>
      <c r="T2546" t="b">
        <v>0</v>
      </c>
    </row>
    <row r="2547" spans="1:20" x14ac:dyDescent="0.3">
      <c r="A2547" t="s">
        <v>3537</v>
      </c>
      <c r="B2547" s="1">
        <v>41717</v>
      </c>
      <c r="C2547" s="1">
        <v>41721</v>
      </c>
      <c r="D2547" t="s">
        <v>3538</v>
      </c>
      <c r="E2547" t="s">
        <v>22</v>
      </c>
      <c r="F2547" t="s">
        <v>128</v>
      </c>
      <c r="G2547" t="s">
        <v>2653</v>
      </c>
      <c r="H2547">
        <v>19.399999999999999</v>
      </c>
      <c r="I2547">
        <v>5</v>
      </c>
      <c r="J2547">
        <v>9.3119999999999994</v>
      </c>
      <c r="K2547">
        <v>2014</v>
      </c>
      <c r="L2547">
        <v>3</v>
      </c>
      <c r="M2547" t="s">
        <v>135</v>
      </c>
      <c r="N2547">
        <v>19</v>
      </c>
      <c r="O2547">
        <v>4</v>
      </c>
      <c r="P2547">
        <v>48</v>
      </c>
      <c r="Q2547">
        <v>3.88</v>
      </c>
      <c r="R2547" t="s">
        <v>26</v>
      </c>
      <c r="S2547" t="b">
        <v>0</v>
      </c>
      <c r="T2547" t="b">
        <v>0</v>
      </c>
    </row>
    <row r="2548" spans="1:20" x14ac:dyDescent="0.3">
      <c r="A2548" t="s">
        <v>3539</v>
      </c>
      <c r="B2548" s="1">
        <v>41626</v>
      </c>
      <c r="C2548" s="1">
        <v>41632</v>
      </c>
      <c r="D2548" t="s">
        <v>671</v>
      </c>
      <c r="E2548" t="s">
        <v>154</v>
      </c>
      <c r="F2548" t="s">
        <v>33</v>
      </c>
      <c r="G2548" t="s">
        <v>535</v>
      </c>
      <c r="H2548">
        <v>13.488</v>
      </c>
      <c r="I2548">
        <v>2</v>
      </c>
      <c r="J2548">
        <v>4.3836000000000004</v>
      </c>
      <c r="K2548">
        <v>2013</v>
      </c>
      <c r="L2548">
        <v>12</v>
      </c>
      <c r="M2548" t="s">
        <v>41</v>
      </c>
      <c r="N2548">
        <v>18</v>
      </c>
      <c r="O2548">
        <v>6</v>
      </c>
      <c r="P2548">
        <v>32.5</v>
      </c>
      <c r="Q2548">
        <v>6.7439999999999998</v>
      </c>
      <c r="R2548" t="s">
        <v>26</v>
      </c>
      <c r="S2548" t="b">
        <v>0</v>
      </c>
      <c r="T2548" t="b">
        <v>0</v>
      </c>
    </row>
    <row r="2549" spans="1:20" x14ac:dyDescent="0.3">
      <c r="A2549" t="s">
        <v>3539</v>
      </c>
      <c r="B2549" s="1">
        <v>41626</v>
      </c>
      <c r="C2549" s="1">
        <v>41632</v>
      </c>
      <c r="D2549" t="s">
        <v>671</v>
      </c>
      <c r="E2549" t="s">
        <v>154</v>
      </c>
      <c r="F2549" t="s">
        <v>33</v>
      </c>
      <c r="G2549" t="s">
        <v>3540</v>
      </c>
      <c r="H2549">
        <v>11.416</v>
      </c>
      <c r="I2549">
        <v>1</v>
      </c>
      <c r="J2549">
        <v>3.8529</v>
      </c>
      <c r="K2549">
        <v>2013</v>
      </c>
      <c r="L2549">
        <v>12</v>
      </c>
      <c r="M2549" t="s">
        <v>41</v>
      </c>
      <c r="N2549">
        <v>18</v>
      </c>
      <c r="O2549">
        <v>6</v>
      </c>
      <c r="P2549">
        <v>33.75</v>
      </c>
      <c r="Q2549">
        <v>11.416</v>
      </c>
      <c r="R2549" t="s">
        <v>26</v>
      </c>
      <c r="S2549" t="b">
        <v>0</v>
      </c>
      <c r="T2549" t="b">
        <v>0</v>
      </c>
    </row>
    <row r="2550" spans="1:20" x14ac:dyDescent="0.3">
      <c r="A2550" t="s">
        <v>3541</v>
      </c>
      <c r="B2550" s="1">
        <v>41360</v>
      </c>
      <c r="C2550" s="1">
        <v>41362</v>
      </c>
      <c r="D2550" t="s">
        <v>2089</v>
      </c>
      <c r="E2550" t="s">
        <v>2607</v>
      </c>
      <c r="F2550" t="s">
        <v>72</v>
      </c>
      <c r="G2550" t="s">
        <v>1706</v>
      </c>
      <c r="H2550">
        <v>17.64</v>
      </c>
      <c r="I2550">
        <v>3</v>
      </c>
      <c r="J2550">
        <v>8.6435999999999993</v>
      </c>
      <c r="K2550">
        <v>2013</v>
      </c>
      <c r="L2550">
        <v>3</v>
      </c>
      <c r="M2550" t="s">
        <v>135</v>
      </c>
      <c r="N2550">
        <v>27</v>
      </c>
      <c r="O2550">
        <v>2</v>
      </c>
      <c r="P2550">
        <v>49</v>
      </c>
      <c r="Q2550">
        <v>5.88</v>
      </c>
      <c r="R2550" t="s">
        <v>26</v>
      </c>
      <c r="S2550" t="b">
        <v>0</v>
      </c>
      <c r="T2550" t="b">
        <v>0</v>
      </c>
    </row>
    <row r="2551" spans="1:20" x14ac:dyDescent="0.3">
      <c r="A2551" t="s">
        <v>3541</v>
      </c>
      <c r="B2551" s="1">
        <v>41360</v>
      </c>
      <c r="C2551" s="1">
        <v>41362</v>
      </c>
      <c r="D2551" t="s">
        <v>2089</v>
      </c>
      <c r="E2551" t="s">
        <v>2607</v>
      </c>
      <c r="F2551" t="s">
        <v>33</v>
      </c>
      <c r="G2551" t="s">
        <v>56</v>
      </c>
      <c r="H2551">
        <v>17.04</v>
      </c>
      <c r="I2551">
        <v>3</v>
      </c>
      <c r="J2551">
        <v>5.5380000000000003</v>
      </c>
      <c r="K2551">
        <v>2013</v>
      </c>
      <c r="L2551">
        <v>3</v>
      </c>
      <c r="M2551" t="s">
        <v>135</v>
      </c>
      <c r="N2551">
        <v>27</v>
      </c>
      <c r="O2551">
        <v>2</v>
      </c>
      <c r="P2551">
        <v>32.5</v>
      </c>
      <c r="Q2551">
        <v>5.68</v>
      </c>
      <c r="R2551" t="s">
        <v>26</v>
      </c>
      <c r="S2551" t="b">
        <v>0</v>
      </c>
      <c r="T2551" t="b">
        <v>0</v>
      </c>
    </row>
    <row r="2552" spans="1:20" x14ac:dyDescent="0.3">
      <c r="A2552" t="s">
        <v>3542</v>
      </c>
      <c r="B2552" s="1">
        <v>41509</v>
      </c>
      <c r="C2552" s="1">
        <v>41510</v>
      </c>
      <c r="D2552" t="s">
        <v>1774</v>
      </c>
      <c r="E2552" t="s">
        <v>1316</v>
      </c>
      <c r="F2552" t="s">
        <v>29</v>
      </c>
      <c r="G2552" t="s">
        <v>420</v>
      </c>
      <c r="H2552">
        <v>98.328000000000003</v>
      </c>
      <c r="I2552">
        <v>3</v>
      </c>
      <c r="J2552">
        <v>9.8328000000000007</v>
      </c>
      <c r="K2552">
        <v>2013</v>
      </c>
      <c r="L2552">
        <v>8</v>
      </c>
      <c r="M2552" t="s">
        <v>53</v>
      </c>
      <c r="N2552">
        <v>23</v>
      </c>
      <c r="O2552">
        <v>1</v>
      </c>
      <c r="P2552">
        <v>10</v>
      </c>
      <c r="Q2552">
        <v>32.776000000000003</v>
      </c>
      <c r="R2552" t="s">
        <v>26</v>
      </c>
      <c r="S2552" t="b">
        <v>0</v>
      </c>
      <c r="T2552" t="b">
        <v>0</v>
      </c>
    </row>
    <row r="2553" spans="1:20" x14ac:dyDescent="0.3">
      <c r="A2553" t="s">
        <v>3543</v>
      </c>
      <c r="B2553" s="1">
        <v>41884</v>
      </c>
      <c r="C2553" s="1">
        <v>41884</v>
      </c>
      <c r="D2553" t="s">
        <v>821</v>
      </c>
      <c r="E2553" t="s">
        <v>39</v>
      </c>
      <c r="F2553" t="s">
        <v>35</v>
      </c>
      <c r="G2553" t="s">
        <v>3544</v>
      </c>
      <c r="H2553">
        <v>314.60000000000002</v>
      </c>
      <c r="I2553">
        <v>4</v>
      </c>
      <c r="J2553">
        <v>103.818</v>
      </c>
      <c r="K2553">
        <v>2014</v>
      </c>
      <c r="L2553">
        <v>9</v>
      </c>
      <c r="M2553" t="s">
        <v>87</v>
      </c>
      <c r="N2553">
        <v>2</v>
      </c>
      <c r="O2553">
        <v>0</v>
      </c>
      <c r="P2553">
        <v>33</v>
      </c>
      <c r="Q2553">
        <v>78.650000000000006</v>
      </c>
      <c r="R2553" t="s">
        <v>26</v>
      </c>
      <c r="S2553" t="b">
        <v>0</v>
      </c>
      <c r="T2553" t="b">
        <v>1</v>
      </c>
    </row>
    <row r="2554" spans="1:20" x14ac:dyDescent="0.3">
      <c r="A2554" t="s">
        <v>3543</v>
      </c>
      <c r="B2554" s="1">
        <v>41884</v>
      </c>
      <c r="C2554" s="1">
        <v>41884</v>
      </c>
      <c r="D2554" t="s">
        <v>821</v>
      </c>
      <c r="E2554" t="s">
        <v>39</v>
      </c>
      <c r="F2554" t="s">
        <v>174</v>
      </c>
      <c r="G2554" t="s">
        <v>1035</v>
      </c>
      <c r="H2554">
        <v>283.56</v>
      </c>
      <c r="I2554">
        <v>4</v>
      </c>
      <c r="J2554">
        <v>45.369599999999998</v>
      </c>
      <c r="K2554">
        <v>2014</v>
      </c>
      <c r="L2554">
        <v>9</v>
      </c>
      <c r="M2554" t="s">
        <v>87</v>
      </c>
      <c r="N2554">
        <v>2</v>
      </c>
      <c r="O2554">
        <v>0</v>
      </c>
      <c r="P2554">
        <v>16</v>
      </c>
      <c r="Q2554">
        <v>70.89</v>
      </c>
      <c r="R2554" t="s">
        <v>26</v>
      </c>
      <c r="S2554" t="b">
        <v>0</v>
      </c>
      <c r="T2554" t="b">
        <v>1</v>
      </c>
    </row>
    <row r="2555" spans="1:20" x14ac:dyDescent="0.3">
      <c r="A2555" t="s">
        <v>3545</v>
      </c>
      <c r="B2555" s="1">
        <v>40805</v>
      </c>
      <c r="C2555" s="1">
        <v>40810</v>
      </c>
      <c r="D2555" t="s">
        <v>3546</v>
      </c>
      <c r="E2555" t="s">
        <v>2400</v>
      </c>
      <c r="F2555" t="s">
        <v>174</v>
      </c>
      <c r="G2555" t="s">
        <v>3164</v>
      </c>
      <c r="H2555">
        <v>73.915000000000006</v>
      </c>
      <c r="I2555">
        <v>1</v>
      </c>
      <c r="J2555">
        <v>-45.827300000000001</v>
      </c>
      <c r="K2555">
        <v>2011</v>
      </c>
      <c r="L2555">
        <v>9</v>
      </c>
      <c r="M2555" t="s">
        <v>87</v>
      </c>
      <c r="N2555">
        <v>19</v>
      </c>
      <c r="O2555">
        <v>5</v>
      </c>
      <c r="P2555">
        <v>-62</v>
      </c>
      <c r="Q2555">
        <v>73.915000000000006</v>
      </c>
      <c r="R2555" t="s">
        <v>48</v>
      </c>
      <c r="S2555" t="b">
        <v>1</v>
      </c>
      <c r="T2555" t="b">
        <v>0</v>
      </c>
    </row>
    <row r="2556" spans="1:20" x14ac:dyDescent="0.3">
      <c r="A2556" t="s">
        <v>3547</v>
      </c>
      <c r="B2556" s="1">
        <v>41174</v>
      </c>
      <c r="C2556" s="1">
        <v>41178</v>
      </c>
      <c r="D2556" t="s">
        <v>2046</v>
      </c>
      <c r="E2556" t="s">
        <v>22</v>
      </c>
      <c r="F2556" t="s">
        <v>35</v>
      </c>
      <c r="G2556" t="s">
        <v>719</v>
      </c>
      <c r="H2556">
        <v>61.44</v>
      </c>
      <c r="I2556">
        <v>3</v>
      </c>
      <c r="J2556">
        <v>16.588799999999999</v>
      </c>
      <c r="K2556">
        <v>2012</v>
      </c>
      <c r="L2556">
        <v>9</v>
      </c>
      <c r="M2556" t="s">
        <v>87</v>
      </c>
      <c r="N2556">
        <v>22</v>
      </c>
      <c r="O2556">
        <v>4</v>
      </c>
      <c r="P2556">
        <v>27</v>
      </c>
      <c r="Q2556">
        <v>20.48</v>
      </c>
      <c r="R2556" t="s">
        <v>26</v>
      </c>
      <c r="S2556" t="b">
        <v>0</v>
      </c>
      <c r="T2556" t="b">
        <v>0</v>
      </c>
    </row>
    <row r="2557" spans="1:20" x14ac:dyDescent="0.3">
      <c r="A2557" t="s">
        <v>3548</v>
      </c>
      <c r="B2557" s="1">
        <v>41586</v>
      </c>
      <c r="C2557" s="1">
        <v>41592</v>
      </c>
      <c r="D2557" t="s">
        <v>946</v>
      </c>
      <c r="E2557" t="s">
        <v>51</v>
      </c>
      <c r="F2557" t="s">
        <v>61</v>
      </c>
      <c r="G2557" t="s">
        <v>566</v>
      </c>
      <c r="H2557">
        <v>479.97</v>
      </c>
      <c r="I2557">
        <v>3</v>
      </c>
      <c r="J2557">
        <v>163.18979999999999</v>
      </c>
      <c r="K2557">
        <v>2013</v>
      </c>
      <c r="L2557">
        <v>11</v>
      </c>
      <c r="M2557" t="s">
        <v>70</v>
      </c>
      <c r="N2557">
        <v>8</v>
      </c>
      <c r="O2557">
        <v>6</v>
      </c>
      <c r="P2557">
        <v>34</v>
      </c>
      <c r="Q2557">
        <v>159.99</v>
      </c>
      <c r="R2557" t="s">
        <v>26</v>
      </c>
      <c r="S2557" t="b">
        <v>0</v>
      </c>
      <c r="T2557" t="b">
        <v>1</v>
      </c>
    </row>
    <row r="2558" spans="1:20" x14ac:dyDescent="0.3">
      <c r="A2558" t="s">
        <v>3549</v>
      </c>
      <c r="B2558" s="1">
        <v>41990</v>
      </c>
      <c r="C2558" s="1">
        <v>41994</v>
      </c>
      <c r="D2558" t="s">
        <v>3550</v>
      </c>
      <c r="E2558" t="s">
        <v>1214</v>
      </c>
      <c r="F2558" t="s">
        <v>33</v>
      </c>
      <c r="G2558" t="s">
        <v>1693</v>
      </c>
      <c r="H2558">
        <v>5.984</v>
      </c>
      <c r="I2558">
        <v>2</v>
      </c>
      <c r="J2558">
        <v>2.2440000000000002</v>
      </c>
      <c r="K2558">
        <v>2014</v>
      </c>
      <c r="L2558">
        <v>12</v>
      </c>
      <c r="M2558" t="s">
        <v>41</v>
      </c>
      <c r="N2558">
        <v>17</v>
      </c>
      <c r="O2558">
        <v>4</v>
      </c>
      <c r="P2558">
        <v>37.5</v>
      </c>
      <c r="Q2558">
        <v>2.992</v>
      </c>
      <c r="R2558" t="s">
        <v>26</v>
      </c>
      <c r="S2558" t="b">
        <v>0</v>
      </c>
      <c r="T2558" t="b">
        <v>0</v>
      </c>
    </row>
    <row r="2559" spans="1:20" x14ac:dyDescent="0.3">
      <c r="A2559" t="s">
        <v>3549</v>
      </c>
      <c r="B2559" s="1">
        <v>41990</v>
      </c>
      <c r="C2559" s="1">
        <v>41994</v>
      </c>
      <c r="D2559" t="s">
        <v>3550</v>
      </c>
      <c r="E2559" t="s">
        <v>1214</v>
      </c>
      <c r="F2559" t="s">
        <v>61</v>
      </c>
      <c r="G2559" t="s">
        <v>1313</v>
      </c>
      <c r="H2559">
        <v>189.95</v>
      </c>
      <c r="I2559">
        <v>5</v>
      </c>
      <c r="J2559">
        <v>45.588000000000001</v>
      </c>
      <c r="K2559">
        <v>2014</v>
      </c>
      <c r="L2559">
        <v>12</v>
      </c>
      <c r="M2559" t="s">
        <v>41</v>
      </c>
      <c r="N2559">
        <v>17</v>
      </c>
      <c r="O2559">
        <v>4</v>
      </c>
      <c r="P2559">
        <v>24</v>
      </c>
      <c r="Q2559">
        <v>37.989999999999988</v>
      </c>
      <c r="R2559" t="s">
        <v>26</v>
      </c>
      <c r="S2559" t="b">
        <v>0</v>
      </c>
      <c r="T2559" t="b">
        <v>0</v>
      </c>
    </row>
    <row r="2560" spans="1:20" x14ac:dyDescent="0.3">
      <c r="A2560" t="s">
        <v>3549</v>
      </c>
      <c r="B2560" s="1">
        <v>41990</v>
      </c>
      <c r="C2560" s="1">
        <v>41994</v>
      </c>
      <c r="D2560" t="s">
        <v>3550</v>
      </c>
      <c r="E2560" t="s">
        <v>1214</v>
      </c>
      <c r="F2560" t="s">
        <v>61</v>
      </c>
      <c r="G2560" t="s">
        <v>2942</v>
      </c>
      <c r="H2560">
        <v>149.94999999999999</v>
      </c>
      <c r="I2560">
        <v>5</v>
      </c>
      <c r="J2560">
        <v>31.4895</v>
      </c>
      <c r="K2560">
        <v>2014</v>
      </c>
      <c r="L2560">
        <v>12</v>
      </c>
      <c r="M2560" t="s">
        <v>41</v>
      </c>
      <c r="N2560">
        <v>17</v>
      </c>
      <c r="O2560">
        <v>4</v>
      </c>
      <c r="P2560">
        <v>21</v>
      </c>
      <c r="Q2560">
        <v>29.99</v>
      </c>
      <c r="R2560" t="s">
        <v>26</v>
      </c>
      <c r="S2560" t="b">
        <v>0</v>
      </c>
      <c r="T2560" t="b">
        <v>0</v>
      </c>
    </row>
    <row r="2561" spans="1:20" x14ac:dyDescent="0.3">
      <c r="A2561" t="s">
        <v>3549</v>
      </c>
      <c r="B2561" s="1">
        <v>41990</v>
      </c>
      <c r="C2561" s="1">
        <v>41994</v>
      </c>
      <c r="D2561" t="s">
        <v>3550</v>
      </c>
      <c r="E2561" t="s">
        <v>1214</v>
      </c>
      <c r="F2561" t="s">
        <v>31</v>
      </c>
      <c r="G2561" t="s">
        <v>3551</v>
      </c>
      <c r="H2561">
        <v>29.95</v>
      </c>
      <c r="I2561">
        <v>5</v>
      </c>
      <c r="J2561">
        <v>8.6854999999999993</v>
      </c>
      <c r="K2561">
        <v>2014</v>
      </c>
      <c r="L2561">
        <v>12</v>
      </c>
      <c r="M2561" t="s">
        <v>41</v>
      </c>
      <c r="N2561">
        <v>17</v>
      </c>
      <c r="O2561">
        <v>4</v>
      </c>
      <c r="P2561">
        <v>29</v>
      </c>
      <c r="Q2561">
        <v>5.99</v>
      </c>
      <c r="R2561" t="s">
        <v>26</v>
      </c>
      <c r="S2561" t="b">
        <v>0</v>
      </c>
      <c r="T2561" t="b">
        <v>0</v>
      </c>
    </row>
    <row r="2562" spans="1:20" x14ac:dyDescent="0.3">
      <c r="A2562" t="s">
        <v>3549</v>
      </c>
      <c r="B2562" s="1">
        <v>41990</v>
      </c>
      <c r="C2562" s="1">
        <v>41994</v>
      </c>
      <c r="D2562" t="s">
        <v>3550</v>
      </c>
      <c r="E2562" t="s">
        <v>1214</v>
      </c>
      <c r="F2562" t="s">
        <v>23</v>
      </c>
      <c r="G2562" t="s">
        <v>2630</v>
      </c>
      <c r="H2562">
        <v>44.4</v>
      </c>
      <c r="I2562">
        <v>3</v>
      </c>
      <c r="J2562">
        <v>22.2</v>
      </c>
      <c r="K2562">
        <v>2014</v>
      </c>
      <c r="L2562">
        <v>12</v>
      </c>
      <c r="M2562" t="s">
        <v>41</v>
      </c>
      <c r="N2562">
        <v>17</v>
      </c>
      <c r="O2562">
        <v>4</v>
      </c>
      <c r="P2562">
        <v>50</v>
      </c>
      <c r="Q2562">
        <v>14.8</v>
      </c>
      <c r="R2562" t="s">
        <v>26</v>
      </c>
      <c r="S2562" t="b">
        <v>0</v>
      </c>
      <c r="T2562" t="b">
        <v>0</v>
      </c>
    </row>
    <row r="2563" spans="1:20" x14ac:dyDescent="0.3">
      <c r="A2563" t="s">
        <v>3552</v>
      </c>
      <c r="B2563" s="1">
        <v>41047</v>
      </c>
      <c r="C2563" s="1">
        <v>41051</v>
      </c>
      <c r="D2563" t="s">
        <v>2473</v>
      </c>
      <c r="E2563" t="s">
        <v>22</v>
      </c>
      <c r="F2563" t="s">
        <v>72</v>
      </c>
      <c r="G2563" t="s">
        <v>276</v>
      </c>
      <c r="H2563">
        <v>10.86</v>
      </c>
      <c r="I2563">
        <v>2</v>
      </c>
      <c r="J2563">
        <v>5.3213999999999997</v>
      </c>
      <c r="K2563">
        <v>2012</v>
      </c>
      <c r="L2563">
        <v>5</v>
      </c>
      <c r="M2563" t="s">
        <v>47</v>
      </c>
      <c r="N2563">
        <v>18</v>
      </c>
      <c r="O2563">
        <v>4</v>
      </c>
      <c r="P2563">
        <v>49</v>
      </c>
      <c r="Q2563">
        <v>5.43</v>
      </c>
      <c r="R2563" t="s">
        <v>26</v>
      </c>
      <c r="S2563" t="b">
        <v>0</v>
      </c>
      <c r="T2563" t="b">
        <v>0</v>
      </c>
    </row>
    <row r="2564" spans="1:20" x14ac:dyDescent="0.3">
      <c r="A2564" t="s">
        <v>3553</v>
      </c>
      <c r="B2564" s="1">
        <v>40628</v>
      </c>
      <c r="C2564" s="1">
        <v>40633</v>
      </c>
      <c r="D2564" t="s">
        <v>828</v>
      </c>
      <c r="E2564" t="s">
        <v>51</v>
      </c>
      <c r="F2564" t="s">
        <v>31</v>
      </c>
      <c r="G2564" t="s">
        <v>1203</v>
      </c>
      <c r="H2564">
        <v>3.36</v>
      </c>
      <c r="I2564">
        <v>2</v>
      </c>
      <c r="J2564">
        <v>0.84</v>
      </c>
      <c r="K2564">
        <v>2011</v>
      </c>
      <c r="L2564">
        <v>3</v>
      </c>
      <c r="M2564" t="s">
        <v>135</v>
      </c>
      <c r="N2564">
        <v>26</v>
      </c>
      <c r="O2564">
        <v>5</v>
      </c>
      <c r="P2564">
        <v>25</v>
      </c>
      <c r="Q2564">
        <v>1.68</v>
      </c>
      <c r="R2564" t="s">
        <v>26</v>
      </c>
      <c r="S2564" t="b">
        <v>0</v>
      </c>
      <c r="T2564" t="b">
        <v>0</v>
      </c>
    </row>
    <row r="2565" spans="1:20" x14ac:dyDescent="0.3">
      <c r="A2565" t="s">
        <v>3553</v>
      </c>
      <c r="B2565" s="1">
        <v>40628</v>
      </c>
      <c r="C2565" s="1">
        <v>40633</v>
      </c>
      <c r="D2565" t="s">
        <v>828</v>
      </c>
      <c r="E2565" t="s">
        <v>51</v>
      </c>
      <c r="F2565" t="s">
        <v>33</v>
      </c>
      <c r="G2565" t="s">
        <v>478</v>
      </c>
      <c r="H2565">
        <v>27.936</v>
      </c>
      <c r="I2565">
        <v>4</v>
      </c>
      <c r="J2565">
        <v>9.4283999999999999</v>
      </c>
      <c r="K2565">
        <v>2011</v>
      </c>
      <c r="L2565">
        <v>3</v>
      </c>
      <c r="M2565" t="s">
        <v>135</v>
      </c>
      <c r="N2565">
        <v>26</v>
      </c>
      <c r="O2565">
        <v>5</v>
      </c>
      <c r="P2565">
        <v>33.75</v>
      </c>
      <c r="Q2565">
        <v>6.984</v>
      </c>
      <c r="R2565" t="s">
        <v>26</v>
      </c>
      <c r="S2565" t="b">
        <v>0</v>
      </c>
      <c r="T2565" t="b">
        <v>0</v>
      </c>
    </row>
    <row r="2566" spans="1:20" x14ac:dyDescent="0.3">
      <c r="A2566" t="s">
        <v>3553</v>
      </c>
      <c r="B2566" s="1">
        <v>40628</v>
      </c>
      <c r="C2566" s="1">
        <v>40633</v>
      </c>
      <c r="D2566" t="s">
        <v>828</v>
      </c>
      <c r="E2566" t="s">
        <v>51</v>
      </c>
      <c r="F2566" t="s">
        <v>54</v>
      </c>
      <c r="G2566" t="s">
        <v>2669</v>
      </c>
      <c r="H2566">
        <v>28.783999999999999</v>
      </c>
      <c r="I2566">
        <v>2</v>
      </c>
      <c r="J2566">
        <v>2.8784000000000001</v>
      </c>
      <c r="K2566">
        <v>2011</v>
      </c>
      <c r="L2566">
        <v>3</v>
      </c>
      <c r="M2566" t="s">
        <v>135</v>
      </c>
      <c r="N2566">
        <v>26</v>
      </c>
      <c r="O2566">
        <v>5</v>
      </c>
      <c r="P2566">
        <v>10</v>
      </c>
      <c r="Q2566">
        <v>14.391999999999999</v>
      </c>
      <c r="R2566" t="s">
        <v>26</v>
      </c>
      <c r="S2566" t="b">
        <v>0</v>
      </c>
      <c r="T2566" t="b">
        <v>0</v>
      </c>
    </row>
    <row r="2567" spans="1:20" x14ac:dyDescent="0.3">
      <c r="A2567" t="s">
        <v>3554</v>
      </c>
      <c r="B2567" s="1">
        <v>41905</v>
      </c>
      <c r="C2567" s="1">
        <v>41911</v>
      </c>
      <c r="D2567" t="s">
        <v>1136</v>
      </c>
      <c r="E2567" t="s">
        <v>527</v>
      </c>
      <c r="F2567" t="s">
        <v>122</v>
      </c>
      <c r="G2567" t="s">
        <v>123</v>
      </c>
      <c r="H2567">
        <v>21.96</v>
      </c>
      <c r="I2567">
        <v>2</v>
      </c>
      <c r="J2567">
        <v>6.1487999999999996</v>
      </c>
      <c r="K2567">
        <v>2014</v>
      </c>
      <c r="L2567">
        <v>9</v>
      </c>
      <c r="M2567" t="s">
        <v>87</v>
      </c>
      <c r="N2567">
        <v>23</v>
      </c>
      <c r="O2567">
        <v>6</v>
      </c>
      <c r="P2567">
        <v>28</v>
      </c>
      <c r="Q2567">
        <v>10.98</v>
      </c>
      <c r="R2567" t="s">
        <v>26</v>
      </c>
      <c r="S2567" t="b">
        <v>0</v>
      </c>
      <c r="T2567" t="b">
        <v>0</v>
      </c>
    </row>
    <row r="2568" spans="1:20" x14ac:dyDescent="0.3">
      <c r="A2568" t="s">
        <v>3555</v>
      </c>
      <c r="B2568" s="1">
        <v>41164</v>
      </c>
      <c r="C2568" s="1">
        <v>41169</v>
      </c>
      <c r="D2568" t="s">
        <v>1108</v>
      </c>
      <c r="E2568" t="s">
        <v>39</v>
      </c>
      <c r="F2568" t="s">
        <v>61</v>
      </c>
      <c r="G2568" t="s">
        <v>1695</v>
      </c>
      <c r="H2568">
        <v>21.98</v>
      </c>
      <c r="I2568">
        <v>2</v>
      </c>
      <c r="J2568">
        <v>8.5722000000000005</v>
      </c>
      <c r="K2568">
        <v>2012</v>
      </c>
      <c r="L2568">
        <v>9</v>
      </c>
      <c r="M2568" t="s">
        <v>87</v>
      </c>
      <c r="N2568">
        <v>12</v>
      </c>
      <c r="O2568">
        <v>5</v>
      </c>
      <c r="P2568">
        <v>39</v>
      </c>
      <c r="Q2568">
        <v>10.99</v>
      </c>
      <c r="R2568" t="s">
        <v>26</v>
      </c>
      <c r="S2568" t="b">
        <v>0</v>
      </c>
      <c r="T2568" t="b">
        <v>0</v>
      </c>
    </row>
    <row r="2569" spans="1:20" x14ac:dyDescent="0.3">
      <c r="A2569" t="s">
        <v>3556</v>
      </c>
      <c r="B2569" s="1">
        <v>41202</v>
      </c>
      <c r="C2569" s="1">
        <v>41206</v>
      </c>
      <c r="D2569" t="s">
        <v>1459</v>
      </c>
      <c r="E2569" t="s">
        <v>22</v>
      </c>
      <c r="F2569" t="s">
        <v>29</v>
      </c>
      <c r="G2569" t="s">
        <v>3557</v>
      </c>
      <c r="H2569">
        <v>74.760000000000005</v>
      </c>
      <c r="I2569">
        <v>7</v>
      </c>
      <c r="J2569">
        <v>23.923200000000001</v>
      </c>
      <c r="K2569">
        <v>2012</v>
      </c>
      <c r="L2569">
        <v>10</v>
      </c>
      <c r="M2569" t="s">
        <v>82</v>
      </c>
      <c r="N2569">
        <v>20</v>
      </c>
      <c r="O2569">
        <v>4</v>
      </c>
      <c r="P2569">
        <v>32</v>
      </c>
      <c r="Q2569">
        <v>10.68</v>
      </c>
      <c r="R2569" t="s">
        <v>26</v>
      </c>
      <c r="S2569" t="b">
        <v>0</v>
      </c>
      <c r="T2569" t="b">
        <v>0</v>
      </c>
    </row>
    <row r="2570" spans="1:20" x14ac:dyDescent="0.3">
      <c r="A2570" t="s">
        <v>3556</v>
      </c>
      <c r="B2570" s="1">
        <v>41202</v>
      </c>
      <c r="C2570" s="1">
        <v>41206</v>
      </c>
      <c r="D2570" t="s">
        <v>1459</v>
      </c>
      <c r="E2570" t="s">
        <v>22</v>
      </c>
      <c r="F2570" t="s">
        <v>174</v>
      </c>
      <c r="G2570" t="s">
        <v>2565</v>
      </c>
      <c r="H2570">
        <v>364.77600000000001</v>
      </c>
      <c r="I2570">
        <v>3</v>
      </c>
      <c r="J2570">
        <v>27.3582</v>
      </c>
      <c r="K2570">
        <v>2012</v>
      </c>
      <c r="L2570">
        <v>10</v>
      </c>
      <c r="M2570" t="s">
        <v>82</v>
      </c>
      <c r="N2570">
        <v>20</v>
      </c>
      <c r="O2570">
        <v>4</v>
      </c>
      <c r="P2570">
        <v>7.5</v>
      </c>
      <c r="Q2570">
        <v>121.592</v>
      </c>
      <c r="R2570" t="s">
        <v>26</v>
      </c>
      <c r="S2570" t="b">
        <v>0</v>
      </c>
      <c r="T2570" t="b">
        <v>1</v>
      </c>
    </row>
    <row r="2571" spans="1:20" x14ac:dyDescent="0.3">
      <c r="A2571" t="s">
        <v>3558</v>
      </c>
      <c r="B2571" s="1">
        <v>41233</v>
      </c>
      <c r="C2571" s="1">
        <v>41234</v>
      </c>
      <c r="D2571" t="s">
        <v>2066</v>
      </c>
      <c r="E2571" t="s">
        <v>194</v>
      </c>
      <c r="F2571" t="s">
        <v>33</v>
      </c>
      <c r="G2571" t="s">
        <v>2002</v>
      </c>
      <c r="H2571">
        <v>89.695999999999998</v>
      </c>
      <c r="I2571">
        <v>4</v>
      </c>
      <c r="J2571">
        <v>33.636000000000003</v>
      </c>
      <c r="K2571">
        <v>2012</v>
      </c>
      <c r="L2571">
        <v>11</v>
      </c>
      <c r="M2571" t="s">
        <v>70</v>
      </c>
      <c r="N2571">
        <v>20</v>
      </c>
      <c r="O2571">
        <v>1</v>
      </c>
      <c r="P2571">
        <v>37.5</v>
      </c>
      <c r="Q2571">
        <v>22.423999999999999</v>
      </c>
      <c r="R2571" t="s">
        <v>26</v>
      </c>
      <c r="S2571" t="b">
        <v>0</v>
      </c>
      <c r="T2571" t="b">
        <v>0</v>
      </c>
    </row>
    <row r="2572" spans="1:20" x14ac:dyDescent="0.3">
      <c r="A2572" t="s">
        <v>3558</v>
      </c>
      <c r="B2572" s="1">
        <v>41233</v>
      </c>
      <c r="C2572" s="1">
        <v>41234</v>
      </c>
      <c r="D2572" t="s">
        <v>2066</v>
      </c>
      <c r="E2572" t="s">
        <v>194</v>
      </c>
      <c r="F2572" t="s">
        <v>23</v>
      </c>
      <c r="G2572" t="s">
        <v>1703</v>
      </c>
      <c r="H2572">
        <v>50.12</v>
      </c>
      <c r="I2572">
        <v>4</v>
      </c>
      <c r="J2572">
        <v>23.5564</v>
      </c>
      <c r="K2572">
        <v>2012</v>
      </c>
      <c r="L2572">
        <v>11</v>
      </c>
      <c r="M2572" t="s">
        <v>70</v>
      </c>
      <c r="N2572">
        <v>20</v>
      </c>
      <c r="O2572">
        <v>1</v>
      </c>
      <c r="P2572">
        <v>47</v>
      </c>
      <c r="Q2572">
        <v>12.53</v>
      </c>
      <c r="R2572" t="s">
        <v>26</v>
      </c>
      <c r="S2572" t="b">
        <v>0</v>
      </c>
      <c r="T2572" t="b">
        <v>0</v>
      </c>
    </row>
    <row r="2573" spans="1:20" x14ac:dyDescent="0.3">
      <c r="A2573" t="s">
        <v>3559</v>
      </c>
      <c r="B2573" s="1">
        <v>41520</v>
      </c>
      <c r="C2573" s="1">
        <v>41523</v>
      </c>
      <c r="D2573" t="s">
        <v>3015</v>
      </c>
      <c r="E2573" t="s">
        <v>267</v>
      </c>
      <c r="F2573" t="s">
        <v>110</v>
      </c>
      <c r="G2573" t="s">
        <v>1003</v>
      </c>
      <c r="H2573">
        <v>215.976</v>
      </c>
      <c r="I2573">
        <v>3</v>
      </c>
      <c r="J2573">
        <v>-2.6997</v>
      </c>
      <c r="K2573">
        <v>2013</v>
      </c>
      <c r="L2573">
        <v>9</v>
      </c>
      <c r="M2573" t="s">
        <v>87</v>
      </c>
      <c r="N2573">
        <v>3</v>
      </c>
      <c r="O2573">
        <v>3</v>
      </c>
      <c r="P2573">
        <v>-1.25</v>
      </c>
      <c r="Q2573">
        <v>71.992000000000004</v>
      </c>
      <c r="R2573" t="s">
        <v>26</v>
      </c>
      <c r="S2573" t="b">
        <v>1</v>
      </c>
      <c r="T2573" t="b">
        <v>1</v>
      </c>
    </row>
    <row r="2574" spans="1:20" x14ac:dyDescent="0.3">
      <c r="A2574" t="s">
        <v>3559</v>
      </c>
      <c r="B2574" s="1">
        <v>41520</v>
      </c>
      <c r="C2574" s="1">
        <v>41523</v>
      </c>
      <c r="D2574" t="s">
        <v>3015</v>
      </c>
      <c r="E2574" t="s">
        <v>267</v>
      </c>
      <c r="F2574" t="s">
        <v>128</v>
      </c>
      <c r="G2574" t="s">
        <v>2116</v>
      </c>
      <c r="H2574">
        <v>65.94</v>
      </c>
      <c r="I2574">
        <v>3</v>
      </c>
      <c r="J2574">
        <v>30.991800000000001</v>
      </c>
      <c r="K2574">
        <v>2013</v>
      </c>
      <c r="L2574">
        <v>9</v>
      </c>
      <c r="M2574" t="s">
        <v>87</v>
      </c>
      <c r="N2574">
        <v>3</v>
      </c>
      <c r="O2574">
        <v>3</v>
      </c>
      <c r="P2574">
        <v>47</v>
      </c>
      <c r="Q2574">
        <v>21.98</v>
      </c>
      <c r="R2574" t="s">
        <v>26</v>
      </c>
      <c r="S2574" t="b">
        <v>0</v>
      </c>
      <c r="T2574" t="b">
        <v>0</v>
      </c>
    </row>
    <row r="2575" spans="1:20" x14ac:dyDescent="0.3">
      <c r="A2575" t="s">
        <v>3560</v>
      </c>
      <c r="B2575" s="1">
        <v>41894</v>
      </c>
      <c r="C2575" s="1">
        <v>41896</v>
      </c>
      <c r="D2575" t="s">
        <v>1565</v>
      </c>
      <c r="E2575" t="s">
        <v>527</v>
      </c>
      <c r="F2575" t="s">
        <v>54</v>
      </c>
      <c r="G2575" t="s">
        <v>2703</v>
      </c>
      <c r="H2575">
        <v>143.952</v>
      </c>
      <c r="I2575">
        <v>6</v>
      </c>
      <c r="J2575">
        <v>17.994</v>
      </c>
      <c r="K2575">
        <v>2014</v>
      </c>
      <c r="L2575">
        <v>9</v>
      </c>
      <c r="M2575" t="s">
        <v>87</v>
      </c>
      <c r="N2575">
        <v>12</v>
      </c>
      <c r="O2575">
        <v>2</v>
      </c>
      <c r="P2575">
        <v>12.5</v>
      </c>
      <c r="Q2575">
        <v>23.992000000000001</v>
      </c>
      <c r="R2575" t="s">
        <v>26</v>
      </c>
      <c r="S2575" t="b">
        <v>0</v>
      </c>
      <c r="T2575" t="b">
        <v>0</v>
      </c>
    </row>
    <row r="2576" spans="1:20" x14ac:dyDescent="0.3">
      <c r="A2576" t="s">
        <v>3560</v>
      </c>
      <c r="B2576" s="1">
        <v>41894</v>
      </c>
      <c r="C2576" s="1">
        <v>41896</v>
      </c>
      <c r="D2576" t="s">
        <v>1565</v>
      </c>
      <c r="E2576" t="s">
        <v>527</v>
      </c>
      <c r="F2576" t="s">
        <v>72</v>
      </c>
      <c r="G2576" t="s">
        <v>859</v>
      </c>
      <c r="H2576">
        <v>19.440000000000001</v>
      </c>
      <c r="I2576">
        <v>3</v>
      </c>
      <c r="J2576">
        <v>9.3312000000000008</v>
      </c>
      <c r="K2576">
        <v>2014</v>
      </c>
      <c r="L2576">
        <v>9</v>
      </c>
      <c r="M2576" t="s">
        <v>87</v>
      </c>
      <c r="N2576">
        <v>12</v>
      </c>
      <c r="O2576">
        <v>2</v>
      </c>
      <c r="P2576">
        <v>48</v>
      </c>
      <c r="Q2576">
        <v>6.48</v>
      </c>
      <c r="R2576" t="s">
        <v>26</v>
      </c>
      <c r="S2576" t="b">
        <v>0</v>
      </c>
      <c r="T2576" t="b">
        <v>0</v>
      </c>
    </row>
    <row r="2577" spans="1:20" x14ac:dyDescent="0.3">
      <c r="A2577" t="s">
        <v>3561</v>
      </c>
      <c r="B2577" s="1">
        <v>41528</v>
      </c>
      <c r="C2577" s="1">
        <v>41530</v>
      </c>
      <c r="D2577" t="s">
        <v>405</v>
      </c>
      <c r="E2577" t="s">
        <v>22</v>
      </c>
      <c r="F2577" t="s">
        <v>33</v>
      </c>
      <c r="G2577" t="s">
        <v>3562</v>
      </c>
      <c r="H2577">
        <v>276.78399999999999</v>
      </c>
      <c r="I2577">
        <v>2</v>
      </c>
      <c r="J2577">
        <v>89.954800000000006</v>
      </c>
      <c r="K2577">
        <v>2013</v>
      </c>
      <c r="L2577">
        <v>9</v>
      </c>
      <c r="M2577" t="s">
        <v>87</v>
      </c>
      <c r="N2577">
        <v>11</v>
      </c>
      <c r="O2577">
        <v>2</v>
      </c>
      <c r="P2577">
        <v>32.5</v>
      </c>
      <c r="Q2577">
        <v>138.392</v>
      </c>
      <c r="R2577" t="s">
        <v>26</v>
      </c>
      <c r="S2577" t="b">
        <v>0</v>
      </c>
      <c r="T2577" t="b">
        <v>1</v>
      </c>
    </row>
    <row r="2578" spans="1:20" x14ac:dyDescent="0.3">
      <c r="A2578" t="s">
        <v>3563</v>
      </c>
      <c r="B2578" s="1">
        <v>41432</v>
      </c>
      <c r="C2578" s="1">
        <v>41438</v>
      </c>
      <c r="D2578" t="s">
        <v>1370</v>
      </c>
      <c r="E2578" t="s">
        <v>22</v>
      </c>
      <c r="F2578" t="s">
        <v>23</v>
      </c>
      <c r="G2578" t="s">
        <v>665</v>
      </c>
      <c r="H2578">
        <v>22.05</v>
      </c>
      <c r="I2578">
        <v>7</v>
      </c>
      <c r="J2578">
        <v>10.584</v>
      </c>
      <c r="K2578">
        <v>2013</v>
      </c>
      <c r="L2578">
        <v>6</v>
      </c>
      <c r="M2578" t="s">
        <v>25</v>
      </c>
      <c r="N2578">
        <v>7</v>
      </c>
      <c r="O2578">
        <v>6</v>
      </c>
      <c r="P2578">
        <v>48</v>
      </c>
      <c r="Q2578">
        <v>3.15</v>
      </c>
      <c r="R2578" t="s">
        <v>26</v>
      </c>
      <c r="S2578" t="b">
        <v>0</v>
      </c>
      <c r="T2578" t="b">
        <v>0</v>
      </c>
    </row>
    <row r="2579" spans="1:20" x14ac:dyDescent="0.3">
      <c r="A2579" t="s">
        <v>3563</v>
      </c>
      <c r="B2579" s="1">
        <v>41432</v>
      </c>
      <c r="C2579" s="1">
        <v>41438</v>
      </c>
      <c r="D2579" t="s">
        <v>1370</v>
      </c>
      <c r="E2579" t="s">
        <v>22</v>
      </c>
      <c r="F2579" t="s">
        <v>72</v>
      </c>
      <c r="G2579" t="s">
        <v>3564</v>
      </c>
      <c r="H2579">
        <v>99.9</v>
      </c>
      <c r="I2579">
        <v>5</v>
      </c>
      <c r="J2579">
        <v>46.953000000000003</v>
      </c>
      <c r="K2579">
        <v>2013</v>
      </c>
      <c r="L2579">
        <v>6</v>
      </c>
      <c r="M2579" t="s">
        <v>25</v>
      </c>
      <c r="N2579">
        <v>7</v>
      </c>
      <c r="O2579">
        <v>6</v>
      </c>
      <c r="P2579">
        <v>47</v>
      </c>
      <c r="Q2579">
        <v>19.98</v>
      </c>
      <c r="R2579" t="s">
        <v>26</v>
      </c>
      <c r="S2579" t="b">
        <v>0</v>
      </c>
      <c r="T2579" t="b">
        <v>0</v>
      </c>
    </row>
    <row r="2580" spans="1:20" x14ac:dyDescent="0.3">
      <c r="A2580" t="s">
        <v>3565</v>
      </c>
      <c r="B2580" s="1">
        <v>41717</v>
      </c>
      <c r="C2580" s="1">
        <v>41719</v>
      </c>
      <c r="D2580" t="s">
        <v>3566</v>
      </c>
      <c r="E2580" t="s">
        <v>22</v>
      </c>
      <c r="F2580" t="s">
        <v>35</v>
      </c>
      <c r="G2580" t="s">
        <v>408</v>
      </c>
      <c r="H2580">
        <v>90.86</v>
      </c>
      <c r="I2580">
        <v>7</v>
      </c>
      <c r="J2580">
        <v>26.349399999999999</v>
      </c>
      <c r="K2580">
        <v>2014</v>
      </c>
      <c r="L2580">
        <v>3</v>
      </c>
      <c r="M2580" t="s">
        <v>135</v>
      </c>
      <c r="N2580">
        <v>19</v>
      </c>
      <c r="O2580">
        <v>2</v>
      </c>
      <c r="P2580">
        <v>29</v>
      </c>
      <c r="Q2580">
        <v>12.98</v>
      </c>
      <c r="R2580" t="s">
        <v>48</v>
      </c>
      <c r="S2580" t="b">
        <v>0</v>
      </c>
      <c r="T2580" t="b">
        <v>0</v>
      </c>
    </row>
    <row r="2581" spans="1:20" x14ac:dyDescent="0.3">
      <c r="A2581" t="s">
        <v>3567</v>
      </c>
      <c r="B2581" s="1">
        <v>41968</v>
      </c>
      <c r="C2581" s="1">
        <v>41968</v>
      </c>
      <c r="D2581" t="s">
        <v>1743</v>
      </c>
      <c r="E2581" t="s">
        <v>51</v>
      </c>
      <c r="F2581" t="s">
        <v>72</v>
      </c>
      <c r="G2581" t="s">
        <v>1696</v>
      </c>
      <c r="H2581">
        <v>7.78</v>
      </c>
      <c r="I2581">
        <v>1</v>
      </c>
      <c r="J2581">
        <v>3.5009999999999999</v>
      </c>
      <c r="K2581">
        <v>2014</v>
      </c>
      <c r="L2581">
        <v>11</v>
      </c>
      <c r="M2581" t="s">
        <v>70</v>
      </c>
      <c r="N2581">
        <v>25</v>
      </c>
      <c r="O2581">
        <v>0</v>
      </c>
      <c r="P2581">
        <v>45</v>
      </c>
      <c r="Q2581">
        <v>7.78</v>
      </c>
      <c r="R2581" t="s">
        <v>26</v>
      </c>
      <c r="S2581" t="b">
        <v>0</v>
      </c>
      <c r="T2581" t="b">
        <v>0</v>
      </c>
    </row>
    <row r="2582" spans="1:20" x14ac:dyDescent="0.3">
      <c r="A2582" t="s">
        <v>3568</v>
      </c>
      <c r="B2582" s="1">
        <v>41241</v>
      </c>
      <c r="C2582" s="1">
        <v>41246</v>
      </c>
      <c r="D2582" t="s">
        <v>2040</v>
      </c>
      <c r="E2582" t="s">
        <v>1490</v>
      </c>
      <c r="F2582" t="s">
        <v>31</v>
      </c>
      <c r="G2582" t="s">
        <v>2154</v>
      </c>
      <c r="H2582">
        <v>8.2799999999999994</v>
      </c>
      <c r="I2582">
        <v>2</v>
      </c>
      <c r="J2582">
        <v>3.4775999999999998</v>
      </c>
      <c r="K2582">
        <v>2012</v>
      </c>
      <c r="L2582">
        <v>11</v>
      </c>
      <c r="M2582" t="s">
        <v>70</v>
      </c>
      <c r="N2582">
        <v>28</v>
      </c>
      <c r="O2582">
        <v>5</v>
      </c>
      <c r="P2582">
        <v>42</v>
      </c>
      <c r="Q2582">
        <v>4.1399999999999997</v>
      </c>
      <c r="R2582" t="s">
        <v>26</v>
      </c>
      <c r="S2582" t="b">
        <v>0</v>
      </c>
      <c r="T2582" t="b">
        <v>0</v>
      </c>
    </row>
    <row r="2583" spans="1:20" x14ac:dyDescent="0.3">
      <c r="A2583" t="s">
        <v>3569</v>
      </c>
      <c r="B2583" s="1">
        <v>41887</v>
      </c>
      <c r="C2583" s="1">
        <v>41888</v>
      </c>
      <c r="D2583" t="s">
        <v>1638</v>
      </c>
      <c r="E2583" t="s">
        <v>1045</v>
      </c>
      <c r="F2583" t="s">
        <v>33</v>
      </c>
      <c r="G2583" t="s">
        <v>581</v>
      </c>
      <c r="H2583">
        <v>88.073999999999998</v>
      </c>
      <c r="I2583">
        <v>7</v>
      </c>
      <c r="J2583">
        <v>-58.716000000000001</v>
      </c>
      <c r="K2583">
        <v>2014</v>
      </c>
      <c r="L2583">
        <v>9</v>
      </c>
      <c r="M2583" t="s">
        <v>87</v>
      </c>
      <c r="N2583">
        <v>5</v>
      </c>
      <c r="O2583">
        <v>1</v>
      </c>
      <c r="P2583">
        <v>-66.67</v>
      </c>
      <c r="Q2583">
        <v>12.582000000000001</v>
      </c>
      <c r="R2583" t="s">
        <v>26</v>
      </c>
      <c r="S2583" t="b">
        <v>1</v>
      </c>
      <c r="T2583" t="b">
        <v>0</v>
      </c>
    </row>
    <row r="2584" spans="1:20" x14ac:dyDescent="0.3">
      <c r="A2584" t="s">
        <v>3570</v>
      </c>
      <c r="B2584" s="1">
        <v>41913</v>
      </c>
      <c r="C2584" s="1">
        <v>41915</v>
      </c>
      <c r="D2584" t="s">
        <v>718</v>
      </c>
      <c r="E2584" t="s">
        <v>22</v>
      </c>
      <c r="F2584" t="s">
        <v>61</v>
      </c>
      <c r="G2584" t="s">
        <v>3571</v>
      </c>
      <c r="H2584">
        <v>159.97999999999999</v>
      </c>
      <c r="I2584">
        <v>2</v>
      </c>
      <c r="J2584">
        <v>47.994</v>
      </c>
      <c r="K2584">
        <v>2014</v>
      </c>
      <c r="L2584">
        <v>10</v>
      </c>
      <c r="M2584" t="s">
        <v>82</v>
      </c>
      <c r="N2584">
        <v>1</v>
      </c>
      <c r="O2584">
        <v>2</v>
      </c>
      <c r="P2584">
        <v>30</v>
      </c>
      <c r="Q2584">
        <v>79.989999999999995</v>
      </c>
      <c r="R2584" t="s">
        <v>26</v>
      </c>
      <c r="S2584" t="b">
        <v>0</v>
      </c>
      <c r="T2584" t="b">
        <v>0</v>
      </c>
    </row>
    <row r="2585" spans="1:20" x14ac:dyDescent="0.3">
      <c r="A2585" t="s">
        <v>3572</v>
      </c>
      <c r="B2585" s="1">
        <v>41780</v>
      </c>
      <c r="C2585" s="1">
        <v>41786</v>
      </c>
      <c r="D2585" t="s">
        <v>933</v>
      </c>
      <c r="E2585" t="s">
        <v>271</v>
      </c>
      <c r="F2585" t="s">
        <v>33</v>
      </c>
      <c r="G2585" t="s">
        <v>2337</v>
      </c>
      <c r="H2585">
        <v>8.2880000000000003</v>
      </c>
      <c r="I2585">
        <v>2</v>
      </c>
      <c r="J2585">
        <v>3.0044</v>
      </c>
      <c r="K2585">
        <v>2014</v>
      </c>
      <c r="L2585">
        <v>5</v>
      </c>
      <c r="M2585" t="s">
        <v>47</v>
      </c>
      <c r="N2585">
        <v>21</v>
      </c>
      <c r="O2585">
        <v>6</v>
      </c>
      <c r="P2585">
        <v>36.25</v>
      </c>
      <c r="Q2585">
        <v>4.1440000000000001</v>
      </c>
      <c r="R2585" t="s">
        <v>26</v>
      </c>
      <c r="S2585" t="b">
        <v>0</v>
      </c>
      <c r="T2585" t="b">
        <v>0</v>
      </c>
    </row>
    <row r="2586" spans="1:20" x14ac:dyDescent="0.3">
      <c r="A2586" t="s">
        <v>3572</v>
      </c>
      <c r="B2586" s="1">
        <v>41780</v>
      </c>
      <c r="C2586" s="1">
        <v>41786</v>
      </c>
      <c r="D2586" t="s">
        <v>933</v>
      </c>
      <c r="E2586" t="s">
        <v>271</v>
      </c>
      <c r="F2586" t="s">
        <v>35</v>
      </c>
      <c r="G2586" t="s">
        <v>408</v>
      </c>
      <c r="H2586">
        <v>64.900000000000006</v>
      </c>
      <c r="I2586">
        <v>5</v>
      </c>
      <c r="J2586">
        <v>18.821000000000002</v>
      </c>
      <c r="K2586">
        <v>2014</v>
      </c>
      <c r="L2586">
        <v>5</v>
      </c>
      <c r="M2586" t="s">
        <v>47</v>
      </c>
      <c r="N2586">
        <v>21</v>
      </c>
      <c r="O2586">
        <v>6</v>
      </c>
      <c r="P2586">
        <v>29</v>
      </c>
      <c r="Q2586">
        <v>12.98</v>
      </c>
      <c r="R2586" t="s">
        <v>26</v>
      </c>
      <c r="S2586" t="b">
        <v>0</v>
      </c>
      <c r="T2586" t="b">
        <v>0</v>
      </c>
    </row>
    <row r="2587" spans="1:20" x14ac:dyDescent="0.3">
      <c r="A2587" t="s">
        <v>3573</v>
      </c>
      <c r="B2587" s="1">
        <v>41176</v>
      </c>
      <c r="C2587" s="1">
        <v>41181</v>
      </c>
      <c r="D2587" t="s">
        <v>68</v>
      </c>
      <c r="E2587" t="s">
        <v>3574</v>
      </c>
      <c r="F2587" t="s">
        <v>31</v>
      </c>
      <c r="G2587" t="s">
        <v>1894</v>
      </c>
      <c r="H2587">
        <v>14.576000000000001</v>
      </c>
      <c r="I2587">
        <v>2</v>
      </c>
      <c r="J2587">
        <v>2.3685999999999998</v>
      </c>
      <c r="K2587">
        <v>2012</v>
      </c>
      <c r="L2587">
        <v>9</v>
      </c>
      <c r="M2587" t="s">
        <v>87</v>
      </c>
      <c r="N2587">
        <v>24</v>
      </c>
      <c r="O2587">
        <v>5</v>
      </c>
      <c r="P2587">
        <v>16.25</v>
      </c>
      <c r="Q2587">
        <v>7.2880000000000003</v>
      </c>
      <c r="R2587" t="s">
        <v>26</v>
      </c>
      <c r="S2587" t="b">
        <v>0</v>
      </c>
      <c r="T2587" t="b">
        <v>0</v>
      </c>
    </row>
    <row r="2588" spans="1:20" x14ac:dyDescent="0.3">
      <c r="A2588" t="s">
        <v>3573</v>
      </c>
      <c r="B2588" s="1">
        <v>41176</v>
      </c>
      <c r="C2588" s="1">
        <v>41181</v>
      </c>
      <c r="D2588" t="s">
        <v>68</v>
      </c>
      <c r="E2588" t="s">
        <v>3574</v>
      </c>
      <c r="F2588" t="s">
        <v>61</v>
      </c>
      <c r="G2588" t="s">
        <v>1809</v>
      </c>
      <c r="H2588">
        <v>23.2</v>
      </c>
      <c r="I2588">
        <v>2</v>
      </c>
      <c r="J2588">
        <v>1.45</v>
      </c>
      <c r="K2588">
        <v>2012</v>
      </c>
      <c r="L2588">
        <v>9</v>
      </c>
      <c r="M2588" t="s">
        <v>87</v>
      </c>
      <c r="N2588">
        <v>24</v>
      </c>
      <c r="O2588">
        <v>5</v>
      </c>
      <c r="P2588">
        <v>6.25</v>
      </c>
      <c r="Q2588">
        <v>11.6</v>
      </c>
      <c r="R2588" t="s">
        <v>26</v>
      </c>
      <c r="S2588" t="b">
        <v>0</v>
      </c>
      <c r="T2588" t="b">
        <v>0</v>
      </c>
    </row>
    <row r="2589" spans="1:20" x14ac:dyDescent="0.3">
      <c r="A2589" t="s">
        <v>3573</v>
      </c>
      <c r="B2589" s="1">
        <v>41176</v>
      </c>
      <c r="C2589" s="1">
        <v>41181</v>
      </c>
      <c r="D2589" t="s">
        <v>68</v>
      </c>
      <c r="E2589" t="s">
        <v>3574</v>
      </c>
      <c r="F2589" t="s">
        <v>31</v>
      </c>
      <c r="G2589" t="s">
        <v>351</v>
      </c>
      <c r="H2589">
        <v>16.463999999999999</v>
      </c>
      <c r="I2589">
        <v>7</v>
      </c>
      <c r="J2589">
        <v>1.8522000000000001</v>
      </c>
      <c r="K2589">
        <v>2012</v>
      </c>
      <c r="L2589">
        <v>9</v>
      </c>
      <c r="M2589" t="s">
        <v>87</v>
      </c>
      <c r="N2589">
        <v>24</v>
      </c>
      <c r="O2589">
        <v>5</v>
      </c>
      <c r="P2589">
        <v>11.25</v>
      </c>
      <c r="Q2589">
        <v>2.3519999999999999</v>
      </c>
      <c r="R2589" t="s">
        <v>26</v>
      </c>
      <c r="S2589" t="b">
        <v>0</v>
      </c>
      <c r="T2589" t="b">
        <v>0</v>
      </c>
    </row>
    <row r="2590" spans="1:20" x14ac:dyDescent="0.3">
      <c r="A2590" t="s">
        <v>3575</v>
      </c>
      <c r="B2590" s="1">
        <v>40567</v>
      </c>
      <c r="C2590" s="1">
        <v>40572</v>
      </c>
      <c r="D2590" t="s">
        <v>2958</v>
      </c>
      <c r="E2590" t="s">
        <v>271</v>
      </c>
      <c r="F2590" t="s">
        <v>72</v>
      </c>
      <c r="G2590" t="s">
        <v>116</v>
      </c>
      <c r="H2590">
        <v>40.08</v>
      </c>
      <c r="I2590">
        <v>6</v>
      </c>
      <c r="J2590">
        <v>19.238399999999999</v>
      </c>
      <c r="K2590">
        <v>2011</v>
      </c>
      <c r="L2590">
        <v>1</v>
      </c>
      <c r="M2590" t="s">
        <v>60</v>
      </c>
      <c r="N2590">
        <v>24</v>
      </c>
      <c r="O2590">
        <v>5</v>
      </c>
      <c r="P2590">
        <v>48</v>
      </c>
      <c r="Q2590">
        <v>6.68</v>
      </c>
      <c r="R2590" t="s">
        <v>26</v>
      </c>
      <c r="S2590" t="b">
        <v>0</v>
      </c>
      <c r="T2590" t="b">
        <v>0</v>
      </c>
    </row>
    <row r="2591" spans="1:20" x14ac:dyDescent="0.3">
      <c r="A2591" t="s">
        <v>3576</v>
      </c>
      <c r="B2591" s="1">
        <v>41450</v>
      </c>
      <c r="C2591" s="1">
        <v>41452</v>
      </c>
      <c r="D2591" t="s">
        <v>157</v>
      </c>
      <c r="E2591" t="s">
        <v>194</v>
      </c>
      <c r="F2591" t="s">
        <v>72</v>
      </c>
      <c r="G2591" t="s">
        <v>2725</v>
      </c>
      <c r="H2591">
        <v>104.85</v>
      </c>
      <c r="I2591">
        <v>1</v>
      </c>
      <c r="J2591">
        <v>50.328000000000003</v>
      </c>
      <c r="K2591">
        <v>2013</v>
      </c>
      <c r="L2591">
        <v>6</v>
      </c>
      <c r="M2591" t="s">
        <v>25</v>
      </c>
      <c r="N2591">
        <v>25</v>
      </c>
      <c r="O2591">
        <v>2</v>
      </c>
      <c r="P2591">
        <v>48</v>
      </c>
      <c r="Q2591">
        <v>104.85</v>
      </c>
      <c r="R2591" t="s">
        <v>26</v>
      </c>
      <c r="S2591" t="b">
        <v>0</v>
      </c>
      <c r="T2591" t="b">
        <v>0</v>
      </c>
    </row>
    <row r="2592" spans="1:20" x14ac:dyDescent="0.3">
      <c r="A2592" t="s">
        <v>3576</v>
      </c>
      <c r="B2592" s="1">
        <v>41450</v>
      </c>
      <c r="C2592" s="1">
        <v>41452</v>
      </c>
      <c r="D2592" t="s">
        <v>157</v>
      </c>
      <c r="E2592" t="s">
        <v>194</v>
      </c>
      <c r="F2592" t="s">
        <v>35</v>
      </c>
      <c r="G2592" t="s">
        <v>1724</v>
      </c>
      <c r="H2592">
        <v>241.44</v>
      </c>
      <c r="I2592">
        <v>3</v>
      </c>
      <c r="J2592">
        <v>72.432000000000002</v>
      </c>
      <c r="K2592">
        <v>2013</v>
      </c>
      <c r="L2592">
        <v>6</v>
      </c>
      <c r="M2592" t="s">
        <v>25</v>
      </c>
      <c r="N2592">
        <v>25</v>
      </c>
      <c r="O2592">
        <v>2</v>
      </c>
      <c r="P2592">
        <v>30</v>
      </c>
      <c r="Q2592">
        <v>80.48</v>
      </c>
      <c r="R2592" t="s">
        <v>26</v>
      </c>
      <c r="S2592" t="b">
        <v>0</v>
      </c>
      <c r="T2592" t="b">
        <v>1</v>
      </c>
    </row>
    <row r="2593" spans="1:20" x14ac:dyDescent="0.3">
      <c r="A2593" t="s">
        <v>3577</v>
      </c>
      <c r="B2593" s="1">
        <v>41610</v>
      </c>
      <c r="C2593" s="1">
        <v>41610</v>
      </c>
      <c r="D2593" t="s">
        <v>3173</v>
      </c>
      <c r="E2593" t="s">
        <v>2844</v>
      </c>
      <c r="F2593" t="s">
        <v>29</v>
      </c>
      <c r="G2593" t="s">
        <v>365</v>
      </c>
      <c r="H2593">
        <v>31.96</v>
      </c>
      <c r="I2593">
        <v>2</v>
      </c>
      <c r="J2593">
        <v>1.5980000000000001</v>
      </c>
      <c r="K2593">
        <v>2013</v>
      </c>
      <c r="L2593">
        <v>12</v>
      </c>
      <c r="M2593" t="s">
        <v>41</v>
      </c>
      <c r="N2593">
        <v>2</v>
      </c>
      <c r="O2593">
        <v>0</v>
      </c>
      <c r="P2593">
        <v>5</v>
      </c>
      <c r="Q2593">
        <v>15.98</v>
      </c>
      <c r="R2593" t="s">
        <v>26</v>
      </c>
      <c r="S2593" t="b">
        <v>0</v>
      </c>
      <c r="T2593" t="b">
        <v>0</v>
      </c>
    </row>
    <row r="2594" spans="1:20" x14ac:dyDescent="0.3">
      <c r="A2594" t="s">
        <v>3577</v>
      </c>
      <c r="B2594" s="1">
        <v>41610</v>
      </c>
      <c r="C2594" s="1">
        <v>41610</v>
      </c>
      <c r="D2594" t="s">
        <v>3173</v>
      </c>
      <c r="E2594" t="s">
        <v>2844</v>
      </c>
      <c r="F2594" t="s">
        <v>72</v>
      </c>
      <c r="G2594" t="s">
        <v>3578</v>
      </c>
      <c r="H2594">
        <v>47.9</v>
      </c>
      <c r="I2594">
        <v>1</v>
      </c>
      <c r="J2594">
        <v>22.992000000000001</v>
      </c>
      <c r="K2594">
        <v>2013</v>
      </c>
      <c r="L2594">
        <v>12</v>
      </c>
      <c r="M2594" t="s">
        <v>41</v>
      </c>
      <c r="N2594">
        <v>2</v>
      </c>
      <c r="O2594">
        <v>0</v>
      </c>
      <c r="P2594">
        <v>48</v>
      </c>
      <c r="Q2594">
        <v>47.9</v>
      </c>
      <c r="R2594" t="s">
        <v>26</v>
      </c>
      <c r="S2594" t="b">
        <v>0</v>
      </c>
      <c r="T2594" t="b">
        <v>0</v>
      </c>
    </row>
    <row r="2595" spans="1:20" x14ac:dyDescent="0.3">
      <c r="A2595" t="s">
        <v>3577</v>
      </c>
      <c r="B2595" s="1">
        <v>41610</v>
      </c>
      <c r="C2595" s="1">
        <v>41610</v>
      </c>
      <c r="D2595" t="s">
        <v>3173</v>
      </c>
      <c r="E2595" t="s">
        <v>2844</v>
      </c>
      <c r="F2595" t="s">
        <v>128</v>
      </c>
      <c r="G2595" t="s">
        <v>728</v>
      </c>
      <c r="H2595">
        <v>22.92</v>
      </c>
      <c r="I2595">
        <v>3</v>
      </c>
      <c r="J2595">
        <v>11.2308</v>
      </c>
      <c r="K2595">
        <v>2013</v>
      </c>
      <c r="L2595">
        <v>12</v>
      </c>
      <c r="M2595" t="s">
        <v>41</v>
      </c>
      <c r="N2595">
        <v>2</v>
      </c>
      <c r="O2595">
        <v>0</v>
      </c>
      <c r="P2595">
        <v>49</v>
      </c>
      <c r="Q2595">
        <v>7.6400000000000006</v>
      </c>
      <c r="R2595" t="s">
        <v>26</v>
      </c>
      <c r="S2595" t="b">
        <v>0</v>
      </c>
      <c r="T2595" t="b">
        <v>0</v>
      </c>
    </row>
    <row r="2596" spans="1:20" x14ac:dyDescent="0.3">
      <c r="A2596" t="s">
        <v>3579</v>
      </c>
      <c r="B2596" s="1">
        <v>41803</v>
      </c>
      <c r="C2596" s="1">
        <v>41805</v>
      </c>
      <c r="D2596" t="s">
        <v>3342</v>
      </c>
      <c r="E2596" t="s">
        <v>951</v>
      </c>
      <c r="F2596" t="s">
        <v>54</v>
      </c>
      <c r="G2596" t="s">
        <v>2703</v>
      </c>
      <c r="H2596">
        <v>71.975999999999999</v>
      </c>
      <c r="I2596">
        <v>3</v>
      </c>
      <c r="J2596">
        <v>8.9969999999999999</v>
      </c>
      <c r="K2596">
        <v>2014</v>
      </c>
      <c r="L2596">
        <v>6</v>
      </c>
      <c r="M2596" t="s">
        <v>25</v>
      </c>
      <c r="N2596">
        <v>13</v>
      </c>
      <c r="O2596">
        <v>2</v>
      </c>
      <c r="P2596">
        <v>12.5</v>
      </c>
      <c r="Q2596">
        <v>23.992000000000001</v>
      </c>
      <c r="R2596" t="s">
        <v>26</v>
      </c>
      <c r="S2596" t="b">
        <v>0</v>
      </c>
      <c r="T2596" t="b">
        <v>0</v>
      </c>
    </row>
    <row r="2597" spans="1:20" x14ac:dyDescent="0.3">
      <c r="A2597" t="s">
        <v>3579</v>
      </c>
      <c r="B2597" s="1">
        <v>41803</v>
      </c>
      <c r="C2597" s="1">
        <v>41805</v>
      </c>
      <c r="D2597" t="s">
        <v>3342</v>
      </c>
      <c r="E2597" t="s">
        <v>951</v>
      </c>
      <c r="F2597" t="s">
        <v>72</v>
      </c>
      <c r="G2597" t="s">
        <v>2677</v>
      </c>
      <c r="H2597">
        <v>19.440000000000001</v>
      </c>
      <c r="I2597">
        <v>3</v>
      </c>
      <c r="J2597">
        <v>9.3312000000000008</v>
      </c>
      <c r="K2597">
        <v>2014</v>
      </c>
      <c r="L2597">
        <v>6</v>
      </c>
      <c r="M2597" t="s">
        <v>25</v>
      </c>
      <c r="N2597">
        <v>13</v>
      </c>
      <c r="O2597">
        <v>2</v>
      </c>
      <c r="P2597">
        <v>48</v>
      </c>
      <c r="Q2597">
        <v>6.48</v>
      </c>
      <c r="R2597" t="s">
        <v>26</v>
      </c>
      <c r="S2597" t="b">
        <v>0</v>
      </c>
      <c r="T2597" t="b">
        <v>0</v>
      </c>
    </row>
    <row r="2598" spans="1:20" x14ac:dyDescent="0.3">
      <c r="A2598" t="s">
        <v>3580</v>
      </c>
      <c r="B2598" s="1">
        <v>41859</v>
      </c>
      <c r="C2598" s="1">
        <v>41863</v>
      </c>
      <c r="D2598" t="s">
        <v>3581</v>
      </c>
      <c r="E2598" t="s">
        <v>855</v>
      </c>
      <c r="F2598" t="s">
        <v>33</v>
      </c>
      <c r="G2598" t="s">
        <v>465</v>
      </c>
      <c r="H2598">
        <v>11.952</v>
      </c>
      <c r="I2598">
        <v>3</v>
      </c>
      <c r="J2598">
        <v>4.1832000000000003</v>
      </c>
      <c r="K2598">
        <v>2014</v>
      </c>
      <c r="L2598">
        <v>8</v>
      </c>
      <c r="M2598" t="s">
        <v>53</v>
      </c>
      <c r="N2598">
        <v>8</v>
      </c>
      <c r="O2598">
        <v>4</v>
      </c>
      <c r="P2598">
        <v>35</v>
      </c>
      <c r="Q2598">
        <v>3.984</v>
      </c>
      <c r="R2598" t="s">
        <v>26</v>
      </c>
      <c r="S2598" t="b">
        <v>0</v>
      </c>
      <c r="T2598" t="b">
        <v>0</v>
      </c>
    </row>
    <row r="2599" spans="1:20" x14ac:dyDescent="0.3">
      <c r="A2599" t="s">
        <v>3580</v>
      </c>
      <c r="B2599" s="1">
        <v>41859</v>
      </c>
      <c r="C2599" s="1">
        <v>41863</v>
      </c>
      <c r="D2599" t="s">
        <v>3581</v>
      </c>
      <c r="E2599" t="s">
        <v>855</v>
      </c>
      <c r="F2599" t="s">
        <v>33</v>
      </c>
      <c r="G2599" t="s">
        <v>3582</v>
      </c>
      <c r="H2599">
        <v>31.128</v>
      </c>
      <c r="I2599">
        <v>3</v>
      </c>
      <c r="J2599">
        <v>11.673</v>
      </c>
      <c r="K2599">
        <v>2014</v>
      </c>
      <c r="L2599">
        <v>8</v>
      </c>
      <c r="M2599" t="s">
        <v>53</v>
      </c>
      <c r="N2599">
        <v>8</v>
      </c>
      <c r="O2599">
        <v>4</v>
      </c>
      <c r="P2599">
        <v>37.5</v>
      </c>
      <c r="Q2599">
        <v>10.375999999999999</v>
      </c>
      <c r="R2599" t="s">
        <v>26</v>
      </c>
      <c r="S2599" t="b">
        <v>0</v>
      </c>
      <c r="T2599" t="b">
        <v>0</v>
      </c>
    </row>
    <row r="2600" spans="1:20" x14ac:dyDescent="0.3">
      <c r="A2600" t="s">
        <v>3580</v>
      </c>
      <c r="B2600" s="1">
        <v>41859</v>
      </c>
      <c r="C2600" s="1">
        <v>41863</v>
      </c>
      <c r="D2600" t="s">
        <v>3581</v>
      </c>
      <c r="E2600" t="s">
        <v>855</v>
      </c>
      <c r="F2600" t="s">
        <v>61</v>
      </c>
      <c r="G2600" t="s">
        <v>2975</v>
      </c>
      <c r="H2600">
        <v>55.76</v>
      </c>
      <c r="I2600">
        <v>4</v>
      </c>
      <c r="J2600">
        <v>7.8064</v>
      </c>
      <c r="K2600">
        <v>2014</v>
      </c>
      <c r="L2600">
        <v>8</v>
      </c>
      <c r="M2600" t="s">
        <v>53</v>
      </c>
      <c r="N2600">
        <v>8</v>
      </c>
      <c r="O2600">
        <v>4</v>
      </c>
      <c r="P2600">
        <v>14</v>
      </c>
      <c r="Q2600">
        <v>13.94</v>
      </c>
      <c r="R2600" t="s">
        <v>26</v>
      </c>
      <c r="S2600" t="b">
        <v>0</v>
      </c>
      <c r="T2600" t="b">
        <v>0</v>
      </c>
    </row>
    <row r="2601" spans="1:20" x14ac:dyDescent="0.3">
      <c r="A2601" t="s">
        <v>3580</v>
      </c>
      <c r="B2601" s="1">
        <v>41859</v>
      </c>
      <c r="C2601" s="1">
        <v>41863</v>
      </c>
      <c r="D2601" t="s">
        <v>3581</v>
      </c>
      <c r="E2601" t="s">
        <v>855</v>
      </c>
      <c r="F2601" t="s">
        <v>72</v>
      </c>
      <c r="G2601" t="s">
        <v>651</v>
      </c>
      <c r="H2601">
        <v>24.56</v>
      </c>
      <c r="I2601">
        <v>2</v>
      </c>
      <c r="J2601">
        <v>11.543200000000001</v>
      </c>
      <c r="K2601">
        <v>2014</v>
      </c>
      <c r="L2601">
        <v>8</v>
      </c>
      <c r="M2601" t="s">
        <v>53</v>
      </c>
      <c r="N2601">
        <v>8</v>
      </c>
      <c r="O2601">
        <v>4</v>
      </c>
      <c r="P2601">
        <v>47</v>
      </c>
      <c r="Q2601">
        <v>12.28</v>
      </c>
      <c r="R2601" t="s">
        <v>26</v>
      </c>
      <c r="S2601" t="b">
        <v>0</v>
      </c>
      <c r="T2601" t="b">
        <v>0</v>
      </c>
    </row>
    <row r="2602" spans="1:20" x14ac:dyDescent="0.3">
      <c r="A2602" t="s">
        <v>3580</v>
      </c>
      <c r="B2602" s="1">
        <v>41859</v>
      </c>
      <c r="C2602" s="1">
        <v>41863</v>
      </c>
      <c r="D2602" t="s">
        <v>3581</v>
      </c>
      <c r="E2602" t="s">
        <v>855</v>
      </c>
      <c r="F2602" t="s">
        <v>29</v>
      </c>
      <c r="G2602" t="s">
        <v>625</v>
      </c>
      <c r="H2602">
        <v>51.75</v>
      </c>
      <c r="I2602">
        <v>1</v>
      </c>
      <c r="J2602">
        <v>15.525</v>
      </c>
      <c r="K2602">
        <v>2014</v>
      </c>
      <c r="L2602">
        <v>8</v>
      </c>
      <c r="M2602" t="s">
        <v>53</v>
      </c>
      <c r="N2602">
        <v>8</v>
      </c>
      <c r="O2602">
        <v>4</v>
      </c>
      <c r="P2602">
        <v>30</v>
      </c>
      <c r="Q2602">
        <v>51.75</v>
      </c>
      <c r="R2602" t="s">
        <v>26</v>
      </c>
      <c r="S2602" t="b">
        <v>0</v>
      </c>
      <c r="T2602" t="b">
        <v>0</v>
      </c>
    </row>
    <row r="2603" spans="1:20" x14ac:dyDescent="0.3">
      <c r="A2603" t="s">
        <v>3580</v>
      </c>
      <c r="B2603" s="1">
        <v>41859</v>
      </c>
      <c r="C2603" s="1">
        <v>41863</v>
      </c>
      <c r="D2603" t="s">
        <v>3581</v>
      </c>
      <c r="E2603" t="s">
        <v>855</v>
      </c>
      <c r="F2603" t="s">
        <v>110</v>
      </c>
      <c r="G2603" t="s">
        <v>3583</v>
      </c>
      <c r="H2603">
        <v>207.184</v>
      </c>
      <c r="I2603">
        <v>1</v>
      </c>
      <c r="J2603">
        <v>25.898</v>
      </c>
      <c r="K2603">
        <v>2014</v>
      </c>
      <c r="L2603">
        <v>8</v>
      </c>
      <c r="M2603" t="s">
        <v>53</v>
      </c>
      <c r="N2603">
        <v>8</v>
      </c>
      <c r="O2603">
        <v>4</v>
      </c>
      <c r="P2603">
        <v>12.5</v>
      </c>
      <c r="Q2603">
        <v>207.184</v>
      </c>
      <c r="R2603" t="s">
        <v>26</v>
      </c>
      <c r="S2603" t="b">
        <v>0</v>
      </c>
      <c r="T2603" t="b">
        <v>0</v>
      </c>
    </row>
    <row r="2604" spans="1:20" x14ac:dyDescent="0.3">
      <c r="A2604" t="s">
        <v>3584</v>
      </c>
      <c r="B2604" s="1">
        <v>40877</v>
      </c>
      <c r="C2604" s="1">
        <v>40883</v>
      </c>
      <c r="D2604" t="s">
        <v>289</v>
      </c>
      <c r="E2604" t="s">
        <v>3574</v>
      </c>
      <c r="F2604" t="s">
        <v>122</v>
      </c>
      <c r="G2604" t="s">
        <v>2359</v>
      </c>
      <c r="H2604">
        <v>47.991999999999997</v>
      </c>
      <c r="I2604">
        <v>7</v>
      </c>
      <c r="J2604">
        <v>3.5994000000000002</v>
      </c>
      <c r="K2604">
        <v>2011</v>
      </c>
      <c r="L2604">
        <v>11</v>
      </c>
      <c r="M2604" t="s">
        <v>70</v>
      </c>
      <c r="N2604">
        <v>30</v>
      </c>
      <c r="O2604">
        <v>6</v>
      </c>
      <c r="P2604">
        <v>7.5</v>
      </c>
      <c r="Q2604">
        <v>6.8559999999999999</v>
      </c>
      <c r="R2604" t="s">
        <v>26</v>
      </c>
      <c r="S2604" t="b">
        <v>0</v>
      </c>
      <c r="T2604" t="b">
        <v>0</v>
      </c>
    </row>
    <row r="2605" spans="1:20" x14ac:dyDescent="0.3">
      <c r="A2605" t="s">
        <v>3584</v>
      </c>
      <c r="B2605" s="1">
        <v>40877</v>
      </c>
      <c r="C2605" s="1">
        <v>40883</v>
      </c>
      <c r="D2605" t="s">
        <v>289</v>
      </c>
      <c r="E2605" t="s">
        <v>3574</v>
      </c>
      <c r="F2605" t="s">
        <v>61</v>
      </c>
      <c r="G2605" t="s">
        <v>3585</v>
      </c>
      <c r="H2605">
        <v>102.24</v>
      </c>
      <c r="I2605">
        <v>4</v>
      </c>
      <c r="J2605">
        <v>-16.614000000000001</v>
      </c>
      <c r="K2605">
        <v>2011</v>
      </c>
      <c r="L2605">
        <v>11</v>
      </c>
      <c r="M2605" t="s">
        <v>70</v>
      </c>
      <c r="N2605">
        <v>30</v>
      </c>
      <c r="O2605">
        <v>6</v>
      </c>
      <c r="P2605">
        <v>-16.25</v>
      </c>
      <c r="Q2605">
        <v>25.56</v>
      </c>
      <c r="R2605" t="s">
        <v>26</v>
      </c>
      <c r="S2605" t="b">
        <v>1</v>
      </c>
      <c r="T2605" t="b">
        <v>0</v>
      </c>
    </row>
    <row r="2606" spans="1:20" x14ac:dyDescent="0.3">
      <c r="A2606" t="s">
        <v>3586</v>
      </c>
      <c r="B2606" s="1">
        <v>40673</v>
      </c>
      <c r="C2606" s="1">
        <v>40678</v>
      </c>
      <c r="D2606" t="s">
        <v>732</v>
      </c>
      <c r="E2606" t="s">
        <v>139</v>
      </c>
      <c r="F2606" t="s">
        <v>72</v>
      </c>
      <c r="G2606" t="s">
        <v>2841</v>
      </c>
      <c r="H2606">
        <v>39.96</v>
      </c>
      <c r="I2606">
        <v>2</v>
      </c>
      <c r="J2606">
        <v>19.180800000000001</v>
      </c>
      <c r="K2606">
        <v>2011</v>
      </c>
      <c r="L2606">
        <v>5</v>
      </c>
      <c r="M2606" t="s">
        <v>47</v>
      </c>
      <c r="N2606">
        <v>10</v>
      </c>
      <c r="O2606">
        <v>5</v>
      </c>
      <c r="P2606">
        <v>48</v>
      </c>
      <c r="Q2606">
        <v>19.98</v>
      </c>
      <c r="R2606" t="s">
        <v>26</v>
      </c>
      <c r="S2606" t="b">
        <v>0</v>
      </c>
      <c r="T2606" t="b">
        <v>0</v>
      </c>
    </row>
    <row r="2607" spans="1:20" x14ac:dyDescent="0.3">
      <c r="A2607" t="s">
        <v>3586</v>
      </c>
      <c r="B2607" s="1">
        <v>40673</v>
      </c>
      <c r="C2607" s="1">
        <v>40678</v>
      </c>
      <c r="D2607" t="s">
        <v>732</v>
      </c>
      <c r="E2607" t="s">
        <v>139</v>
      </c>
      <c r="F2607" t="s">
        <v>122</v>
      </c>
      <c r="G2607" t="s">
        <v>2440</v>
      </c>
      <c r="H2607">
        <v>41.04</v>
      </c>
      <c r="I2607">
        <v>6</v>
      </c>
      <c r="J2607">
        <v>11.0808</v>
      </c>
      <c r="K2607">
        <v>2011</v>
      </c>
      <c r="L2607">
        <v>5</v>
      </c>
      <c r="M2607" t="s">
        <v>47</v>
      </c>
      <c r="N2607">
        <v>10</v>
      </c>
      <c r="O2607">
        <v>5</v>
      </c>
      <c r="P2607">
        <v>27</v>
      </c>
      <c r="Q2607">
        <v>6.84</v>
      </c>
      <c r="R2607" t="s">
        <v>26</v>
      </c>
      <c r="S2607" t="b">
        <v>0</v>
      </c>
      <c r="T2607" t="b">
        <v>0</v>
      </c>
    </row>
    <row r="2608" spans="1:20" x14ac:dyDescent="0.3">
      <c r="A2608" t="s">
        <v>3586</v>
      </c>
      <c r="B2608" s="1">
        <v>40673</v>
      </c>
      <c r="C2608" s="1">
        <v>40678</v>
      </c>
      <c r="D2608" t="s">
        <v>732</v>
      </c>
      <c r="E2608" t="s">
        <v>139</v>
      </c>
      <c r="F2608" t="s">
        <v>110</v>
      </c>
      <c r="G2608" t="s">
        <v>3587</v>
      </c>
      <c r="H2608">
        <v>256.78399999999999</v>
      </c>
      <c r="I2608">
        <v>1</v>
      </c>
      <c r="J2608">
        <v>32.097999999999999</v>
      </c>
      <c r="K2608">
        <v>2011</v>
      </c>
      <c r="L2608">
        <v>5</v>
      </c>
      <c r="M2608" t="s">
        <v>47</v>
      </c>
      <c r="N2608">
        <v>10</v>
      </c>
      <c r="O2608">
        <v>5</v>
      </c>
      <c r="P2608">
        <v>12.5</v>
      </c>
      <c r="Q2608">
        <v>256.78399999999999</v>
      </c>
      <c r="R2608" t="s">
        <v>26</v>
      </c>
      <c r="S2608" t="b">
        <v>0</v>
      </c>
      <c r="T2608" t="b">
        <v>1</v>
      </c>
    </row>
    <row r="2609" spans="1:20" x14ac:dyDescent="0.3">
      <c r="A2609" t="s">
        <v>3588</v>
      </c>
      <c r="B2609" s="1">
        <v>41610</v>
      </c>
      <c r="C2609" s="1">
        <v>41614</v>
      </c>
      <c r="D2609" t="s">
        <v>960</v>
      </c>
      <c r="E2609" t="s">
        <v>22</v>
      </c>
      <c r="F2609" t="s">
        <v>31</v>
      </c>
      <c r="G2609" t="s">
        <v>118</v>
      </c>
      <c r="H2609">
        <v>23.04</v>
      </c>
      <c r="I2609">
        <v>8</v>
      </c>
      <c r="J2609">
        <v>6.9119999999999999</v>
      </c>
      <c r="K2609">
        <v>2013</v>
      </c>
      <c r="L2609">
        <v>12</v>
      </c>
      <c r="M2609" t="s">
        <v>41</v>
      </c>
      <c r="N2609">
        <v>2</v>
      </c>
      <c r="O2609">
        <v>4</v>
      </c>
      <c r="P2609">
        <v>30</v>
      </c>
      <c r="Q2609">
        <v>2.88</v>
      </c>
      <c r="R2609" t="s">
        <v>26</v>
      </c>
      <c r="S2609" t="b">
        <v>0</v>
      </c>
      <c r="T2609" t="b">
        <v>0</v>
      </c>
    </row>
    <row r="2610" spans="1:20" x14ac:dyDescent="0.3">
      <c r="A2610" t="s">
        <v>3589</v>
      </c>
      <c r="B2610" s="1">
        <v>41855</v>
      </c>
      <c r="C2610" s="1">
        <v>41860</v>
      </c>
      <c r="D2610" t="s">
        <v>2992</v>
      </c>
      <c r="E2610" t="s">
        <v>39</v>
      </c>
      <c r="F2610" t="s">
        <v>45</v>
      </c>
      <c r="G2610" t="s">
        <v>1159</v>
      </c>
      <c r="H2610">
        <v>16.059999999999999</v>
      </c>
      <c r="I2610">
        <v>1</v>
      </c>
      <c r="J2610">
        <v>4.1756000000000002</v>
      </c>
      <c r="K2610">
        <v>2014</v>
      </c>
      <c r="L2610">
        <v>8</v>
      </c>
      <c r="M2610" t="s">
        <v>53</v>
      </c>
      <c r="N2610">
        <v>4</v>
      </c>
      <c r="O2610">
        <v>5</v>
      </c>
      <c r="P2610">
        <v>26</v>
      </c>
      <c r="Q2610">
        <v>16.059999999999999</v>
      </c>
      <c r="R2610" t="s">
        <v>26</v>
      </c>
      <c r="S2610" t="b">
        <v>0</v>
      </c>
      <c r="T2610" t="b">
        <v>0</v>
      </c>
    </row>
    <row r="2611" spans="1:20" x14ac:dyDescent="0.3">
      <c r="A2611" t="s">
        <v>3590</v>
      </c>
      <c r="B2611" s="1">
        <v>40982</v>
      </c>
      <c r="C2611" s="1">
        <v>40987</v>
      </c>
      <c r="D2611" t="s">
        <v>2362</v>
      </c>
      <c r="E2611" t="s">
        <v>115</v>
      </c>
      <c r="F2611" t="s">
        <v>72</v>
      </c>
      <c r="G2611" t="s">
        <v>693</v>
      </c>
      <c r="H2611">
        <v>19.440000000000001</v>
      </c>
      <c r="I2611">
        <v>3</v>
      </c>
      <c r="J2611">
        <v>9.3312000000000008</v>
      </c>
      <c r="K2611">
        <v>2012</v>
      </c>
      <c r="L2611">
        <v>3</v>
      </c>
      <c r="M2611" t="s">
        <v>135</v>
      </c>
      <c r="N2611">
        <v>14</v>
      </c>
      <c r="O2611">
        <v>5</v>
      </c>
      <c r="P2611">
        <v>48</v>
      </c>
      <c r="Q2611">
        <v>6.48</v>
      </c>
      <c r="R2611" t="s">
        <v>26</v>
      </c>
      <c r="S2611" t="b">
        <v>0</v>
      </c>
      <c r="T2611" t="b">
        <v>0</v>
      </c>
    </row>
    <row r="2612" spans="1:20" x14ac:dyDescent="0.3">
      <c r="A2612" t="s">
        <v>3591</v>
      </c>
      <c r="B2612" s="1">
        <v>40885</v>
      </c>
      <c r="C2612" s="1">
        <v>40892</v>
      </c>
      <c r="D2612" t="s">
        <v>2225</v>
      </c>
      <c r="E2612" t="s">
        <v>51</v>
      </c>
      <c r="F2612" t="s">
        <v>29</v>
      </c>
      <c r="G2612" t="s">
        <v>74</v>
      </c>
      <c r="H2612">
        <v>39.880000000000003</v>
      </c>
      <c r="I2612">
        <v>2</v>
      </c>
      <c r="J2612">
        <v>11.166399999999999</v>
      </c>
      <c r="K2612">
        <v>2011</v>
      </c>
      <c r="L2612">
        <v>12</v>
      </c>
      <c r="M2612" t="s">
        <v>41</v>
      </c>
      <c r="N2612">
        <v>8</v>
      </c>
      <c r="O2612">
        <v>7</v>
      </c>
      <c r="P2612">
        <v>28</v>
      </c>
      <c r="Q2612">
        <v>19.940000000000001</v>
      </c>
      <c r="R2612" t="s">
        <v>26</v>
      </c>
      <c r="S2612" t="b">
        <v>0</v>
      </c>
      <c r="T2612" t="b">
        <v>0</v>
      </c>
    </row>
    <row r="2613" spans="1:20" x14ac:dyDescent="0.3">
      <c r="A2613" t="s">
        <v>3591</v>
      </c>
      <c r="B2613" s="1">
        <v>40885</v>
      </c>
      <c r="C2613" s="1">
        <v>40892</v>
      </c>
      <c r="D2613" t="s">
        <v>2225</v>
      </c>
      <c r="E2613" t="s">
        <v>51</v>
      </c>
      <c r="F2613" t="s">
        <v>29</v>
      </c>
      <c r="G2613" t="s">
        <v>1358</v>
      </c>
      <c r="H2613">
        <v>79.44</v>
      </c>
      <c r="I2613">
        <v>3</v>
      </c>
      <c r="J2613">
        <v>28.598400000000002</v>
      </c>
      <c r="K2613">
        <v>2011</v>
      </c>
      <c r="L2613">
        <v>12</v>
      </c>
      <c r="M2613" t="s">
        <v>41</v>
      </c>
      <c r="N2613">
        <v>8</v>
      </c>
      <c r="O2613">
        <v>7</v>
      </c>
      <c r="P2613">
        <v>36</v>
      </c>
      <c r="Q2613">
        <v>26.48</v>
      </c>
      <c r="R2613" t="s">
        <v>26</v>
      </c>
      <c r="S2613" t="b">
        <v>0</v>
      </c>
      <c r="T2613" t="b">
        <v>0</v>
      </c>
    </row>
    <row r="2614" spans="1:20" x14ac:dyDescent="0.3">
      <c r="A2614" t="s">
        <v>3592</v>
      </c>
      <c r="B2614" s="1">
        <v>41600</v>
      </c>
      <c r="C2614" s="1">
        <v>41605</v>
      </c>
      <c r="D2614" t="s">
        <v>2060</v>
      </c>
      <c r="E2614" t="s">
        <v>22</v>
      </c>
      <c r="F2614" t="s">
        <v>72</v>
      </c>
      <c r="G2614" t="s">
        <v>391</v>
      </c>
      <c r="H2614">
        <v>32.4</v>
      </c>
      <c r="I2614">
        <v>5</v>
      </c>
      <c r="J2614">
        <v>15.552</v>
      </c>
      <c r="K2614">
        <v>2013</v>
      </c>
      <c r="L2614">
        <v>11</v>
      </c>
      <c r="M2614" t="s">
        <v>70</v>
      </c>
      <c r="N2614">
        <v>22</v>
      </c>
      <c r="O2614">
        <v>5</v>
      </c>
      <c r="P2614">
        <v>48</v>
      </c>
      <c r="Q2614">
        <v>6.48</v>
      </c>
      <c r="R2614" t="s">
        <v>26</v>
      </c>
      <c r="S2614" t="b">
        <v>0</v>
      </c>
      <c r="T2614" t="b">
        <v>0</v>
      </c>
    </row>
    <row r="2615" spans="1:20" x14ac:dyDescent="0.3">
      <c r="A2615" t="s">
        <v>3593</v>
      </c>
      <c r="B2615" s="1">
        <v>41718</v>
      </c>
      <c r="C2615" s="1">
        <v>41723</v>
      </c>
      <c r="D2615" t="s">
        <v>3110</v>
      </c>
      <c r="E2615" t="s">
        <v>22</v>
      </c>
      <c r="F2615" t="s">
        <v>35</v>
      </c>
      <c r="G2615" t="s">
        <v>2886</v>
      </c>
      <c r="H2615">
        <v>381.36</v>
      </c>
      <c r="I2615">
        <v>7</v>
      </c>
      <c r="J2615">
        <v>106.7808</v>
      </c>
      <c r="K2615">
        <v>2014</v>
      </c>
      <c r="L2615">
        <v>3</v>
      </c>
      <c r="M2615" t="s">
        <v>135</v>
      </c>
      <c r="N2615">
        <v>20</v>
      </c>
      <c r="O2615">
        <v>5</v>
      </c>
      <c r="P2615">
        <v>28</v>
      </c>
      <c r="Q2615">
        <v>54.48</v>
      </c>
      <c r="R2615" t="s">
        <v>26</v>
      </c>
      <c r="S2615" t="b">
        <v>0</v>
      </c>
      <c r="T2615" t="b">
        <v>1</v>
      </c>
    </row>
    <row r="2616" spans="1:20" x14ac:dyDescent="0.3">
      <c r="A2616" t="s">
        <v>3594</v>
      </c>
      <c r="B2616" s="1">
        <v>40850</v>
      </c>
      <c r="C2616" s="1">
        <v>40850</v>
      </c>
      <c r="D2616" t="s">
        <v>2325</v>
      </c>
      <c r="E2616" t="s">
        <v>22</v>
      </c>
      <c r="F2616" t="s">
        <v>31</v>
      </c>
      <c r="G2616" t="s">
        <v>878</v>
      </c>
      <c r="H2616">
        <v>6.72</v>
      </c>
      <c r="I2616">
        <v>4</v>
      </c>
      <c r="J2616">
        <v>3.36</v>
      </c>
      <c r="K2616">
        <v>2011</v>
      </c>
      <c r="L2616">
        <v>11</v>
      </c>
      <c r="M2616" t="s">
        <v>70</v>
      </c>
      <c r="N2616">
        <v>3</v>
      </c>
      <c r="O2616">
        <v>0</v>
      </c>
      <c r="P2616">
        <v>50</v>
      </c>
      <c r="Q2616">
        <v>1.68</v>
      </c>
      <c r="R2616" t="s">
        <v>26</v>
      </c>
      <c r="S2616" t="b">
        <v>0</v>
      </c>
      <c r="T2616" t="b">
        <v>0</v>
      </c>
    </row>
    <row r="2617" spans="1:20" x14ac:dyDescent="0.3">
      <c r="A2617" t="s">
        <v>3595</v>
      </c>
      <c r="B2617" s="1">
        <v>41844</v>
      </c>
      <c r="C2617" s="1">
        <v>41847</v>
      </c>
      <c r="D2617" t="s">
        <v>211</v>
      </c>
      <c r="E2617" t="s">
        <v>22</v>
      </c>
      <c r="F2617" t="s">
        <v>33</v>
      </c>
      <c r="G2617" t="s">
        <v>1821</v>
      </c>
      <c r="H2617">
        <v>15.192</v>
      </c>
      <c r="I2617">
        <v>3</v>
      </c>
      <c r="J2617">
        <v>5.5071000000000003</v>
      </c>
      <c r="K2617">
        <v>2014</v>
      </c>
      <c r="L2617">
        <v>7</v>
      </c>
      <c r="M2617" t="s">
        <v>66</v>
      </c>
      <c r="N2617">
        <v>24</v>
      </c>
      <c r="O2617">
        <v>3</v>
      </c>
      <c r="P2617">
        <v>36.25</v>
      </c>
      <c r="Q2617">
        <v>5.0640000000000001</v>
      </c>
      <c r="R2617" t="s">
        <v>26</v>
      </c>
      <c r="S2617" t="b">
        <v>0</v>
      </c>
      <c r="T2617" t="b">
        <v>0</v>
      </c>
    </row>
    <row r="2618" spans="1:20" x14ac:dyDescent="0.3">
      <c r="A2618" t="s">
        <v>3595</v>
      </c>
      <c r="B2618" s="1">
        <v>41844</v>
      </c>
      <c r="C2618" s="1">
        <v>41847</v>
      </c>
      <c r="D2618" t="s">
        <v>211</v>
      </c>
      <c r="E2618" t="s">
        <v>22</v>
      </c>
      <c r="F2618" t="s">
        <v>72</v>
      </c>
      <c r="G2618" t="s">
        <v>3596</v>
      </c>
      <c r="H2618">
        <v>58.32</v>
      </c>
      <c r="I2618">
        <v>9</v>
      </c>
      <c r="J2618">
        <v>27.993600000000001</v>
      </c>
      <c r="K2618">
        <v>2014</v>
      </c>
      <c r="L2618">
        <v>7</v>
      </c>
      <c r="M2618" t="s">
        <v>66</v>
      </c>
      <c r="N2618">
        <v>24</v>
      </c>
      <c r="O2618">
        <v>3</v>
      </c>
      <c r="P2618">
        <v>48</v>
      </c>
      <c r="Q2618">
        <v>6.48</v>
      </c>
      <c r="R2618" t="s">
        <v>26</v>
      </c>
      <c r="S2618" t="b">
        <v>0</v>
      </c>
      <c r="T2618" t="b">
        <v>0</v>
      </c>
    </row>
    <row r="2619" spans="1:20" x14ac:dyDescent="0.3">
      <c r="A2619" t="s">
        <v>3597</v>
      </c>
      <c r="B2619" s="1">
        <v>41520</v>
      </c>
      <c r="C2619" s="1">
        <v>41524</v>
      </c>
      <c r="D2619" t="s">
        <v>417</v>
      </c>
      <c r="E2619" t="s">
        <v>22</v>
      </c>
      <c r="F2619" t="s">
        <v>29</v>
      </c>
      <c r="G2619" t="s">
        <v>1075</v>
      </c>
      <c r="H2619">
        <v>94.68</v>
      </c>
      <c r="I2619">
        <v>9</v>
      </c>
      <c r="J2619">
        <v>31.244399999999999</v>
      </c>
      <c r="K2619">
        <v>2013</v>
      </c>
      <c r="L2619">
        <v>9</v>
      </c>
      <c r="M2619" t="s">
        <v>87</v>
      </c>
      <c r="N2619">
        <v>3</v>
      </c>
      <c r="O2619">
        <v>4</v>
      </c>
      <c r="P2619">
        <v>33</v>
      </c>
      <c r="Q2619">
        <v>10.52</v>
      </c>
      <c r="R2619" t="s">
        <v>26</v>
      </c>
      <c r="S2619" t="b">
        <v>0</v>
      </c>
      <c r="T2619" t="b">
        <v>0</v>
      </c>
    </row>
    <row r="2620" spans="1:20" x14ac:dyDescent="0.3">
      <c r="A2620" t="s">
        <v>3597</v>
      </c>
      <c r="B2620" s="1">
        <v>41520</v>
      </c>
      <c r="C2620" s="1">
        <v>41524</v>
      </c>
      <c r="D2620" t="s">
        <v>417</v>
      </c>
      <c r="E2620" t="s">
        <v>22</v>
      </c>
      <c r="F2620" t="s">
        <v>45</v>
      </c>
      <c r="G2620" t="s">
        <v>2483</v>
      </c>
      <c r="H2620">
        <v>23.67</v>
      </c>
      <c r="I2620">
        <v>3</v>
      </c>
      <c r="J2620">
        <v>0.94679999999999997</v>
      </c>
      <c r="K2620">
        <v>2013</v>
      </c>
      <c r="L2620">
        <v>9</v>
      </c>
      <c r="M2620" t="s">
        <v>87</v>
      </c>
      <c r="N2620">
        <v>3</v>
      </c>
      <c r="O2620">
        <v>4</v>
      </c>
      <c r="P2620">
        <v>4</v>
      </c>
      <c r="Q2620">
        <v>7.8900000000000006</v>
      </c>
      <c r="R2620" t="s">
        <v>26</v>
      </c>
      <c r="S2620" t="b">
        <v>0</v>
      </c>
      <c r="T2620" t="b">
        <v>0</v>
      </c>
    </row>
    <row r="2621" spans="1:20" x14ac:dyDescent="0.3">
      <c r="A2621" t="s">
        <v>3597</v>
      </c>
      <c r="B2621" s="1">
        <v>41520</v>
      </c>
      <c r="C2621" s="1">
        <v>41524</v>
      </c>
      <c r="D2621" t="s">
        <v>417</v>
      </c>
      <c r="E2621" t="s">
        <v>22</v>
      </c>
      <c r="F2621" t="s">
        <v>31</v>
      </c>
      <c r="G2621" t="s">
        <v>3598</v>
      </c>
      <c r="H2621">
        <v>18.690000000000001</v>
      </c>
      <c r="I2621">
        <v>7</v>
      </c>
      <c r="J2621">
        <v>5.2332000000000001</v>
      </c>
      <c r="K2621">
        <v>2013</v>
      </c>
      <c r="L2621">
        <v>9</v>
      </c>
      <c r="M2621" t="s">
        <v>87</v>
      </c>
      <c r="N2621">
        <v>3</v>
      </c>
      <c r="O2621">
        <v>4</v>
      </c>
      <c r="P2621">
        <v>28</v>
      </c>
      <c r="Q2621">
        <v>2.67</v>
      </c>
      <c r="R2621" t="s">
        <v>26</v>
      </c>
      <c r="S2621" t="b">
        <v>0</v>
      </c>
      <c r="T2621" t="b">
        <v>0</v>
      </c>
    </row>
    <row r="2622" spans="1:20" x14ac:dyDescent="0.3">
      <c r="A2622" t="s">
        <v>3597</v>
      </c>
      <c r="B2622" s="1">
        <v>41520</v>
      </c>
      <c r="C2622" s="1">
        <v>41524</v>
      </c>
      <c r="D2622" t="s">
        <v>417</v>
      </c>
      <c r="E2622" t="s">
        <v>22</v>
      </c>
      <c r="F2622" t="s">
        <v>33</v>
      </c>
      <c r="G2622" t="s">
        <v>2430</v>
      </c>
      <c r="H2622">
        <v>7.3120000000000003</v>
      </c>
      <c r="I2622">
        <v>1</v>
      </c>
      <c r="J2622">
        <v>2.5592000000000001</v>
      </c>
      <c r="K2622">
        <v>2013</v>
      </c>
      <c r="L2622">
        <v>9</v>
      </c>
      <c r="M2622" t="s">
        <v>87</v>
      </c>
      <c r="N2622">
        <v>3</v>
      </c>
      <c r="O2622">
        <v>4</v>
      </c>
      <c r="P2622">
        <v>35</v>
      </c>
      <c r="Q2622">
        <v>7.3120000000000003</v>
      </c>
      <c r="R2622" t="s">
        <v>26</v>
      </c>
      <c r="S2622" t="b">
        <v>0</v>
      </c>
      <c r="T2622" t="b">
        <v>0</v>
      </c>
    </row>
    <row r="2623" spans="1:20" x14ac:dyDescent="0.3">
      <c r="A2623" t="s">
        <v>3599</v>
      </c>
      <c r="B2623" s="1">
        <v>40733</v>
      </c>
      <c r="C2623" s="1">
        <v>40738</v>
      </c>
      <c r="D2623" t="s">
        <v>474</v>
      </c>
      <c r="E2623" t="s">
        <v>51</v>
      </c>
      <c r="F2623" t="s">
        <v>33</v>
      </c>
      <c r="G2623" t="s">
        <v>3600</v>
      </c>
      <c r="H2623">
        <v>14.304</v>
      </c>
      <c r="I2623">
        <v>6</v>
      </c>
      <c r="J2623">
        <v>4.6487999999999996</v>
      </c>
      <c r="K2623">
        <v>2011</v>
      </c>
      <c r="L2623">
        <v>7</v>
      </c>
      <c r="M2623" t="s">
        <v>66</v>
      </c>
      <c r="N2623">
        <v>9</v>
      </c>
      <c r="O2623">
        <v>5</v>
      </c>
      <c r="P2623">
        <v>32.5</v>
      </c>
      <c r="Q2623">
        <v>2.3839999999999999</v>
      </c>
      <c r="R2623" t="s">
        <v>26</v>
      </c>
      <c r="S2623" t="b">
        <v>0</v>
      </c>
      <c r="T2623" t="b">
        <v>0</v>
      </c>
    </row>
    <row r="2624" spans="1:20" x14ac:dyDescent="0.3">
      <c r="A2624" t="s">
        <v>3599</v>
      </c>
      <c r="B2624" s="1">
        <v>40733</v>
      </c>
      <c r="C2624" s="1">
        <v>40738</v>
      </c>
      <c r="D2624" t="s">
        <v>474</v>
      </c>
      <c r="E2624" t="s">
        <v>51</v>
      </c>
      <c r="F2624" t="s">
        <v>317</v>
      </c>
      <c r="G2624" t="s">
        <v>2681</v>
      </c>
      <c r="H2624">
        <v>119.833</v>
      </c>
      <c r="I2624">
        <v>1</v>
      </c>
      <c r="J2624">
        <v>7.0490000000000004</v>
      </c>
      <c r="K2624">
        <v>2011</v>
      </c>
      <c r="L2624">
        <v>7</v>
      </c>
      <c r="M2624" t="s">
        <v>66</v>
      </c>
      <c r="N2624">
        <v>9</v>
      </c>
      <c r="O2624">
        <v>5</v>
      </c>
      <c r="P2624">
        <v>5.88</v>
      </c>
      <c r="Q2624">
        <v>119.833</v>
      </c>
      <c r="R2624" t="s">
        <v>26</v>
      </c>
      <c r="S2624" t="b">
        <v>0</v>
      </c>
      <c r="T2624" t="b">
        <v>0</v>
      </c>
    </row>
    <row r="2625" spans="1:20" x14ac:dyDescent="0.3">
      <c r="A2625" t="s">
        <v>3599</v>
      </c>
      <c r="B2625" s="1">
        <v>40733</v>
      </c>
      <c r="C2625" s="1">
        <v>40738</v>
      </c>
      <c r="D2625" t="s">
        <v>474</v>
      </c>
      <c r="E2625" t="s">
        <v>51</v>
      </c>
      <c r="F2625" t="s">
        <v>31</v>
      </c>
      <c r="G2625" t="s">
        <v>1480</v>
      </c>
      <c r="H2625">
        <v>5.56</v>
      </c>
      <c r="I2625">
        <v>2</v>
      </c>
      <c r="J2625">
        <v>2.2240000000000002</v>
      </c>
      <c r="K2625">
        <v>2011</v>
      </c>
      <c r="L2625">
        <v>7</v>
      </c>
      <c r="M2625" t="s">
        <v>66</v>
      </c>
      <c r="N2625">
        <v>9</v>
      </c>
      <c r="O2625">
        <v>5</v>
      </c>
      <c r="P2625">
        <v>40</v>
      </c>
      <c r="Q2625">
        <v>2.78</v>
      </c>
      <c r="R2625" t="s">
        <v>26</v>
      </c>
      <c r="S2625" t="b">
        <v>0</v>
      </c>
      <c r="T2625" t="b">
        <v>0</v>
      </c>
    </row>
    <row r="2626" spans="1:20" x14ac:dyDescent="0.3">
      <c r="A2626" t="s">
        <v>3599</v>
      </c>
      <c r="B2626" s="1">
        <v>40733</v>
      </c>
      <c r="C2626" s="1">
        <v>40738</v>
      </c>
      <c r="D2626" t="s">
        <v>474</v>
      </c>
      <c r="E2626" t="s">
        <v>51</v>
      </c>
      <c r="F2626" t="s">
        <v>72</v>
      </c>
      <c r="G2626" t="s">
        <v>3601</v>
      </c>
      <c r="H2626">
        <v>32.4</v>
      </c>
      <c r="I2626">
        <v>5</v>
      </c>
      <c r="J2626">
        <v>15.552</v>
      </c>
      <c r="K2626">
        <v>2011</v>
      </c>
      <c r="L2626">
        <v>7</v>
      </c>
      <c r="M2626" t="s">
        <v>66</v>
      </c>
      <c r="N2626">
        <v>9</v>
      </c>
      <c r="O2626">
        <v>5</v>
      </c>
      <c r="P2626">
        <v>48</v>
      </c>
      <c r="Q2626">
        <v>6.48</v>
      </c>
      <c r="R2626" t="s">
        <v>26</v>
      </c>
      <c r="S2626" t="b">
        <v>0</v>
      </c>
      <c r="T2626" t="b">
        <v>0</v>
      </c>
    </row>
    <row r="2627" spans="1:20" x14ac:dyDescent="0.3">
      <c r="A2627" t="s">
        <v>3602</v>
      </c>
      <c r="B2627" s="1">
        <v>41782</v>
      </c>
      <c r="C2627" s="1">
        <v>41786</v>
      </c>
      <c r="D2627" t="s">
        <v>1851</v>
      </c>
      <c r="E2627" t="s">
        <v>51</v>
      </c>
      <c r="F2627" t="s">
        <v>31</v>
      </c>
      <c r="G2627" t="s">
        <v>3211</v>
      </c>
      <c r="H2627">
        <v>9.84</v>
      </c>
      <c r="I2627">
        <v>3</v>
      </c>
      <c r="J2627">
        <v>2.8536000000000001</v>
      </c>
      <c r="K2627">
        <v>2014</v>
      </c>
      <c r="L2627">
        <v>5</v>
      </c>
      <c r="M2627" t="s">
        <v>47</v>
      </c>
      <c r="N2627">
        <v>23</v>
      </c>
      <c r="O2627">
        <v>4</v>
      </c>
      <c r="P2627">
        <v>29</v>
      </c>
      <c r="Q2627">
        <v>3.28</v>
      </c>
      <c r="R2627" t="s">
        <v>26</v>
      </c>
      <c r="S2627" t="b">
        <v>0</v>
      </c>
      <c r="T2627" t="b">
        <v>0</v>
      </c>
    </row>
    <row r="2628" spans="1:20" x14ac:dyDescent="0.3">
      <c r="A2628" t="s">
        <v>3602</v>
      </c>
      <c r="B2628" s="1">
        <v>41782</v>
      </c>
      <c r="C2628" s="1">
        <v>41786</v>
      </c>
      <c r="D2628" t="s">
        <v>1851</v>
      </c>
      <c r="E2628" t="s">
        <v>51</v>
      </c>
      <c r="F2628" t="s">
        <v>31</v>
      </c>
      <c r="G2628" t="s">
        <v>648</v>
      </c>
      <c r="H2628">
        <v>2.78</v>
      </c>
      <c r="I2628">
        <v>1</v>
      </c>
      <c r="J2628">
        <v>0.7228</v>
      </c>
      <c r="K2628">
        <v>2014</v>
      </c>
      <c r="L2628">
        <v>5</v>
      </c>
      <c r="M2628" t="s">
        <v>47</v>
      </c>
      <c r="N2628">
        <v>23</v>
      </c>
      <c r="O2628">
        <v>4</v>
      </c>
      <c r="P2628">
        <v>26</v>
      </c>
      <c r="Q2628">
        <v>2.78</v>
      </c>
      <c r="R2628" t="s">
        <v>26</v>
      </c>
      <c r="S2628" t="b">
        <v>0</v>
      </c>
      <c r="T2628" t="b">
        <v>0</v>
      </c>
    </row>
    <row r="2629" spans="1:20" x14ac:dyDescent="0.3">
      <c r="A2629" t="s">
        <v>3603</v>
      </c>
      <c r="B2629" s="1">
        <v>41701</v>
      </c>
      <c r="C2629" s="1">
        <v>41707</v>
      </c>
      <c r="D2629" t="s">
        <v>1409</v>
      </c>
      <c r="E2629" t="s">
        <v>22</v>
      </c>
      <c r="F2629" t="s">
        <v>33</v>
      </c>
      <c r="G2629" t="s">
        <v>2448</v>
      </c>
      <c r="H2629">
        <v>107.648</v>
      </c>
      <c r="I2629">
        <v>2</v>
      </c>
      <c r="J2629">
        <v>33.64</v>
      </c>
      <c r="K2629">
        <v>2014</v>
      </c>
      <c r="L2629">
        <v>3</v>
      </c>
      <c r="M2629" t="s">
        <v>135</v>
      </c>
      <c r="N2629">
        <v>3</v>
      </c>
      <c r="O2629">
        <v>6</v>
      </c>
      <c r="P2629">
        <v>31.25</v>
      </c>
      <c r="Q2629">
        <v>53.823999999999998</v>
      </c>
      <c r="R2629" t="s">
        <v>26</v>
      </c>
      <c r="S2629" t="b">
        <v>0</v>
      </c>
      <c r="T2629" t="b">
        <v>0</v>
      </c>
    </row>
    <row r="2630" spans="1:20" x14ac:dyDescent="0.3">
      <c r="A2630" t="s">
        <v>3604</v>
      </c>
      <c r="B2630" s="1">
        <v>41885</v>
      </c>
      <c r="C2630" s="1">
        <v>41885</v>
      </c>
      <c r="D2630" t="s">
        <v>3605</v>
      </c>
      <c r="E2630" t="s">
        <v>39</v>
      </c>
      <c r="F2630" t="s">
        <v>110</v>
      </c>
      <c r="G2630" t="s">
        <v>1003</v>
      </c>
      <c r="H2630">
        <v>215.976</v>
      </c>
      <c r="I2630">
        <v>3</v>
      </c>
      <c r="J2630">
        <v>-2.6997</v>
      </c>
      <c r="K2630">
        <v>2014</v>
      </c>
      <c r="L2630">
        <v>9</v>
      </c>
      <c r="M2630" t="s">
        <v>87</v>
      </c>
      <c r="N2630">
        <v>3</v>
      </c>
      <c r="O2630">
        <v>0</v>
      </c>
      <c r="P2630">
        <v>-1.25</v>
      </c>
      <c r="Q2630">
        <v>71.992000000000004</v>
      </c>
      <c r="R2630" t="s">
        <v>48</v>
      </c>
      <c r="S2630" t="b">
        <v>1</v>
      </c>
      <c r="T2630" t="b">
        <v>1</v>
      </c>
    </row>
    <row r="2631" spans="1:20" x14ac:dyDescent="0.3">
      <c r="A2631" t="s">
        <v>3606</v>
      </c>
      <c r="B2631" s="1">
        <v>40583</v>
      </c>
      <c r="C2631" s="1">
        <v>40584</v>
      </c>
      <c r="D2631" t="s">
        <v>3048</v>
      </c>
      <c r="E2631" t="s">
        <v>981</v>
      </c>
      <c r="F2631" t="s">
        <v>29</v>
      </c>
      <c r="G2631" t="s">
        <v>2169</v>
      </c>
      <c r="H2631">
        <v>14.56</v>
      </c>
      <c r="I2631">
        <v>2</v>
      </c>
      <c r="J2631">
        <v>5.5327999999999999</v>
      </c>
      <c r="K2631">
        <v>2011</v>
      </c>
      <c r="L2631">
        <v>2</v>
      </c>
      <c r="M2631" t="s">
        <v>303</v>
      </c>
      <c r="N2631">
        <v>9</v>
      </c>
      <c r="O2631">
        <v>1</v>
      </c>
      <c r="P2631">
        <v>38</v>
      </c>
      <c r="Q2631">
        <v>7.28</v>
      </c>
      <c r="R2631" t="s">
        <v>26</v>
      </c>
      <c r="S2631" t="b">
        <v>0</v>
      </c>
      <c r="T2631" t="b">
        <v>0</v>
      </c>
    </row>
    <row r="2632" spans="1:20" x14ac:dyDescent="0.3">
      <c r="A2632" t="s">
        <v>3607</v>
      </c>
      <c r="B2632" s="1">
        <v>40826</v>
      </c>
      <c r="C2632" s="1">
        <v>40826</v>
      </c>
      <c r="D2632" t="s">
        <v>2412</v>
      </c>
      <c r="E2632" t="s">
        <v>1364</v>
      </c>
      <c r="F2632" t="s">
        <v>31</v>
      </c>
      <c r="G2632" t="s">
        <v>3608</v>
      </c>
      <c r="H2632">
        <v>255.85</v>
      </c>
      <c r="I2632">
        <v>7</v>
      </c>
      <c r="J2632">
        <v>112.574</v>
      </c>
      <c r="K2632">
        <v>2011</v>
      </c>
      <c r="L2632">
        <v>10</v>
      </c>
      <c r="M2632" t="s">
        <v>82</v>
      </c>
      <c r="N2632">
        <v>10</v>
      </c>
      <c r="O2632">
        <v>0</v>
      </c>
      <c r="P2632">
        <v>44</v>
      </c>
      <c r="Q2632">
        <v>36.549999999999997</v>
      </c>
      <c r="R2632" t="s">
        <v>26</v>
      </c>
      <c r="S2632" t="b">
        <v>0</v>
      </c>
      <c r="T2632" t="b">
        <v>1</v>
      </c>
    </row>
    <row r="2633" spans="1:20" x14ac:dyDescent="0.3">
      <c r="A2633" t="s">
        <v>3609</v>
      </c>
      <c r="B2633" s="1">
        <v>41538</v>
      </c>
      <c r="C2633" s="1">
        <v>41542</v>
      </c>
      <c r="D2633" t="s">
        <v>2012</v>
      </c>
      <c r="E2633" t="s">
        <v>39</v>
      </c>
      <c r="F2633" t="s">
        <v>317</v>
      </c>
      <c r="G2633" t="s">
        <v>3610</v>
      </c>
      <c r="H2633">
        <v>163.88</v>
      </c>
      <c r="I2633">
        <v>2</v>
      </c>
      <c r="J2633">
        <v>40.97</v>
      </c>
      <c r="K2633">
        <v>2013</v>
      </c>
      <c r="L2633">
        <v>9</v>
      </c>
      <c r="M2633" t="s">
        <v>87</v>
      </c>
      <c r="N2633">
        <v>21</v>
      </c>
      <c r="O2633">
        <v>4</v>
      </c>
      <c r="P2633">
        <v>25</v>
      </c>
      <c r="Q2633">
        <v>81.94</v>
      </c>
      <c r="R2633" t="s">
        <v>26</v>
      </c>
      <c r="S2633" t="b">
        <v>0</v>
      </c>
      <c r="T2633" t="b">
        <v>0</v>
      </c>
    </row>
    <row r="2634" spans="1:20" x14ac:dyDescent="0.3">
      <c r="A2634" t="s">
        <v>3611</v>
      </c>
      <c r="B2634" s="1">
        <v>41885</v>
      </c>
      <c r="C2634" s="1">
        <v>41887</v>
      </c>
      <c r="D2634" t="s">
        <v>1133</v>
      </c>
      <c r="E2634" t="s">
        <v>1316</v>
      </c>
      <c r="F2634" t="s">
        <v>23</v>
      </c>
      <c r="G2634" t="s">
        <v>2318</v>
      </c>
      <c r="H2634">
        <v>11.696</v>
      </c>
      <c r="I2634">
        <v>2</v>
      </c>
      <c r="J2634">
        <v>3.9474</v>
      </c>
      <c r="K2634">
        <v>2014</v>
      </c>
      <c r="L2634">
        <v>9</v>
      </c>
      <c r="M2634" t="s">
        <v>87</v>
      </c>
      <c r="N2634">
        <v>3</v>
      </c>
      <c r="O2634">
        <v>2</v>
      </c>
      <c r="P2634">
        <v>33.75</v>
      </c>
      <c r="Q2634">
        <v>5.8479999999999999</v>
      </c>
      <c r="R2634" t="s">
        <v>26</v>
      </c>
      <c r="S2634" t="b">
        <v>0</v>
      </c>
      <c r="T2634" t="b">
        <v>0</v>
      </c>
    </row>
    <row r="2635" spans="1:20" x14ac:dyDescent="0.3">
      <c r="A2635" t="s">
        <v>3612</v>
      </c>
      <c r="B2635" s="1">
        <v>40656</v>
      </c>
      <c r="C2635" s="1">
        <v>40659</v>
      </c>
      <c r="D2635" t="s">
        <v>3048</v>
      </c>
      <c r="E2635" t="s">
        <v>51</v>
      </c>
      <c r="F2635" t="s">
        <v>72</v>
      </c>
      <c r="G2635" t="s">
        <v>1414</v>
      </c>
      <c r="H2635">
        <v>48.91</v>
      </c>
      <c r="I2635">
        <v>1</v>
      </c>
      <c r="J2635">
        <v>22.9877</v>
      </c>
      <c r="K2635">
        <v>2011</v>
      </c>
      <c r="L2635">
        <v>4</v>
      </c>
      <c r="M2635" t="s">
        <v>236</v>
      </c>
      <c r="N2635">
        <v>23</v>
      </c>
      <c r="O2635">
        <v>3</v>
      </c>
      <c r="P2635">
        <v>47</v>
      </c>
      <c r="Q2635">
        <v>48.91</v>
      </c>
      <c r="R2635" t="s">
        <v>26</v>
      </c>
      <c r="S2635" t="b">
        <v>0</v>
      </c>
      <c r="T2635" t="b">
        <v>0</v>
      </c>
    </row>
    <row r="2636" spans="1:20" x14ac:dyDescent="0.3">
      <c r="A2636" t="s">
        <v>3613</v>
      </c>
      <c r="B2636" s="1">
        <v>41171</v>
      </c>
      <c r="C2636" s="1">
        <v>41176</v>
      </c>
      <c r="D2636" t="s">
        <v>3085</v>
      </c>
      <c r="E2636" t="s">
        <v>1799</v>
      </c>
      <c r="F2636" t="s">
        <v>31</v>
      </c>
      <c r="G2636" t="s">
        <v>2292</v>
      </c>
      <c r="H2636">
        <v>8.4</v>
      </c>
      <c r="I2636">
        <v>5</v>
      </c>
      <c r="J2636">
        <v>2.1840000000000002</v>
      </c>
      <c r="K2636">
        <v>2012</v>
      </c>
      <c r="L2636">
        <v>9</v>
      </c>
      <c r="M2636" t="s">
        <v>87</v>
      </c>
      <c r="N2636">
        <v>19</v>
      </c>
      <c r="O2636">
        <v>5</v>
      </c>
      <c r="P2636">
        <v>26</v>
      </c>
      <c r="Q2636">
        <v>1.68</v>
      </c>
      <c r="R2636" t="s">
        <v>26</v>
      </c>
      <c r="S2636" t="b">
        <v>0</v>
      </c>
      <c r="T2636" t="b">
        <v>0</v>
      </c>
    </row>
    <row r="2637" spans="1:20" x14ac:dyDescent="0.3">
      <c r="A2637" t="s">
        <v>3614</v>
      </c>
      <c r="B2637" s="1">
        <v>40627</v>
      </c>
      <c r="C2637" s="1">
        <v>40632</v>
      </c>
      <c r="D2637" t="s">
        <v>3615</v>
      </c>
      <c r="E2637" t="s">
        <v>51</v>
      </c>
      <c r="F2637" t="s">
        <v>31</v>
      </c>
      <c r="G2637" t="s">
        <v>2575</v>
      </c>
      <c r="H2637">
        <v>6.56</v>
      </c>
      <c r="I2637">
        <v>2</v>
      </c>
      <c r="J2637">
        <v>1.9024000000000001</v>
      </c>
      <c r="K2637">
        <v>2011</v>
      </c>
      <c r="L2637">
        <v>3</v>
      </c>
      <c r="M2637" t="s">
        <v>135</v>
      </c>
      <c r="N2637">
        <v>25</v>
      </c>
      <c r="O2637">
        <v>5</v>
      </c>
      <c r="P2637">
        <v>29</v>
      </c>
      <c r="Q2637">
        <v>3.28</v>
      </c>
      <c r="R2637" t="s">
        <v>26</v>
      </c>
      <c r="S2637" t="b">
        <v>0</v>
      </c>
      <c r="T2637" t="b">
        <v>0</v>
      </c>
    </row>
    <row r="2638" spans="1:20" x14ac:dyDescent="0.3">
      <c r="A2638" t="s">
        <v>3614</v>
      </c>
      <c r="B2638" s="1">
        <v>40627</v>
      </c>
      <c r="C2638" s="1">
        <v>40632</v>
      </c>
      <c r="D2638" t="s">
        <v>3615</v>
      </c>
      <c r="E2638" t="s">
        <v>51</v>
      </c>
      <c r="F2638" t="s">
        <v>31</v>
      </c>
      <c r="G2638" t="s">
        <v>3168</v>
      </c>
      <c r="H2638">
        <v>14.88</v>
      </c>
      <c r="I2638">
        <v>2</v>
      </c>
      <c r="J2638">
        <v>3.72</v>
      </c>
      <c r="K2638">
        <v>2011</v>
      </c>
      <c r="L2638">
        <v>3</v>
      </c>
      <c r="M2638" t="s">
        <v>135</v>
      </c>
      <c r="N2638">
        <v>25</v>
      </c>
      <c r="O2638">
        <v>5</v>
      </c>
      <c r="P2638">
        <v>25</v>
      </c>
      <c r="Q2638">
        <v>7.44</v>
      </c>
      <c r="R2638" t="s">
        <v>26</v>
      </c>
      <c r="S2638" t="b">
        <v>0</v>
      </c>
      <c r="T2638" t="b">
        <v>0</v>
      </c>
    </row>
    <row r="2639" spans="1:20" x14ac:dyDescent="0.3">
      <c r="A2639" t="s">
        <v>3614</v>
      </c>
      <c r="B2639" s="1">
        <v>40627</v>
      </c>
      <c r="C2639" s="1">
        <v>40632</v>
      </c>
      <c r="D2639" t="s">
        <v>3615</v>
      </c>
      <c r="E2639" t="s">
        <v>51</v>
      </c>
      <c r="F2639" t="s">
        <v>61</v>
      </c>
      <c r="G2639" t="s">
        <v>3616</v>
      </c>
      <c r="H2639">
        <v>45.48</v>
      </c>
      <c r="I2639">
        <v>4</v>
      </c>
      <c r="J2639">
        <v>15.917999999999999</v>
      </c>
      <c r="K2639">
        <v>2011</v>
      </c>
      <c r="L2639">
        <v>3</v>
      </c>
      <c r="M2639" t="s">
        <v>135</v>
      </c>
      <c r="N2639">
        <v>25</v>
      </c>
      <c r="O2639">
        <v>5</v>
      </c>
      <c r="P2639">
        <v>35</v>
      </c>
      <c r="Q2639">
        <v>11.37</v>
      </c>
      <c r="R2639" t="s">
        <v>26</v>
      </c>
      <c r="S2639" t="b">
        <v>0</v>
      </c>
      <c r="T2639" t="b">
        <v>0</v>
      </c>
    </row>
    <row r="2640" spans="1:20" x14ac:dyDescent="0.3">
      <c r="A2640" t="s">
        <v>3614</v>
      </c>
      <c r="B2640" s="1">
        <v>40627</v>
      </c>
      <c r="C2640" s="1">
        <v>40632</v>
      </c>
      <c r="D2640" t="s">
        <v>3615</v>
      </c>
      <c r="E2640" t="s">
        <v>51</v>
      </c>
      <c r="F2640" t="s">
        <v>31</v>
      </c>
      <c r="G2640" t="s">
        <v>604</v>
      </c>
      <c r="H2640">
        <v>25.44</v>
      </c>
      <c r="I2640">
        <v>6</v>
      </c>
      <c r="J2640">
        <v>9.9215999999999998</v>
      </c>
      <c r="K2640">
        <v>2011</v>
      </c>
      <c r="L2640">
        <v>3</v>
      </c>
      <c r="M2640" t="s">
        <v>135</v>
      </c>
      <c r="N2640">
        <v>25</v>
      </c>
      <c r="O2640">
        <v>5</v>
      </c>
      <c r="P2640">
        <v>39</v>
      </c>
      <c r="Q2640">
        <v>4.24</v>
      </c>
      <c r="R2640" t="s">
        <v>26</v>
      </c>
      <c r="S2640" t="b">
        <v>0</v>
      </c>
      <c r="T2640" t="b">
        <v>0</v>
      </c>
    </row>
    <row r="2641" spans="1:20" x14ac:dyDescent="0.3">
      <c r="A2641" t="s">
        <v>3617</v>
      </c>
      <c r="B2641" s="1">
        <v>41906</v>
      </c>
      <c r="C2641" s="1">
        <v>41912</v>
      </c>
      <c r="D2641" t="s">
        <v>3618</v>
      </c>
      <c r="E2641" t="s">
        <v>22</v>
      </c>
      <c r="F2641" t="s">
        <v>72</v>
      </c>
      <c r="G2641" t="s">
        <v>2323</v>
      </c>
      <c r="H2641">
        <v>211.04</v>
      </c>
      <c r="I2641">
        <v>8</v>
      </c>
      <c r="J2641">
        <v>97.078400000000002</v>
      </c>
      <c r="K2641">
        <v>2014</v>
      </c>
      <c r="L2641">
        <v>9</v>
      </c>
      <c r="M2641" t="s">
        <v>87</v>
      </c>
      <c r="N2641">
        <v>24</v>
      </c>
      <c r="O2641">
        <v>6</v>
      </c>
      <c r="P2641">
        <v>46</v>
      </c>
      <c r="Q2641">
        <v>26.38</v>
      </c>
      <c r="R2641" t="s">
        <v>26</v>
      </c>
      <c r="S2641" t="b">
        <v>0</v>
      </c>
      <c r="T2641" t="b">
        <v>0</v>
      </c>
    </row>
    <row r="2642" spans="1:20" x14ac:dyDescent="0.3">
      <c r="A2642" t="s">
        <v>3617</v>
      </c>
      <c r="B2642" s="1">
        <v>41906</v>
      </c>
      <c r="C2642" s="1">
        <v>41912</v>
      </c>
      <c r="D2642" t="s">
        <v>3618</v>
      </c>
      <c r="E2642" t="s">
        <v>22</v>
      </c>
      <c r="F2642" t="s">
        <v>33</v>
      </c>
      <c r="G2642" t="s">
        <v>1545</v>
      </c>
      <c r="H2642">
        <v>72.959999999999994</v>
      </c>
      <c r="I2642">
        <v>3</v>
      </c>
      <c r="J2642">
        <v>23.712</v>
      </c>
      <c r="K2642">
        <v>2014</v>
      </c>
      <c r="L2642">
        <v>9</v>
      </c>
      <c r="M2642" t="s">
        <v>87</v>
      </c>
      <c r="N2642">
        <v>24</v>
      </c>
      <c r="O2642">
        <v>6</v>
      </c>
      <c r="P2642">
        <v>32.5</v>
      </c>
      <c r="Q2642">
        <v>24.32</v>
      </c>
      <c r="R2642" t="s">
        <v>26</v>
      </c>
      <c r="S2642" t="b">
        <v>0</v>
      </c>
      <c r="T2642" t="b">
        <v>0</v>
      </c>
    </row>
    <row r="2643" spans="1:20" x14ac:dyDescent="0.3">
      <c r="A2643" t="s">
        <v>3619</v>
      </c>
      <c r="B2643" s="1">
        <v>41890</v>
      </c>
      <c r="C2643" s="1">
        <v>41893</v>
      </c>
      <c r="D2643" t="s">
        <v>740</v>
      </c>
      <c r="E2643" t="s">
        <v>521</v>
      </c>
      <c r="F2643" t="s">
        <v>29</v>
      </c>
      <c r="G2643" t="s">
        <v>3290</v>
      </c>
      <c r="H2643">
        <v>80.959999999999994</v>
      </c>
      <c r="I2643">
        <v>4</v>
      </c>
      <c r="J2643">
        <v>34.812800000000003</v>
      </c>
      <c r="K2643">
        <v>2014</v>
      </c>
      <c r="L2643">
        <v>9</v>
      </c>
      <c r="M2643" t="s">
        <v>87</v>
      </c>
      <c r="N2643">
        <v>8</v>
      </c>
      <c r="O2643">
        <v>3</v>
      </c>
      <c r="P2643">
        <v>43</v>
      </c>
      <c r="Q2643">
        <v>20.239999999999998</v>
      </c>
      <c r="R2643" t="s">
        <v>26</v>
      </c>
      <c r="S2643" t="b">
        <v>0</v>
      </c>
      <c r="T2643" t="b">
        <v>0</v>
      </c>
    </row>
    <row r="2644" spans="1:20" x14ac:dyDescent="0.3">
      <c r="A2644" t="s">
        <v>3619</v>
      </c>
      <c r="B2644" s="1">
        <v>41890</v>
      </c>
      <c r="C2644" s="1">
        <v>41893</v>
      </c>
      <c r="D2644" t="s">
        <v>740</v>
      </c>
      <c r="E2644" t="s">
        <v>521</v>
      </c>
      <c r="F2644" t="s">
        <v>54</v>
      </c>
      <c r="G2644" t="s">
        <v>3620</v>
      </c>
      <c r="H2644">
        <v>455.71199999999999</v>
      </c>
      <c r="I2644">
        <v>2</v>
      </c>
      <c r="J2644">
        <v>34.178400000000003</v>
      </c>
      <c r="K2644">
        <v>2014</v>
      </c>
      <c r="L2644">
        <v>9</v>
      </c>
      <c r="M2644" t="s">
        <v>87</v>
      </c>
      <c r="N2644">
        <v>8</v>
      </c>
      <c r="O2644">
        <v>3</v>
      </c>
      <c r="P2644">
        <v>7.5</v>
      </c>
      <c r="Q2644">
        <v>227.85599999999999</v>
      </c>
      <c r="R2644" t="s">
        <v>26</v>
      </c>
      <c r="S2644" t="b">
        <v>0</v>
      </c>
      <c r="T2644" t="b">
        <v>1</v>
      </c>
    </row>
    <row r="2645" spans="1:20" x14ac:dyDescent="0.3">
      <c r="A2645" t="s">
        <v>3619</v>
      </c>
      <c r="B2645" s="1">
        <v>41890</v>
      </c>
      <c r="C2645" s="1">
        <v>41893</v>
      </c>
      <c r="D2645" t="s">
        <v>740</v>
      </c>
      <c r="E2645" t="s">
        <v>521</v>
      </c>
      <c r="F2645" t="s">
        <v>31</v>
      </c>
      <c r="G2645" t="s">
        <v>3621</v>
      </c>
      <c r="H2645">
        <v>25.98</v>
      </c>
      <c r="I2645">
        <v>1</v>
      </c>
      <c r="J2645">
        <v>7.2744</v>
      </c>
      <c r="K2645">
        <v>2014</v>
      </c>
      <c r="L2645">
        <v>9</v>
      </c>
      <c r="M2645" t="s">
        <v>87</v>
      </c>
      <c r="N2645">
        <v>8</v>
      </c>
      <c r="O2645">
        <v>3</v>
      </c>
      <c r="P2645">
        <v>28</v>
      </c>
      <c r="Q2645">
        <v>25.98</v>
      </c>
      <c r="R2645" t="s">
        <v>26</v>
      </c>
      <c r="S2645" t="b">
        <v>0</v>
      </c>
      <c r="T2645" t="b">
        <v>0</v>
      </c>
    </row>
    <row r="2646" spans="1:20" x14ac:dyDescent="0.3">
      <c r="A2646" t="s">
        <v>3622</v>
      </c>
      <c r="B2646" s="1">
        <v>41241</v>
      </c>
      <c r="C2646" s="1">
        <v>41243</v>
      </c>
      <c r="D2646" t="s">
        <v>3623</v>
      </c>
      <c r="E2646" t="s">
        <v>51</v>
      </c>
      <c r="F2646" t="s">
        <v>35</v>
      </c>
      <c r="G2646" t="s">
        <v>3624</v>
      </c>
      <c r="H2646">
        <v>45.28</v>
      </c>
      <c r="I2646">
        <v>4</v>
      </c>
      <c r="J2646">
        <v>15.395200000000001</v>
      </c>
      <c r="K2646">
        <v>2012</v>
      </c>
      <c r="L2646">
        <v>11</v>
      </c>
      <c r="M2646" t="s">
        <v>70</v>
      </c>
      <c r="N2646">
        <v>28</v>
      </c>
      <c r="O2646">
        <v>2</v>
      </c>
      <c r="P2646">
        <v>34</v>
      </c>
      <c r="Q2646">
        <v>11.32</v>
      </c>
      <c r="R2646" t="s">
        <v>26</v>
      </c>
      <c r="S2646" t="b">
        <v>0</v>
      </c>
      <c r="T2646" t="b">
        <v>0</v>
      </c>
    </row>
    <row r="2647" spans="1:20" x14ac:dyDescent="0.3">
      <c r="A2647" t="s">
        <v>3625</v>
      </c>
      <c r="B2647" s="1">
        <v>41899</v>
      </c>
      <c r="C2647" s="1">
        <v>41903</v>
      </c>
      <c r="D2647" t="s">
        <v>662</v>
      </c>
      <c r="E2647" t="s">
        <v>51</v>
      </c>
      <c r="F2647" t="s">
        <v>119</v>
      </c>
      <c r="G2647" t="s">
        <v>3626</v>
      </c>
      <c r="H2647">
        <v>17.899999999999999</v>
      </c>
      <c r="I2647">
        <v>5</v>
      </c>
      <c r="J2647">
        <v>8.7710000000000008</v>
      </c>
      <c r="K2647">
        <v>2014</v>
      </c>
      <c r="L2647">
        <v>9</v>
      </c>
      <c r="M2647" t="s">
        <v>87</v>
      </c>
      <c r="N2647">
        <v>17</v>
      </c>
      <c r="O2647">
        <v>4</v>
      </c>
      <c r="P2647">
        <v>49</v>
      </c>
      <c r="Q2647">
        <v>3.58</v>
      </c>
      <c r="R2647" t="s">
        <v>26</v>
      </c>
      <c r="S2647" t="b">
        <v>0</v>
      </c>
      <c r="T2647" t="b">
        <v>0</v>
      </c>
    </row>
    <row r="2648" spans="1:20" x14ac:dyDescent="0.3">
      <c r="A2648" t="s">
        <v>3627</v>
      </c>
      <c r="B2648" s="1">
        <v>40835</v>
      </c>
      <c r="C2648" s="1">
        <v>40838</v>
      </c>
      <c r="D2648" t="s">
        <v>568</v>
      </c>
      <c r="E2648" t="s">
        <v>51</v>
      </c>
      <c r="F2648" t="s">
        <v>33</v>
      </c>
      <c r="G2648" t="s">
        <v>1693</v>
      </c>
      <c r="H2648">
        <v>2.992</v>
      </c>
      <c r="I2648">
        <v>1</v>
      </c>
      <c r="J2648">
        <v>1.1220000000000001</v>
      </c>
      <c r="K2648">
        <v>2011</v>
      </c>
      <c r="L2648">
        <v>10</v>
      </c>
      <c r="M2648" t="s">
        <v>82</v>
      </c>
      <c r="N2648">
        <v>19</v>
      </c>
      <c r="O2648">
        <v>3</v>
      </c>
      <c r="P2648">
        <v>37.5</v>
      </c>
      <c r="Q2648">
        <v>2.992</v>
      </c>
      <c r="R2648" t="s">
        <v>26</v>
      </c>
      <c r="S2648" t="b">
        <v>0</v>
      </c>
      <c r="T2648" t="b">
        <v>0</v>
      </c>
    </row>
    <row r="2649" spans="1:20" x14ac:dyDescent="0.3">
      <c r="A2649" t="s">
        <v>3627</v>
      </c>
      <c r="B2649" s="1">
        <v>40835</v>
      </c>
      <c r="C2649" s="1">
        <v>40838</v>
      </c>
      <c r="D2649" t="s">
        <v>568</v>
      </c>
      <c r="E2649" t="s">
        <v>51</v>
      </c>
      <c r="F2649" t="s">
        <v>33</v>
      </c>
      <c r="G2649" t="s">
        <v>654</v>
      </c>
      <c r="H2649">
        <v>20.064</v>
      </c>
      <c r="I2649">
        <v>6</v>
      </c>
      <c r="J2649">
        <v>7.0224000000000002</v>
      </c>
      <c r="K2649">
        <v>2011</v>
      </c>
      <c r="L2649">
        <v>10</v>
      </c>
      <c r="M2649" t="s">
        <v>82</v>
      </c>
      <c r="N2649">
        <v>19</v>
      </c>
      <c r="O2649">
        <v>3</v>
      </c>
      <c r="P2649">
        <v>35</v>
      </c>
      <c r="Q2649">
        <v>3.3439999999999999</v>
      </c>
      <c r="R2649" t="s">
        <v>26</v>
      </c>
      <c r="S2649" t="b">
        <v>0</v>
      </c>
      <c r="T2649" t="b">
        <v>0</v>
      </c>
    </row>
    <row r="2650" spans="1:20" x14ac:dyDescent="0.3">
      <c r="A2650" t="s">
        <v>3627</v>
      </c>
      <c r="B2650" s="1">
        <v>40835</v>
      </c>
      <c r="C2650" s="1">
        <v>40838</v>
      </c>
      <c r="D2650" t="s">
        <v>568</v>
      </c>
      <c r="E2650" t="s">
        <v>51</v>
      </c>
      <c r="F2650" t="s">
        <v>72</v>
      </c>
      <c r="G2650" t="s">
        <v>2207</v>
      </c>
      <c r="H2650">
        <v>146.72999999999999</v>
      </c>
      <c r="I2650">
        <v>3</v>
      </c>
      <c r="J2650">
        <v>68.963099999999997</v>
      </c>
      <c r="K2650">
        <v>2011</v>
      </c>
      <c r="L2650">
        <v>10</v>
      </c>
      <c r="M2650" t="s">
        <v>82</v>
      </c>
      <c r="N2650">
        <v>19</v>
      </c>
      <c r="O2650">
        <v>3</v>
      </c>
      <c r="P2650">
        <v>47</v>
      </c>
      <c r="Q2650">
        <v>48.91</v>
      </c>
      <c r="R2650" t="s">
        <v>26</v>
      </c>
      <c r="S2650" t="b">
        <v>0</v>
      </c>
      <c r="T2650" t="b">
        <v>0</v>
      </c>
    </row>
    <row r="2651" spans="1:20" x14ac:dyDescent="0.3">
      <c r="A2651" t="s">
        <v>3627</v>
      </c>
      <c r="B2651" s="1">
        <v>40835</v>
      </c>
      <c r="C2651" s="1">
        <v>40838</v>
      </c>
      <c r="D2651" t="s">
        <v>568</v>
      </c>
      <c r="E2651" t="s">
        <v>51</v>
      </c>
      <c r="F2651" t="s">
        <v>23</v>
      </c>
      <c r="G2651" t="s">
        <v>444</v>
      </c>
      <c r="H2651">
        <v>18.75</v>
      </c>
      <c r="I2651">
        <v>5</v>
      </c>
      <c r="J2651">
        <v>9</v>
      </c>
      <c r="K2651">
        <v>2011</v>
      </c>
      <c r="L2651">
        <v>10</v>
      </c>
      <c r="M2651" t="s">
        <v>82</v>
      </c>
      <c r="N2651">
        <v>19</v>
      </c>
      <c r="O2651">
        <v>3</v>
      </c>
      <c r="P2651">
        <v>48</v>
      </c>
      <c r="Q2651">
        <v>3.75</v>
      </c>
      <c r="R2651" t="s">
        <v>26</v>
      </c>
      <c r="S2651" t="b">
        <v>0</v>
      </c>
      <c r="T2651" t="b">
        <v>0</v>
      </c>
    </row>
    <row r="2652" spans="1:20" x14ac:dyDescent="0.3">
      <c r="A2652" t="s">
        <v>3627</v>
      </c>
      <c r="B2652" s="1">
        <v>40835</v>
      </c>
      <c r="C2652" s="1">
        <v>40838</v>
      </c>
      <c r="D2652" t="s">
        <v>568</v>
      </c>
      <c r="E2652" t="s">
        <v>51</v>
      </c>
      <c r="F2652" t="s">
        <v>54</v>
      </c>
      <c r="G2652" t="s">
        <v>3499</v>
      </c>
      <c r="H2652">
        <v>117.57599999999999</v>
      </c>
      <c r="I2652">
        <v>3</v>
      </c>
      <c r="J2652">
        <v>11.7576</v>
      </c>
      <c r="K2652">
        <v>2011</v>
      </c>
      <c r="L2652">
        <v>10</v>
      </c>
      <c r="M2652" t="s">
        <v>82</v>
      </c>
      <c r="N2652">
        <v>19</v>
      </c>
      <c r="O2652">
        <v>3</v>
      </c>
      <c r="P2652">
        <v>10</v>
      </c>
      <c r="Q2652">
        <v>39.192</v>
      </c>
      <c r="R2652" t="s">
        <v>26</v>
      </c>
      <c r="S2652" t="b">
        <v>0</v>
      </c>
      <c r="T2652" t="b">
        <v>0</v>
      </c>
    </row>
    <row r="2653" spans="1:20" x14ac:dyDescent="0.3">
      <c r="A2653" t="s">
        <v>3628</v>
      </c>
      <c r="B2653" s="1">
        <v>41347</v>
      </c>
      <c r="C2653" s="1">
        <v>41352</v>
      </c>
      <c r="D2653" t="s">
        <v>3284</v>
      </c>
      <c r="E2653" t="s">
        <v>569</v>
      </c>
      <c r="F2653" t="s">
        <v>33</v>
      </c>
      <c r="G2653" t="s">
        <v>792</v>
      </c>
      <c r="H2653">
        <v>51.183999999999997</v>
      </c>
      <c r="I2653">
        <v>7</v>
      </c>
      <c r="J2653">
        <v>19.193999999999999</v>
      </c>
      <c r="K2653">
        <v>2013</v>
      </c>
      <c r="L2653">
        <v>3</v>
      </c>
      <c r="M2653" t="s">
        <v>135</v>
      </c>
      <c r="N2653">
        <v>14</v>
      </c>
      <c r="O2653">
        <v>5</v>
      </c>
      <c r="P2653">
        <v>37.5</v>
      </c>
      <c r="Q2653">
        <v>7.3119999999999994</v>
      </c>
      <c r="R2653" t="s">
        <v>26</v>
      </c>
      <c r="S2653" t="b">
        <v>0</v>
      </c>
      <c r="T2653" t="b">
        <v>0</v>
      </c>
    </row>
    <row r="2654" spans="1:20" x14ac:dyDescent="0.3">
      <c r="A2654" t="s">
        <v>3629</v>
      </c>
      <c r="B2654" s="1">
        <v>41631</v>
      </c>
      <c r="C2654" s="1">
        <v>41637</v>
      </c>
      <c r="D2654" t="s">
        <v>80</v>
      </c>
      <c r="E2654" t="s">
        <v>2369</v>
      </c>
      <c r="F2654" t="s">
        <v>29</v>
      </c>
      <c r="G2654" t="s">
        <v>3347</v>
      </c>
      <c r="H2654">
        <v>41.96</v>
      </c>
      <c r="I2654">
        <v>2</v>
      </c>
      <c r="J2654">
        <v>10.909599999999999</v>
      </c>
      <c r="K2654">
        <v>2013</v>
      </c>
      <c r="L2654">
        <v>12</v>
      </c>
      <c r="M2654" t="s">
        <v>41</v>
      </c>
      <c r="N2654">
        <v>23</v>
      </c>
      <c r="O2654">
        <v>6</v>
      </c>
      <c r="P2654">
        <v>26</v>
      </c>
      <c r="Q2654">
        <v>20.98</v>
      </c>
      <c r="R2654" t="s">
        <v>26</v>
      </c>
      <c r="S2654" t="b">
        <v>0</v>
      </c>
      <c r="T2654" t="b">
        <v>0</v>
      </c>
    </row>
    <row r="2655" spans="1:20" x14ac:dyDescent="0.3">
      <c r="A2655" t="s">
        <v>3630</v>
      </c>
      <c r="B2655" s="1">
        <v>41541</v>
      </c>
      <c r="C2655" s="1">
        <v>41545</v>
      </c>
      <c r="D2655" t="s">
        <v>539</v>
      </c>
      <c r="E2655" t="s">
        <v>39</v>
      </c>
      <c r="F2655" t="s">
        <v>33</v>
      </c>
      <c r="G2655" t="s">
        <v>749</v>
      </c>
      <c r="H2655">
        <v>13.215999999999999</v>
      </c>
      <c r="I2655">
        <v>4</v>
      </c>
      <c r="J2655">
        <v>4.4603999999999999</v>
      </c>
      <c r="K2655">
        <v>2013</v>
      </c>
      <c r="L2655">
        <v>9</v>
      </c>
      <c r="M2655" t="s">
        <v>87</v>
      </c>
      <c r="N2655">
        <v>24</v>
      </c>
      <c r="O2655">
        <v>4</v>
      </c>
      <c r="P2655">
        <v>33.75</v>
      </c>
      <c r="Q2655">
        <v>3.3039999999999998</v>
      </c>
      <c r="R2655" t="s">
        <v>26</v>
      </c>
      <c r="S2655" t="b">
        <v>0</v>
      </c>
      <c r="T2655" t="b">
        <v>0</v>
      </c>
    </row>
    <row r="2656" spans="1:20" x14ac:dyDescent="0.3">
      <c r="A2656" t="s">
        <v>3630</v>
      </c>
      <c r="B2656" s="1">
        <v>41541</v>
      </c>
      <c r="C2656" s="1">
        <v>41545</v>
      </c>
      <c r="D2656" t="s">
        <v>539</v>
      </c>
      <c r="E2656" t="s">
        <v>39</v>
      </c>
      <c r="F2656" t="s">
        <v>110</v>
      </c>
      <c r="G2656" t="s">
        <v>1562</v>
      </c>
      <c r="H2656">
        <v>184.75200000000001</v>
      </c>
      <c r="I2656">
        <v>3</v>
      </c>
      <c r="J2656">
        <v>-20.784600000000001</v>
      </c>
      <c r="K2656">
        <v>2013</v>
      </c>
      <c r="L2656">
        <v>9</v>
      </c>
      <c r="M2656" t="s">
        <v>87</v>
      </c>
      <c r="N2656">
        <v>24</v>
      </c>
      <c r="O2656">
        <v>4</v>
      </c>
      <c r="P2656">
        <v>-11.25</v>
      </c>
      <c r="Q2656">
        <v>61.584000000000003</v>
      </c>
      <c r="R2656" t="s">
        <v>26</v>
      </c>
      <c r="S2656" t="b">
        <v>1</v>
      </c>
      <c r="T2656" t="b">
        <v>0</v>
      </c>
    </row>
    <row r="2657" spans="1:20" x14ac:dyDescent="0.3">
      <c r="A2657" t="s">
        <v>3631</v>
      </c>
      <c r="B2657" s="1">
        <v>41720</v>
      </c>
      <c r="C2657" s="1">
        <v>41724</v>
      </c>
      <c r="D2657" t="s">
        <v>3225</v>
      </c>
      <c r="E2657" t="s">
        <v>39</v>
      </c>
      <c r="F2657" t="s">
        <v>33</v>
      </c>
      <c r="G2657" t="s">
        <v>3632</v>
      </c>
      <c r="H2657">
        <v>30.576000000000001</v>
      </c>
      <c r="I2657">
        <v>6</v>
      </c>
      <c r="J2657">
        <v>10.3194</v>
      </c>
      <c r="K2657">
        <v>2014</v>
      </c>
      <c r="L2657">
        <v>3</v>
      </c>
      <c r="M2657" t="s">
        <v>135</v>
      </c>
      <c r="N2657">
        <v>22</v>
      </c>
      <c r="O2657">
        <v>4</v>
      </c>
      <c r="P2657">
        <v>33.75</v>
      </c>
      <c r="Q2657">
        <v>5.0960000000000001</v>
      </c>
      <c r="R2657" t="s">
        <v>26</v>
      </c>
      <c r="S2657" t="b">
        <v>0</v>
      </c>
      <c r="T2657" t="b">
        <v>0</v>
      </c>
    </row>
    <row r="2658" spans="1:20" x14ac:dyDescent="0.3">
      <c r="A2658" t="s">
        <v>3631</v>
      </c>
      <c r="B2658" s="1">
        <v>41720</v>
      </c>
      <c r="C2658" s="1">
        <v>41724</v>
      </c>
      <c r="D2658" t="s">
        <v>3225</v>
      </c>
      <c r="E2658" t="s">
        <v>39</v>
      </c>
      <c r="F2658" t="s">
        <v>119</v>
      </c>
      <c r="G2658" t="s">
        <v>2184</v>
      </c>
      <c r="H2658">
        <v>13.02</v>
      </c>
      <c r="I2658">
        <v>7</v>
      </c>
      <c r="J2658">
        <v>0.3906</v>
      </c>
      <c r="K2658">
        <v>2014</v>
      </c>
      <c r="L2658">
        <v>3</v>
      </c>
      <c r="M2658" t="s">
        <v>135</v>
      </c>
      <c r="N2658">
        <v>22</v>
      </c>
      <c r="O2658">
        <v>4</v>
      </c>
      <c r="P2658">
        <v>3</v>
      </c>
      <c r="Q2658">
        <v>1.86</v>
      </c>
      <c r="R2658" t="s">
        <v>26</v>
      </c>
      <c r="S2658" t="b">
        <v>0</v>
      </c>
      <c r="T2658" t="b">
        <v>0</v>
      </c>
    </row>
    <row r="2659" spans="1:20" x14ac:dyDescent="0.3">
      <c r="A2659" t="s">
        <v>3631</v>
      </c>
      <c r="B2659" s="1">
        <v>41720</v>
      </c>
      <c r="C2659" s="1">
        <v>41724</v>
      </c>
      <c r="D2659" t="s">
        <v>3225</v>
      </c>
      <c r="E2659" t="s">
        <v>39</v>
      </c>
      <c r="F2659" t="s">
        <v>29</v>
      </c>
      <c r="G2659" t="s">
        <v>1943</v>
      </c>
      <c r="H2659">
        <v>22.14</v>
      </c>
      <c r="I2659">
        <v>3</v>
      </c>
      <c r="J2659">
        <v>6.4206000000000003</v>
      </c>
      <c r="K2659">
        <v>2014</v>
      </c>
      <c r="L2659">
        <v>3</v>
      </c>
      <c r="M2659" t="s">
        <v>135</v>
      </c>
      <c r="N2659">
        <v>22</v>
      </c>
      <c r="O2659">
        <v>4</v>
      </c>
      <c r="P2659">
        <v>29</v>
      </c>
      <c r="Q2659">
        <v>7.38</v>
      </c>
      <c r="R2659" t="s">
        <v>26</v>
      </c>
      <c r="S2659" t="b">
        <v>0</v>
      </c>
      <c r="T2659" t="b">
        <v>0</v>
      </c>
    </row>
    <row r="2660" spans="1:20" x14ac:dyDescent="0.3">
      <c r="A2660" t="s">
        <v>3631</v>
      </c>
      <c r="B2660" s="1">
        <v>41720</v>
      </c>
      <c r="C2660" s="1">
        <v>41724</v>
      </c>
      <c r="D2660" t="s">
        <v>3225</v>
      </c>
      <c r="E2660" t="s">
        <v>39</v>
      </c>
      <c r="F2660" t="s">
        <v>45</v>
      </c>
      <c r="G2660" t="s">
        <v>486</v>
      </c>
      <c r="H2660">
        <v>359.32</v>
      </c>
      <c r="I2660">
        <v>4</v>
      </c>
      <c r="J2660">
        <v>7.1863999999999999</v>
      </c>
      <c r="K2660">
        <v>2014</v>
      </c>
      <c r="L2660">
        <v>3</v>
      </c>
      <c r="M2660" t="s">
        <v>135</v>
      </c>
      <c r="N2660">
        <v>22</v>
      </c>
      <c r="O2660">
        <v>4</v>
      </c>
      <c r="P2660">
        <v>2</v>
      </c>
      <c r="Q2660">
        <v>89.83</v>
      </c>
      <c r="R2660" t="s">
        <v>26</v>
      </c>
      <c r="S2660" t="b">
        <v>0</v>
      </c>
      <c r="T2660" t="b">
        <v>1</v>
      </c>
    </row>
    <row r="2661" spans="1:20" x14ac:dyDescent="0.3">
      <c r="A2661" t="s">
        <v>3633</v>
      </c>
      <c r="B2661" s="1">
        <v>41767</v>
      </c>
      <c r="C2661" s="1">
        <v>41771</v>
      </c>
      <c r="D2661" t="s">
        <v>3634</v>
      </c>
      <c r="E2661" t="s">
        <v>763</v>
      </c>
      <c r="F2661" t="s">
        <v>54</v>
      </c>
      <c r="G2661" t="s">
        <v>3635</v>
      </c>
      <c r="H2661">
        <v>419.94400000000002</v>
      </c>
      <c r="I2661">
        <v>7</v>
      </c>
      <c r="J2661">
        <v>52.493000000000002</v>
      </c>
      <c r="K2661">
        <v>2014</v>
      </c>
      <c r="L2661">
        <v>5</v>
      </c>
      <c r="M2661" t="s">
        <v>47</v>
      </c>
      <c r="N2661">
        <v>8</v>
      </c>
      <c r="O2661">
        <v>4</v>
      </c>
      <c r="P2661">
        <v>12.5</v>
      </c>
      <c r="Q2661">
        <v>59.991999999999997</v>
      </c>
      <c r="R2661" t="s">
        <v>26</v>
      </c>
      <c r="S2661" t="b">
        <v>0</v>
      </c>
      <c r="T2661" t="b">
        <v>1</v>
      </c>
    </row>
    <row r="2662" spans="1:20" x14ac:dyDescent="0.3">
      <c r="A2662" t="s">
        <v>3636</v>
      </c>
      <c r="B2662" s="1">
        <v>41431</v>
      </c>
      <c r="C2662" s="1">
        <v>41435</v>
      </c>
      <c r="D2662" t="s">
        <v>3637</v>
      </c>
      <c r="E2662" t="s">
        <v>39</v>
      </c>
      <c r="F2662" t="s">
        <v>122</v>
      </c>
      <c r="G2662" t="s">
        <v>2354</v>
      </c>
      <c r="H2662">
        <v>61.38</v>
      </c>
      <c r="I2662">
        <v>6</v>
      </c>
      <c r="J2662">
        <v>15.9588</v>
      </c>
      <c r="K2662">
        <v>2013</v>
      </c>
      <c r="L2662">
        <v>6</v>
      </c>
      <c r="M2662" t="s">
        <v>25</v>
      </c>
      <c r="N2662">
        <v>6</v>
      </c>
      <c r="O2662">
        <v>4</v>
      </c>
      <c r="P2662">
        <v>26</v>
      </c>
      <c r="Q2662">
        <v>10.23</v>
      </c>
      <c r="R2662" t="s">
        <v>48</v>
      </c>
      <c r="S2662" t="b">
        <v>0</v>
      </c>
      <c r="T2662" t="b">
        <v>0</v>
      </c>
    </row>
    <row r="2663" spans="1:20" x14ac:dyDescent="0.3">
      <c r="A2663" t="s">
        <v>3638</v>
      </c>
      <c r="B2663" s="1">
        <v>41257</v>
      </c>
      <c r="C2663" s="1">
        <v>41262</v>
      </c>
      <c r="D2663" t="s">
        <v>3623</v>
      </c>
      <c r="E2663" t="s">
        <v>22</v>
      </c>
      <c r="F2663" t="s">
        <v>61</v>
      </c>
      <c r="G2663" t="s">
        <v>953</v>
      </c>
      <c r="H2663">
        <v>50</v>
      </c>
      <c r="I2663">
        <v>2</v>
      </c>
      <c r="J2663">
        <v>10.5</v>
      </c>
      <c r="K2663">
        <v>2012</v>
      </c>
      <c r="L2663">
        <v>12</v>
      </c>
      <c r="M2663" t="s">
        <v>41</v>
      </c>
      <c r="N2663">
        <v>14</v>
      </c>
      <c r="O2663">
        <v>5</v>
      </c>
      <c r="P2663">
        <v>21</v>
      </c>
      <c r="Q2663">
        <v>25</v>
      </c>
      <c r="R2663" t="s">
        <v>26</v>
      </c>
      <c r="S2663" t="b">
        <v>0</v>
      </c>
      <c r="T2663" t="b">
        <v>0</v>
      </c>
    </row>
    <row r="2664" spans="1:20" x14ac:dyDescent="0.3">
      <c r="A2664" t="s">
        <v>3639</v>
      </c>
      <c r="B2664" s="1">
        <v>41879</v>
      </c>
      <c r="C2664" s="1">
        <v>41883</v>
      </c>
      <c r="D2664" t="s">
        <v>394</v>
      </c>
      <c r="E2664" t="s">
        <v>368</v>
      </c>
      <c r="F2664" t="s">
        <v>29</v>
      </c>
      <c r="G2664" t="s">
        <v>1154</v>
      </c>
      <c r="H2664">
        <v>120.57599999999999</v>
      </c>
      <c r="I2664">
        <v>8</v>
      </c>
      <c r="J2664">
        <v>33.1584</v>
      </c>
      <c r="K2664">
        <v>2014</v>
      </c>
      <c r="L2664">
        <v>8</v>
      </c>
      <c r="M2664" t="s">
        <v>53</v>
      </c>
      <c r="N2664">
        <v>28</v>
      </c>
      <c r="O2664">
        <v>4</v>
      </c>
      <c r="P2664">
        <v>27.5</v>
      </c>
      <c r="Q2664">
        <v>15.071999999999999</v>
      </c>
      <c r="R2664" t="s">
        <v>26</v>
      </c>
      <c r="S2664" t="b">
        <v>0</v>
      </c>
      <c r="T2664" t="b">
        <v>0</v>
      </c>
    </row>
    <row r="2665" spans="1:20" x14ac:dyDescent="0.3">
      <c r="A2665" t="s">
        <v>3640</v>
      </c>
      <c r="B2665" s="1">
        <v>40718</v>
      </c>
      <c r="C2665" s="1">
        <v>40722</v>
      </c>
      <c r="D2665" t="s">
        <v>378</v>
      </c>
      <c r="E2665" t="s">
        <v>257</v>
      </c>
      <c r="F2665" t="s">
        <v>29</v>
      </c>
      <c r="G2665" t="s">
        <v>2401</v>
      </c>
      <c r="H2665">
        <v>4.2720000000000002</v>
      </c>
      <c r="I2665">
        <v>2</v>
      </c>
      <c r="J2665">
        <v>0.96120000000000005</v>
      </c>
      <c r="K2665">
        <v>2011</v>
      </c>
      <c r="L2665">
        <v>6</v>
      </c>
      <c r="M2665" t="s">
        <v>25</v>
      </c>
      <c r="N2665">
        <v>24</v>
      </c>
      <c r="O2665">
        <v>4</v>
      </c>
      <c r="P2665">
        <v>22.5</v>
      </c>
      <c r="Q2665">
        <v>2.1360000000000001</v>
      </c>
      <c r="R2665" t="s">
        <v>26</v>
      </c>
      <c r="S2665" t="b">
        <v>0</v>
      </c>
      <c r="T2665" t="b">
        <v>0</v>
      </c>
    </row>
    <row r="2666" spans="1:20" x14ac:dyDescent="0.3">
      <c r="A2666" t="s">
        <v>3641</v>
      </c>
      <c r="B2666" s="1">
        <v>41344</v>
      </c>
      <c r="C2666" s="1">
        <v>41348</v>
      </c>
      <c r="D2666" t="s">
        <v>485</v>
      </c>
      <c r="E2666" t="s">
        <v>849</v>
      </c>
      <c r="F2666" t="s">
        <v>45</v>
      </c>
      <c r="G2666" t="s">
        <v>1449</v>
      </c>
      <c r="H2666">
        <v>104.696</v>
      </c>
      <c r="I2666">
        <v>1</v>
      </c>
      <c r="J2666">
        <v>6.5434999999999999</v>
      </c>
      <c r="K2666">
        <v>2013</v>
      </c>
      <c r="L2666">
        <v>3</v>
      </c>
      <c r="M2666" t="s">
        <v>135</v>
      </c>
      <c r="N2666">
        <v>11</v>
      </c>
      <c r="O2666">
        <v>4</v>
      </c>
      <c r="P2666">
        <v>6.25</v>
      </c>
      <c r="Q2666">
        <v>104.696</v>
      </c>
      <c r="R2666" t="s">
        <v>26</v>
      </c>
      <c r="S2666" t="b">
        <v>0</v>
      </c>
      <c r="T2666" t="b">
        <v>0</v>
      </c>
    </row>
    <row r="2667" spans="1:20" x14ac:dyDescent="0.3">
      <c r="A2667" t="s">
        <v>3642</v>
      </c>
      <c r="B2667" s="1">
        <v>41200</v>
      </c>
      <c r="C2667" s="1">
        <v>41204</v>
      </c>
      <c r="D2667" t="s">
        <v>3324</v>
      </c>
      <c r="E2667" t="s">
        <v>39</v>
      </c>
      <c r="F2667" t="s">
        <v>54</v>
      </c>
      <c r="G2667" t="s">
        <v>3643</v>
      </c>
      <c r="H2667">
        <v>249.584</v>
      </c>
      <c r="I2667">
        <v>2</v>
      </c>
      <c r="J2667">
        <v>15.599</v>
      </c>
      <c r="K2667">
        <v>2012</v>
      </c>
      <c r="L2667">
        <v>10</v>
      </c>
      <c r="M2667" t="s">
        <v>82</v>
      </c>
      <c r="N2667">
        <v>18</v>
      </c>
      <c r="O2667">
        <v>4</v>
      </c>
      <c r="P2667">
        <v>6.25</v>
      </c>
      <c r="Q2667">
        <v>124.792</v>
      </c>
      <c r="R2667" t="s">
        <v>26</v>
      </c>
      <c r="S2667" t="b">
        <v>0</v>
      </c>
      <c r="T2667" t="b">
        <v>1</v>
      </c>
    </row>
    <row r="2668" spans="1:20" x14ac:dyDescent="0.3">
      <c r="A2668" t="s">
        <v>3642</v>
      </c>
      <c r="B2668" s="1">
        <v>41200</v>
      </c>
      <c r="C2668" s="1">
        <v>41204</v>
      </c>
      <c r="D2668" t="s">
        <v>3324</v>
      </c>
      <c r="E2668" t="s">
        <v>39</v>
      </c>
      <c r="F2668" t="s">
        <v>72</v>
      </c>
      <c r="G2668" t="s">
        <v>1504</v>
      </c>
      <c r="H2668">
        <v>17.940000000000001</v>
      </c>
      <c r="I2668">
        <v>3</v>
      </c>
      <c r="J2668">
        <v>8.7905999999999995</v>
      </c>
      <c r="K2668">
        <v>2012</v>
      </c>
      <c r="L2668">
        <v>10</v>
      </c>
      <c r="M2668" t="s">
        <v>82</v>
      </c>
      <c r="N2668">
        <v>18</v>
      </c>
      <c r="O2668">
        <v>4</v>
      </c>
      <c r="P2668">
        <v>49</v>
      </c>
      <c r="Q2668">
        <v>5.98</v>
      </c>
      <c r="R2668" t="s">
        <v>26</v>
      </c>
      <c r="S2668" t="b">
        <v>0</v>
      </c>
      <c r="T2668" t="b">
        <v>0</v>
      </c>
    </row>
    <row r="2669" spans="1:20" x14ac:dyDescent="0.3">
      <c r="A2669" t="s">
        <v>3642</v>
      </c>
      <c r="B2669" s="1">
        <v>41200</v>
      </c>
      <c r="C2669" s="1">
        <v>41204</v>
      </c>
      <c r="D2669" t="s">
        <v>3324</v>
      </c>
      <c r="E2669" t="s">
        <v>39</v>
      </c>
      <c r="F2669" t="s">
        <v>29</v>
      </c>
      <c r="G2669" t="s">
        <v>2353</v>
      </c>
      <c r="H2669">
        <v>10.11</v>
      </c>
      <c r="I2669">
        <v>3</v>
      </c>
      <c r="J2669">
        <v>3.2351999999999999</v>
      </c>
      <c r="K2669">
        <v>2012</v>
      </c>
      <c r="L2669">
        <v>10</v>
      </c>
      <c r="M2669" t="s">
        <v>82</v>
      </c>
      <c r="N2669">
        <v>18</v>
      </c>
      <c r="O2669">
        <v>4</v>
      </c>
      <c r="P2669">
        <v>32</v>
      </c>
      <c r="Q2669">
        <v>3.37</v>
      </c>
      <c r="R2669" t="s">
        <v>26</v>
      </c>
      <c r="S2669" t="b">
        <v>0</v>
      </c>
      <c r="T2669" t="b">
        <v>0</v>
      </c>
    </row>
    <row r="2670" spans="1:20" x14ac:dyDescent="0.3">
      <c r="A2670" t="s">
        <v>3644</v>
      </c>
      <c r="B2670" s="1">
        <v>40747</v>
      </c>
      <c r="C2670" s="1">
        <v>40751</v>
      </c>
      <c r="D2670" t="s">
        <v>2029</v>
      </c>
      <c r="E2670" t="s">
        <v>51</v>
      </c>
      <c r="F2670" t="s">
        <v>122</v>
      </c>
      <c r="G2670" t="s">
        <v>2657</v>
      </c>
      <c r="H2670">
        <v>40.700000000000003</v>
      </c>
      <c r="I2670">
        <v>5</v>
      </c>
      <c r="J2670">
        <v>11.803000000000001</v>
      </c>
      <c r="K2670">
        <v>2011</v>
      </c>
      <c r="L2670">
        <v>7</v>
      </c>
      <c r="M2670" t="s">
        <v>66</v>
      </c>
      <c r="N2670">
        <v>23</v>
      </c>
      <c r="O2670">
        <v>4</v>
      </c>
      <c r="P2670">
        <v>29</v>
      </c>
      <c r="Q2670">
        <v>8.14</v>
      </c>
      <c r="R2670" t="s">
        <v>26</v>
      </c>
      <c r="S2670" t="b">
        <v>0</v>
      </c>
      <c r="T2670" t="b">
        <v>0</v>
      </c>
    </row>
    <row r="2671" spans="1:20" x14ac:dyDescent="0.3">
      <c r="A2671" t="s">
        <v>3644</v>
      </c>
      <c r="B2671" s="1">
        <v>40747</v>
      </c>
      <c r="C2671" s="1">
        <v>40751</v>
      </c>
      <c r="D2671" t="s">
        <v>2029</v>
      </c>
      <c r="E2671" t="s">
        <v>51</v>
      </c>
      <c r="F2671" t="s">
        <v>54</v>
      </c>
      <c r="G2671" t="s">
        <v>3645</v>
      </c>
      <c r="H2671">
        <v>302.37599999999998</v>
      </c>
      <c r="I2671">
        <v>3</v>
      </c>
      <c r="J2671">
        <v>37.796999999999997</v>
      </c>
      <c r="K2671">
        <v>2011</v>
      </c>
      <c r="L2671">
        <v>7</v>
      </c>
      <c r="M2671" t="s">
        <v>66</v>
      </c>
      <c r="N2671">
        <v>23</v>
      </c>
      <c r="O2671">
        <v>4</v>
      </c>
      <c r="P2671">
        <v>12.5</v>
      </c>
      <c r="Q2671">
        <v>100.792</v>
      </c>
      <c r="R2671" t="s">
        <v>26</v>
      </c>
      <c r="S2671" t="b">
        <v>0</v>
      </c>
      <c r="T2671" t="b">
        <v>1</v>
      </c>
    </row>
    <row r="2672" spans="1:20" x14ac:dyDescent="0.3">
      <c r="A2672" t="s">
        <v>3644</v>
      </c>
      <c r="B2672" s="1">
        <v>40747</v>
      </c>
      <c r="C2672" s="1">
        <v>40751</v>
      </c>
      <c r="D2672" t="s">
        <v>2029</v>
      </c>
      <c r="E2672" t="s">
        <v>51</v>
      </c>
      <c r="F2672" t="s">
        <v>61</v>
      </c>
      <c r="G2672" t="s">
        <v>3646</v>
      </c>
      <c r="H2672">
        <v>45</v>
      </c>
      <c r="I2672">
        <v>3</v>
      </c>
      <c r="J2672">
        <v>4.95</v>
      </c>
      <c r="K2672">
        <v>2011</v>
      </c>
      <c r="L2672">
        <v>7</v>
      </c>
      <c r="M2672" t="s">
        <v>66</v>
      </c>
      <c r="N2672">
        <v>23</v>
      </c>
      <c r="O2672">
        <v>4</v>
      </c>
      <c r="P2672">
        <v>11</v>
      </c>
      <c r="Q2672">
        <v>15</v>
      </c>
      <c r="R2672" t="s">
        <v>26</v>
      </c>
      <c r="S2672" t="b">
        <v>0</v>
      </c>
      <c r="T2672" t="b">
        <v>0</v>
      </c>
    </row>
    <row r="2673" spans="1:20" x14ac:dyDescent="0.3">
      <c r="A2673" t="s">
        <v>3647</v>
      </c>
      <c r="B2673" s="1">
        <v>41533</v>
      </c>
      <c r="C2673" s="1">
        <v>41538</v>
      </c>
      <c r="D2673" t="s">
        <v>2063</v>
      </c>
      <c r="E2673" t="s">
        <v>39</v>
      </c>
      <c r="F2673" t="s">
        <v>31</v>
      </c>
      <c r="G2673" t="s">
        <v>2105</v>
      </c>
      <c r="H2673">
        <v>35.4</v>
      </c>
      <c r="I2673">
        <v>5</v>
      </c>
      <c r="J2673">
        <v>13.452</v>
      </c>
      <c r="K2673">
        <v>2013</v>
      </c>
      <c r="L2673">
        <v>9</v>
      </c>
      <c r="M2673" t="s">
        <v>87</v>
      </c>
      <c r="N2673">
        <v>16</v>
      </c>
      <c r="O2673">
        <v>5</v>
      </c>
      <c r="P2673">
        <v>38</v>
      </c>
      <c r="Q2673">
        <v>7.08</v>
      </c>
      <c r="R2673" t="s">
        <v>26</v>
      </c>
      <c r="S2673" t="b">
        <v>0</v>
      </c>
      <c r="T2673" t="b">
        <v>0</v>
      </c>
    </row>
    <row r="2674" spans="1:20" x14ac:dyDescent="0.3">
      <c r="A2674" t="s">
        <v>3648</v>
      </c>
      <c r="B2674" s="1">
        <v>41138</v>
      </c>
      <c r="C2674" s="1">
        <v>41144</v>
      </c>
      <c r="D2674" t="s">
        <v>1739</v>
      </c>
      <c r="E2674" t="s">
        <v>1152</v>
      </c>
      <c r="F2674" t="s">
        <v>61</v>
      </c>
      <c r="G2674" t="s">
        <v>1778</v>
      </c>
      <c r="H2674">
        <v>30.08</v>
      </c>
      <c r="I2674">
        <v>2</v>
      </c>
      <c r="J2674">
        <v>-5.2640000000000002</v>
      </c>
      <c r="K2674">
        <v>2012</v>
      </c>
      <c r="L2674">
        <v>8</v>
      </c>
      <c r="M2674" t="s">
        <v>53</v>
      </c>
      <c r="N2674">
        <v>17</v>
      </c>
      <c r="O2674">
        <v>6</v>
      </c>
      <c r="P2674">
        <v>-17.5</v>
      </c>
      <c r="Q2674">
        <v>15.04</v>
      </c>
      <c r="R2674" t="s">
        <v>26</v>
      </c>
      <c r="S2674" t="b">
        <v>1</v>
      </c>
      <c r="T2674" t="b">
        <v>0</v>
      </c>
    </row>
    <row r="2675" spans="1:20" x14ac:dyDescent="0.3">
      <c r="A2675" t="s">
        <v>3648</v>
      </c>
      <c r="B2675" s="1">
        <v>41138</v>
      </c>
      <c r="C2675" s="1">
        <v>41144</v>
      </c>
      <c r="D2675" t="s">
        <v>1739</v>
      </c>
      <c r="E2675" t="s">
        <v>1152</v>
      </c>
      <c r="F2675" t="s">
        <v>72</v>
      </c>
      <c r="G2675" t="s">
        <v>3649</v>
      </c>
      <c r="H2675">
        <v>36.287999999999997</v>
      </c>
      <c r="I2675">
        <v>7</v>
      </c>
      <c r="J2675">
        <v>12.700799999999999</v>
      </c>
      <c r="K2675">
        <v>2012</v>
      </c>
      <c r="L2675">
        <v>8</v>
      </c>
      <c r="M2675" t="s">
        <v>53</v>
      </c>
      <c r="N2675">
        <v>17</v>
      </c>
      <c r="O2675">
        <v>6</v>
      </c>
      <c r="P2675">
        <v>35</v>
      </c>
      <c r="Q2675">
        <v>5.1839999999999993</v>
      </c>
      <c r="R2675" t="s">
        <v>26</v>
      </c>
      <c r="S2675" t="b">
        <v>0</v>
      </c>
      <c r="T2675" t="b">
        <v>0</v>
      </c>
    </row>
    <row r="2676" spans="1:20" x14ac:dyDescent="0.3">
      <c r="A2676" t="s">
        <v>3648</v>
      </c>
      <c r="B2676" s="1">
        <v>41138</v>
      </c>
      <c r="C2676" s="1">
        <v>41144</v>
      </c>
      <c r="D2676" t="s">
        <v>1739</v>
      </c>
      <c r="E2676" t="s">
        <v>1152</v>
      </c>
      <c r="F2676" t="s">
        <v>31</v>
      </c>
      <c r="G2676" t="s">
        <v>1744</v>
      </c>
      <c r="H2676">
        <v>10.272</v>
      </c>
      <c r="I2676">
        <v>3</v>
      </c>
      <c r="J2676">
        <v>1.1556</v>
      </c>
      <c r="K2676">
        <v>2012</v>
      </c>
      <c r="L2676">
        <v>8</v>
      </c>
      <c r="M2676" t="s">
        <v>53</v>
      </c>
      <c r="N2676">
        <v>17</v>
      </c>
      <c r="O2676">
        <v>6</v>
      </c>
      <c r="P2676">
        <v>11.25</v>
      </c>
      <c r="Q2676">
        <v>3.4239999999999999</v>
      </c>
      <c r="R2676" t="s">
        <v>26</v>
      </c>
      <c r="S2676" t="b">
        <v>0</v>
      </c>
      <c r="T2676" t="b">
        <v>0</v>
      </c>
    </row>
    <row r="2677" spans="1:20" x14ac:dyDescent="0.3">
      <c r="A2677" t="s">
        <v>3648</v>
      </c>
      <c r="B2677" s="1">
        <v>41138</v>
      </c>
      <c r="C2677" s="1">
        <v>41144</v>
      </c>
      <c r="D2677" t="s">
        <v>1739</v>
      </c>
      <c r="E2677" t="s">
        <v>1152</v>
      </c>
      <c r="F2677" t="s">
        <v>61</v>
      </c>
      <c r="G2677" t="s">
        <v>453</v>
      </c>
      <c r="H2677">
        <v>252.8</v>
      </c>
      <c r="I2677">
        <v>4</v>
      </c>
      <c r="J2677">
        <v>-31.6</v>
      </c>
      <c r="K2677">
        <v>2012</v>
      </c>
      <c r="L2677">
        <v>8</v>
      </c>
      <c r="M2677" t="s">
        <v>53</v>
      </c>
      <c r="N2677">
        <v>17</v>
      </c>
      <c r="O2677">
        <v>6</v>
      </c>
      <c r="P2677">
        <v>-12.5</v>
      </c>
      <c r="Q2677">
        <v>63.2</v>
      </c>
      <c r="R2677" t="s">
        <v>26</v>
      </c>
      <c r="S2677" t="b">
        <v>1</v>
      </c>
      <c r="T2677" t="b">
        <v>1</v>
      </c>
    </row>
    <row r="2678" spans="1:20" x14ac:dyDescent="0.3">
      <c r="A2678" t="s">
        <v>3650</v>
      </c>
      <c r="B2678" s="1">
        <v>41786</v>
      </c>
      <c r="C2678" s="1">
        <v>41791</v>
      </c>
      <c r="D2678" t="s">
        <v>507</v>
      </c>
      <c r="E2678" t="s">
        <v>592</v>
      </c>
      <c r="F2678" t="s">
        <v>72</v>
      </c>
      <c r="G2678" t="s">
        <v>1544</v>
      </c>
      <c r="H2678">
        <v>12.96</v>
      </c>
      <c r="I2678">
        <v>2</v>
      </c>
      <c r="J2678">
        <v>6.2207999999999997</v>
      </c>
      <c r="K2678">
        <v>2014</v>
      </c>
      <c r="L2678">
        <v>5</v>
      </c>
      <c r="M2678" t="s">
        <v>47</v>
      </c>
      <c r="N2678">
        <v>27</v>
      </c>
      <c r="O2678">
        <v>5</v>
      </c>
      <c r="P2678">
        <v>48</v>
      </c>
      <c r="Q2678">
        <v>6.48</v>
      </c>
      <c r="R2678" t="s">
        <v>26</v>
      </c>
      <c r="S2678" t="b">
        <v>0</v>
      </c>
      <c r="T2678" t="b">
        <v>0</v>
      </c>
    </row>
    <row r="2679" spans="1:20" x14ac:dyDescent="0.3">
      <c r="A2679" t="s">
        <v>3651</v>
      </c>
      <c r="B2679" s="1">
        <v>41535</v>
      </c>
      <c r="C2679" s="1">
        <v>41541</v>
      </c>
      <c r="D2679" t="s">
        <v>748</v>
      </c>
      <c r="E2679" t="s">
        <v>2079</v>
      </c>
      <c r="F2679" t="s">
        <v>23</v>
      </c>
      <c r="G2679" t="s">
        <v>3652</v>
      </c>
      <c r="H2679">
        <v>12.32</v>
      </c>
      <c r="I2679">
        <v>4</v>
      </c>
      <c r="J2679">
        <v>5.9135999999999997</v>
      </c>
      <c r="K2679">
        <v>2013</v>
      </c>
      <c r="L2679">
        <v>9</v>
      </c>
      <c r="M2679" t="s">
        <v>87</v>
      </c>
      <c r="N2679">
        <v>18</v>
      </c>
      <c r="O2679">
        <v>6</v>
      </c>
      <c r="P2679">
        <v>48</v>
      </c>
      <c r="Q2679">
        <v>3.08</v>
      </c>
      <c r="R2679" t="s">
        <v>26</v>
      </c>
      <c r="S2679" t="b">
        <v>0</v>
      </c>
      <c r="T2679" t="b">
        <v>0</v>
      </c>
    </row>
    <row r="2680" spans="1:20" x14ac:dyDescent="0.3">
      <c r="A2680" t="s">
        <v>3653</v>
      </c>
      <c r="B2680" s="1">
        <v>40794</v>
      </c>
      <c r="C2680" s="1">
        <v>40799</v>
      </c>
      <c r="D2680" t="s">
        <v>1996</v>
      </c>
      <c r="E2680" t="s">
        <v>51</v>
      </c>
      <c r="F2680" t="s">
        <v>33</v>
      </c>
      <c r="G2680" t="s">
        <v>1764</v>
      </c>
      <c r="H2680">
        <v>8.6080000000000005</v>
      </c>
      <c r="I2680">
        <v>2</v>
      </c>
      <c r="J2680">
        <v>3.0127999999999999</v>
      </c>
      <c r="K2680">
        <v>2011</v>
      </c>
      <c r="L2680">
        <v>9</v>
      </c>
      <c r="M2680" t="s">
        <v>87</v>
      </c>
      <c r="N2680">
        <v>8</v>
      </c>
      <c r="O2680">
        <v>5</v>
      </c>
      <c r="P2680">
        <v>35</v>
      </c>
      <c r="Q2680">
        <v>4.3040000000000003</v>
      </c>
      <c r="R2680" t="s">
        <v>26</v>
      </c>
      <c r="S2680" t="b">
        <v>0</v>
      </c>
      <c r="T2680" t="b">
        <v>0</v>
      </c>
    </row>
    <row r="2681" spans="1:20" x14ac:dyDescent="0.3">
      <c r="A2681" t="s">
        <v>3654</v>
      </c>
      <c r="B2681" s="1">
        <v>41794</v>
      </c>
      <c r="C2681" s="1">
        <v>41798</v>
      </c>
      <c r="D2681" t="s">
        <v>631</v>
      </c>
      <c r="E2681" t="s">
        <v>1068</v>
      </c>
      <c r="F2681" t="s">
        <v>45</v>
      </c>
      <c r="G2681" t="s">
        <v>1934</v>
      </c>
      <c r="H2681">
        <v>136.26</v>
      </c>
      <c r="I2681">
        <v>9</v>
      </c>
      <c r="J2681">
        <v>5.4504000000000001</v>
      </c>
      <c r="K2681">
        <v>2014</v>
      </c>
      <c r="L2681">
        <v>6</v>
      </c>
      <c r="M2681" t="s">
        <v>25</v>
      </c>
      <c r="N2681">
        <v>4</v>
      </c>
      <c r="O2681">
        <v>4</v>
      </c>
      <c r="P2681">
        <v>4</v>
      </c>
      <c r="Q2681">
        <v>15.14</v>
      </c>
      <c r="R2681" t="s">
        <v>26</v>
      </c>
      <c r="S2681" t="b">
        <v>0</v>
      </c>
      <c r="T2681" t="b">
        <v>0</v>
      </c>
    </row>
    <row r="2682" spans="1:20" x14ac:dyDescent="0.3">
      <c r="A2682" t="s">
        <v>3655</v>
      </c>
      <c r="B2682" s="1">
        <v>41180</v>
      </c>
      <c r="C2682" s="1">
        <v>41187</v>
      </c>
      <c r="D2682" t="s">
        <v>2489</v>
      </c>
      <c r="E2682" t="s">
        <v>22</v>
      </c>
      <c r="F2682" t="s">
        <v>35</v>
      </c>
      <c r="G2682" t="s">
        <v>3656</v>
      </c>
      <c r="H2682">
        <v>186.15</v>
      </c>
      <c r="I2682">
        <v>3</v>
      </c>
      <c r="J2682">
        <v>55.844999999999999</v>
      </c>
      <c r="K2682">
        <v>2012</v>
      </c>
      <c r="L2682">
        <v>9</v>
      </c>
      <c r="M2682" t="s">
        <v>87</v>
      </c>
      <c r="N2682">
        <v>28</v>
      </c>
      <c r="O2682">
        <v>7</v>
      </c>
      <c r="P2682">
        <v>30</v>
      </c>
      <c r="Q2682">
        <v>62.05</v>
      </c>
      <c r="R2682" t="s">
        <v>26</v>
      </c>
      <c r="S2682" t="b">
        <v>0</v>
      </c>
      <c r="T2682" t="b">
        <v>0</v>
      </c>
    </row>
    <row r="2683" spans="1:20" x14ac:dyDescent="0.3">
      <c r="A2683" t="s">
        <v>3655</v>
      </c>
      <c r="B2683" s="1">
        <v>41180</v>
      </c>
      <c r="C2683" s="1">
        <v>41187</v>
      </c>
      <c r="D2683" t="s">
        <v>2489</v>
      </c>
      <c r="E2683" t="s">
        <v>22</v>
      </c>
      <c r="F2683" t="s">
        <v>33</v>
      </c>
      <c r="G2683" t="s">
        <v>1790</v>
      </c>
      <c r="H2683">
        <v>81.792000000000002</v>
      </c>
      <c r="I2683">
        <v>6</v>
      </c>
      <c r="J2683">
        <v>26.5824</v>
      </c>
      <c r="K2683">
        <v>2012</v>
      </c>
      <c r="L2683">
        <v>9</v>
      </c>
      <c r="M2683" t="s">
        <v>87</v>
      </c>
      <c r="N2683">
        <v>28</v>
      </c>
      <c r="O2683">
        <v>7</v>
      </c>
      <c r="P2683">
        <v>32.5</v>
      </c>
      <c r="Q2683">
        <v>13.632</v>
      </c>
      <c r="R2683" t="s">
        <v>26</v>
      </c>
      <c r="S2683" t="b">
        <v>0</v>
      </c>
      <c r="T2683" t="b">
        <v>0</v>
      </c>
    </row>
    <row r="2684" spans="1:20" x14ac:dyDescent="0.3">
      <c r="A2684" t="s">
        <v>3655</v>
      </c>
      <c r="B2684" s="1">
        <v>41180</v>
      </c>
      <c r="C2684" s="1">
        <v>41187</v>
      </c>
      <c r="D2684" t="s">
        <v>2489</v>
      </c>
      <c r="E2684" t="s">
        <v>22</v>
      </c>
      <c r="F2684" t="s">
        <v>122</v>
      </c>
      <c r="G2684" t="s">
        <v>3145</v>
      </c>
      <c r="H2684">
        <v>47.19</v>
      </c>
      <c r="I2684">
        <v>3</v>
      </c>
      <c r="J2684">
        <v>13.6851</v>
      </c>
      <c r="K2684">
        <v>2012</v>
      </c>
      <c r="L2684">
        <v>9</v>
      </c>
      <c r="M2684" t="s">
        <v>87</v>
      </c>
      <c r="N2684">
        <v>28</v>
      </c>
      <c r="O2684">
        <v>7</v>
      </c>
      <c r="P2684">
        <v>29</v>
      </c>
      <c r="Q2684">
        <v>15.73</v>
      </c>
      <c r="R2684" t="s">
        <v>26</v>
      </c>
      <c r="S2684" t="b">
        <v>0</v>
      </c>
      <c r="T2684" t="b">
        <v>0</v>
      </c>
    </row>
    <row r="2685" spans="1:20" x14ac:dyDescent="0.3">
      <c r="A2685" t="s">
        <v>3655</v>
      </c>
      <c r="B2685" s="1">
        <v>41180</v>
      </c>
      <c r="C2685" s="1">
        <v>41187</v>
      </c>
      <c r="D2685" t="s">
        <v>2489</v>
      </c>
      <c r="E2685" t="s">
        <v>22</v>
      </c>
      <c r="F2685" t="s">
        <v>54</v>
      </c>
      <c r="G2685" t="s">
        <v>358</v>
      </c>
      <c r="H2685">
        <v>36.783999999999999</v>
      </c>
      <c r="I2685">
        <v>2</v>
      </c>
      <c r="J2685">
        <v>-8.2764000000000006</v>
      </c>
      <c r="K2685">
        <v>2012</v>
      </c>
      <c r="L2685">
        <v>9</v>
      </c>
      <c r="M2685" t="s">
        <v>87</v>
      </c>
      <c r="N2685">
        <v>28</v>
      </c>
      <c r="O2685">
        <v>7</v>
      </c>
      <c r="P2685">
        <v>-22.5</v>
      </c>
      <c r="Q2685">
        <v>18.391999999999999</v>
      </c>
      <c r="R2685" t="s">
        <v>26</v>
      </c>
      <c r="S2685" t="b">
        <v>1</v>
      </c>
      <c r="T2685" t="b">
        <v>0</v>
      </c>
    </row>
    <row r="2686" spans="1:20" x14ac:dyDescent="0.3">
      <c r="A2686" t="s">
        <v>3657</v>
      </c>
      <c r="B2686" s="1">
        <v>40825</v>
      </c>
      <c r="C2686" s="1">
        <v>40830</v>
      </c>
      <c r="D2686" t="s">
        <v>1798</v>
      </c>
      <c r="E2686" t="s">
        <v>51</v>
      </c>
      <c r="F2686" t="s">
        <v>31</v>
      </c>
      <c r="G2686" t="s">
        <v>885</v>
      </c>
      <c r="H2686">
        <v>144.6</v>
      </c>
      <c r="I2686">
        <v>3</v>
      </c>
      <c r="J2686">
        <v>41.933999999999997</v>
      </c>
      <c r="K2686">
        <v>2011</v>
      </c>
      <c r="L2686">
        <v>10</v>
      </c>
      <c r="M2686" t="s">
        <v>82</v>
      </c>
      <c r="N2686">
        <v>9</v>
      </c>
      <c r="O2686">
        <v>5</v>
      </c>
      <c r="P2686">
        <v>29</v>
      </c>
      <c r="Q2686">
        <v>48.2</v>
      </c>
      <c r="R2686" t="s">
        <v>26</v>
      </c>
      <c r="S2686" t="b">
        <v>0</v>
      </c>
      <c r="T2686" t="b">
        <v>0</v>
      </c>
    </row>
    <row r="2687" spans="1:20" x14ac:dyDescent="0.3">
      <c r="A2687" t="s">
        <v>3657</v>
      </c>
      <c r="B2687" s="1">
        <v>40825</v>
      </c>
      <c r="C2687" s="1">
        <v>40830</v>
      </c>
      <c r="D2687" t="s">
        <v>1798</v>
      </c>
      <c r="E2687" t="s">
        <v>51</v>
      </c>
      <c r="F2687" t="s">
        <v>54</v>
      </c>
      <c r="G2687" t="s">
        <v>3308</v>
      </c>
      <c r="H2687">
        <v>15.992000000000001</v>
      </c>
      <c r="I2687">
        <v>1</v>
      </c>
      <c r="J2687">
        <v>-2.9984999999999999</v>
      </c>
      <c r="K2687">
        <v>2011</v>
      </c>
      <c r="L2687">
        <v>10</v>
      </c>
      <c r="M2687" t="s">
        <v>82</v>
      </c>
      <c r="N2687">
        <v>9</v>
      </c>
      <c r="O2687">
        <v>5</v>
      </c>
      <c r="P2687">
        <v>-18.75</v>
      </c>
      <c r="Q2687">
        <v>15.992000000000001</v>
      </c>
      <c r="R2687" t="s">
        <v>26</v>
      </c>
      <c r="S2687" t="b">
        <v>1</v>
      </c>
      <c r="T2687" t="b">
        <v>0</v>
      </c>
    </row>
    <row r="2688" spans="1:20" x14ac:dyDescent="0.3">
      <c r="A2688" t="s">
        <v>3658</v>
      </c>
      <c r="B2688" s="1">
        <v>40835</v>
      </c>
      <c r="C2688" s="1">
        <v>40840</v>
      </c>
      <c r="D2688" t="s">
        <v>1947</v>
      </c>
      <c r="E2688" t="s">
        <v>1959</v>
      </c>
      <c r="F2688" t="s">
        <v>54</v>
      </c>
      <c r="G2688" t="s">
        <v>974</v>
      </c>
      <c r="H2688">
        <v>321.55200000000002</v>
      </c>
      <c r="I2688">
        <v>6</v>
      </c>
      <c r="J2688">
        <v>20.097000000000001</v>
      </c>
      <c r="K2688">
        <v>2011</v>
      </c>
      <c r="L2688">
        <v>10</v>
      </c>
      <c r="M2688" t="s">
        <v>82</v>
      </c>
      <c r="N2688">
        <v>19</v>
      </c>
      <c r="O2688">
        <v>5</v>
      </c>
      <c r="P2688">
        <v>6.25</v>
      </c>
      <c r="Q2688">
        <v>53.592000000000013</v>
      </c>
      <c r="R2688" t="s">
        <v>26</v>
      </c>
      <c r="S2688" t="b">
        <v>0</v>
      </c>
      <c r="T2688" t="b">
        <v>1</v>
      </c>
    </row>
    <row r="2689" spans="1:20" x14ac:dyDescent="0.3">
      <c r="A2689" t="s">
        <v>3659</v>
      </c>
      <c r="B2689" s="1">
        <v>41598</v>
      </c>
      <c r="C2689" s="1">
        <v>41602</v>
      </c>
      <c r="D2689" t="s">
        <v>2708</v>
      </c>
      <c r="E2689" t="s">
        <v>39</v>
      </c>
      <c r="F2689" t="s">
        <v>29</v>
      </c>
      <c r="G2689" t="s">
        <v>365</v>
      </c>
      <c r="H2689">
        <v>31.96</v>
      </c>
      <c r="I2689">
        <v>2</v>
      </c>
      <c r="J2689">
        <v>1.5980000000000001</v>
      </c>
      <c r="K2689">
        <v>2013</v>
      </c>
      <c r="L2689">
        <v>11</v>
      </c>
      <c r="M2689" t="s">
        <v>70</v>
      </c>
      <c r="N2689">
        <v>20</v>
      </c>
      <c r="O2689">
        <v>4</v>
      </c>
      <c r="P2689">
        <v>5</v>
      </c>
      <c r="Q2689">
        <v>15.98</v>
      </c>
      <c r="R2689" t="s">
        <v>26</v>
      </c>
      <c r="S2689" t="b">
        <v>0</v>
      </c>
      <c r="T2689" t="b">
        <v>0</v>
      </c>
    </row>
    <row r="2690" spans="1:20" x14ac:dyDescent="0.3">
      <c r="A2690" t="s">
        <v>3660</v>
      </c>
      <c r="B2690" s="1">
        <v>40746</v>
      </c>
      <c r="C2690" s="1">
        <v>40752</v>
      </c>
      <c r="D2690" t="s">
        <v>1474</v>
      </c>
      <c r="E2690" t="s">
        <v>22</v>
      </c>
      <c r="F2690" t="s">
        <v>31</v>
      </c>
      <c r="G2690" t="s">
        <v>1866</v>
      </c>
      <c r="H2690">
        <v>19.68</v>
      </c>
      <c r="I2690">
        <v>6</v>
      </c>
      <c r="J2690">
        <v>6.4943999999999997</v>
      </c>
      <c r="K2690">
        <v>2011</v>
      </c>
      <c r="L2690">
        <v>7</v>
      </c>
      <c r="M2690" t="s">
        <v>66</v>
      </c>
      <c r="N2690">
        <v>22</v>
      </c>
      <c r="O2690">
        <v>6</v>
      </c>
      <c r="P2690">
        <v>33</v>
      </c>
      <c r="Q2690">
        <v>3.28</v>
      </c>
      <c r="R2690" t="s">
        <v>26</v>
      </c>
      <c r="S2690" t="b">
        <v>0</v>
      </c>
      <c r="T2690" t="b">
        <v>0</v>
      </c>
    </row>
    <row r="2691" spans="1:20" x14ac:dyDescent="0.3">
      <c r="A2691" t="s">
        <v>3661</v>
      </c>
      <c r="B2691" s="1">
        <v>41643</v>
      </c>
      <c r="C2691" s="1">
        <v>41647</v>
      </c>
      <c r="D2691" t="s">
        <v>3662</v>
      </c>
      <c r="E2691" t="s">
        <v>51</v>
      </c>
      <c r="F2691" t="s">
        <v>31</v>
      </c>
      <c r="G2691" t="s">
        <v>3182</v>
      </c>
      <c r="H2691">
        <v>9.1199999999999992</v>
      </c>
      <c r="I2691">
        <v>3</v>
      </c>
      <c r="J2691">
        <v>3.1008</v>
      </c>
      <c r="K2691">
        <v>2014</v>
      </c>
      <c r="L2691">
        <v>1</v>
      </c>
      <c r="M2691" t="s">
        <v>60</v>
      </c>
      <c r="N2691">
        <v>4</v>
      </c>
      <c r="O2691">
        <v>4</v>
      </c>
      <c r="P2691">
        <v>34</v>
      </c>
      <c r="Q2691">
        <v>3.04</v>
      </c>
      <c r="R2691" t="s">
        <v>26</v>
      </c>
      <c r="S2691" t="b">
        <v>0</v>
      </c>
      <c r="T2691" t="b">
        <v>0</v>
      </c>
    </row>
    <row r="2692" spans="1:20" x14ac:dyDescent="0.3">
      <c r="A2692" t="s">
        <v>3663</v>
      </c>
      <c r="B2692" s="1">
        <v>41407</v>
      </c>
      <c r="C2692" s="1">
        <v>41411</v>
      </c>
      <c r="D2692" t="s">
        <v>3664</v>
      </c>
      <c r="E2692" t="s">
        <v>442</v>
      </c>
      <c r="F2692" t="s">
        <v>61</v>
      </c>
      <c r="G2692" t="s">
        <v>3665</v>
      </c>
      <c r="H2692">
        <v>120</v>
      </c>
      <c r="I2692">
        <v>6</v>
      </c>
      <c r="J2692">
        <v>46.8</v>
      </c>
      <c r="K2692">
        <v>2013</v>
      </c>
      <c r="L2692">
        <v>5</v>
      </c>
      <c r="M2692" t="s">
        <v>47</v>
      </c>
      <c r="N2692">
        <v>13</v>
      </c>
      <c r="O2692">
        <v>4</v>
      </c>
      <c r="P2692">
        <v>39</v>
      </c>
      <c r="Q2692">
        <v>20</v>
      </c>
      <c r="R2692" t="s">
        <v>26</v>
      </c>
      <c r="S2692" t="b">
        <v>0</v>
      </c>
      <c r="T2692" t="b">
        <v>0</v>
      </c>
    </row>
    <row r="2693" spans="1:20" x14ac:dyDescent="0.3">
      <c r="A2693" t="s">
        <v>3663</v>
      </c>
      <c r="B2693" s="1">
        <v>41407</v>
      </c>
      <c r="C2693" s="1">
        <v>41411</v>
      </c>
      <c r="D2693" t="s">
        <v>3664</v>
      </c>
      <c r="E2693" t="s">
        <v>442</v>
      </c>
      <c r="F2693" t="s">
        <v>35</v>
      </c>
      <c r="G2693" t="s">
        <v>155</v>
      </c>
      <c r="H2693">
        <v>8.67</v>
      </c>
      <c r="I2693">
        <v>1</v>
      </c>
      <c r="J2693">
        <v>2.3409</v>
      </c>
      <c r="K2693">
        <v>2013</v>
      </c>
      <c r="L2693">
        <v>5</v>
      </c>
      <c r="M2693" t="s">
        <v>47</v>
      </c>
      <c r="N2693">
        <v>13</v>
      </c>
      <c r="O2693">
        <v>4</v>
      </c>
      <c r="P2693">
        <v>27</v>
      </c>
      <c r="Q2693">
        <v>8.67</v>
      </c>
      <c r="R2693" t="s">
        <v>26</v>
      </c>
      <c r="S2693" t="b">
        <v>0</v>
      </c>
      <c r="T2693" t="b">
        <v>0</v>
      </c>
    </row>
    <row r="2694" spans="1:20" x14ac:dyDescent="0.3">
      <c r="A2694" t="s">
        <v>3666</v>
      </c>
      <c r="B2694" s="1">
        <v>41233</v>
      </c>
      <c r="C2694" s="1">
        <v>41237</v>
      </c>
      <c r="D2694" t="s">
        <v>3667</v>
      </c>
      <c r="E2694" t="s">
        <v>51</v>
      </c>
      <c r="F2694" t="s">
        <v>29</v>
      </c>
      <c r="G2694" t="s">
        <v>3668</v>
      </c>
      <c r="H2694">
        <v>32.04</v>
      </c>
      <c r="I2694">
        <v>3</v>
      </c>
      <c r="J2694">
        <v>8.01</v>
      </c>
      <c r="K2694">
        <v>2012</v>
      </c>
      <c r="L2694">
        <v>11</v>
      </c>
      <c r="M2694" t="s">
        <v>70</v>
      </c>
      <c r="N2694">
        <v>20</v>
      </c>
      <c r="O2694">
        <v>4</v>
      </c>
      <c r="P2694">
        <v>25</v>
      </c>
      <c r="Q2694">
        <v>10.68</v>
      </c>
      <c r="R2694" t="s">
        <v>48</v>
      </c>
      <c r="S2694" t="b">
        <v>0</v>
      </c>
      <c r="T2694" t="b">
        <v>0</v>
      </c>
    </row>
    <row r="2695" spans="1:20" x14ac:dyDescent="0.3">
      <c r="A2695" t="s">
        <v>3669</v>
      </c>
      <c r="B2695" s="1">
        <v>41768</v>
      </c>
      <c r="C2695" s="1">
        <v>41772</v>
      </c>
      <c r="D2695" t="s">
        <v>976</v>
      </c>
      <c r="E2695" t="s">
        <v>51</v>
      </c>
      <c r="F2695" t="s">
        <v>35</v>
      </c>
      <c r="G2695" t="s">
        <v>1239</v>
      </c>
      <c r="H2695">
        <v>81.08</v>
      </c>
      <c r="I2695">
        <v>4</v>
      </c>
      <c r="J2695">
        <v>22.702400000000001</v>
      </c>
      <c r="K2695">
        <v>2014</v>
      </c>
      <c r="L2695">
        <v>5</v>
      </c>
      <c r="M2695" t="s">
        <v>47</v>
      </c>
      <c r="N2695">
        <v>9</v>
      </c>
      <c r="O2695">
        <v>4</v>
      </c>
      <c r="P2695">
        <v>28</v>
      </c>
      <c r="Q2695">
        <v>20.27</v>
      </c>
      <c r="R2695" t="s">
        <v>26</v>
      </c>
      <c r="S2695" t="b">
        <v>0</v>
      </c>
      <c r="T2695" t="b">
        <v>0</v>
      </c>
    </row>
    <row r="2696" spans="1:20" x14ac:dyDescent="0.3">
      <c r="A2696" t="s">
        <v>3670</v>
      </c>
      <c r="B2696" s="1">
        <v>41309</v>
      </c>
      <c r="C2696" s="1">
        <v>41314</v>
      </c>
      <c r="D2696" t="s">
        <v>840</v>
      </c>
      <c r="E2696" t="s">
        <v>22</v>
      </c>
      <c r="F2696" t="s">
        <v>45</v>
      </c>
      <c r="G2696" t="s">
        <v>1106</v>
      </c>
      <c r="H2696">
        <v>93.02</v>
      </c>
      <c r="I2696">
        <v>2</v>
      </c>
      <c r="J2696">
        <v>3.7208000000000001</v>
      </c>
      <c r="K2696">
        <v>2013</v>
      </c>
      <c r="L2696">
        <v>2</v>
      </c>
      <c r="M2696" t="s">
        <v>303</v>
      </c>
      <c r="N2696">
        <v>4</v>
      </c>
      <c r="O2696">
        <v>5</v>
      </c>
      <c r="P2696">
        <v>4</v>
      </c>
      <c r="Q2696">
        <v>46.51</v>
      </c>
      <c r="R2696" t="s">
        <v>26</v>
      </c>
      <c r="S2696" t="b">
        <v>0</v>
      </c>
      <c r="T2696" t="b">
        <v>0</v>
      </c>
    </row>
    <row r="2697" spans="1:20" x14ac:dyDescent="0.3">
      <c r="A2697" t="s">
        <v>3671</v>
      </c>
      <c r="B2697" s="1">
        <v>41979</v>
      </c>
      <c r="C2697" s="1">
        <v>41980</v>
      </c>
      <c r="D2697" t="s">
        <v>1230</v>
      </c>
      <c r="E2697" t="s">
        <v>39</v>
      </c>
      <c r="F2697" t="s">
        <v>33</v>
      </c>
      <c r="G2697" t="s">
        <v>2067</v>
      </c>
      <c r="H2697">
        <v>83.92</v>
      </c>
      <c r="I2697">
        <v>5</v>
      </c>
      <c r="J2697">
        <v>29.372</v>
      </c>
      <c r="K2697">
        <v>2014</v>
      </c>
      <c r="L2697">
        <v>12</v>
      </c>
      <c r="M2697" t="s">
        <v>41</v>
      </c>
      <c r="N2697">
        <v>6</v>
      </c>
      <c r="O2697">
        <v>1</v>
      </c>
      <c r="P2697">
        <v>35</v>
      </c>
      <c r="Q2697">
        <v>16.783999999999999</v>
      </c>
      <c r="R2697" t="s">
        <v>26</v>
      </c>
      <c r="S2697" t="b">
        <v>0</v>
      </c>
      <c r="T2697" t="b">
        <v>0</v>
      </c>
    </row>
    <row r="2698" spans="1:20" x14ac:dyDescent="0.3">
      <c r="A2698" t="s">
        <v>3671</v>
      </c>
      <c r="B2698" s="1">
        <v>41979</v>
      </c>
      <c r="C2698" s="1">
        <v>41980</v>
      </c>
      <c r="D2698" t="s">
        <v>1230</v>
      </c>
      <c r="E2698" t="s">
        <v>39</v>
      </c>
      <c r="F2698" t="s">
        <v>29</v>
      </c>
      <c r="G2698" t="s">
        <v>3672</v>
      </c>
      <c r="H2698">
        <v>199.9</v>
      </c>
      <c r="I2698">
        <v>5</v>
      </c>
      <c r="J2698">
        <v>39.979999999999997</v>
      </c>
      <c r="K2698">
        <v>2014</v>
      </c>
      <c r="L2698">
        <v>12</v>
      </c>
      <c r="M2698" t="s">
        <v>41</v>
      </c>
      <c r="N2698">
        <v>6</v>
      </c>
      <c r="O2698">
        <v>1</v>
      </c>
      <c r="P2698">
        <v>20</v>
      </c>
      <c r="Q2698">
        <v>39.979999999999997</v>
      </c>
      <c r="R2698" t="s">
        <v>26</v>
      </c>
      <c r="S2698" t="b">
        <v>0</v>
      </c>
      <c r="T2698" t="b">
        <v>0</v>
      </c>
    </row>
    <row r="2699" spans="1:20" x14ac:dyDescent="0.3">
      <c r="A2699" t="s">
        <v>3671</v>
      </c>
      <c r="B2699" s="1">
        <v>41979</v>
      </c>
      <c r="C2699" s="1">
        <v>41980</v>
      </c>
      <c r="D2699" t="s">
        <v>1230</v>
      </c>
      <c r="E2699" t="s">
        <v>39</v>
      </c>
      <c r="F2699" t="s">
        <v>54</v>
      </c>
      <c r="G2699" t="s">
        <v>2825</v>
      </c>
      <c r="H2699">
        <v>31.175999999999998</v>
      </c>
      <c r="I2699">
        <v>3</v>
      </c>
      <c r="J2699">
        <v>-7.0145999999999997</v>
      </c>
      <c r="K2699">
        <v>2014</v>
      </c>
      <c r="L2699">
        <v>12</v>
      </c>
      <c r="M2699" t="s">
        <v>41</v>
      </c>
      <c r="N2699">
        <v>6</v>
      </c>
      <c r="O2699">
        <v>1</v>
      </c>
      <c r="P2699">
        <v>-22.5</v>
      </c>
      <c r="Q2699">
        <v>10.391999999999999</v>
      </c>
      <c r="R2699" t="s">
        <v>26</v>
      </c>
      <c r="S2699" t="b">
        <v>1</v>
      </c>
      <c r="T2699" t="b">
        <v>0</v>
      </c>
    </row>
    <row r="2700" spans="1:20" x14ac:dyDescent="0.3">
      <c r="A2700" t="s">
        <v>3671</v>
      </c>
      <c r="B2700" s="1">
        <v>41979</v>
      </c>
      <c r="C2700" s="1">
        <v>41980</v>
      </c>
      <c r="D2700" t="s">
        <v>1230</v>
      </c>
      <c r="E2700" t="s">
        <v>39</v>
      </c>
      <c r="F2700" t="s">
        <v>33</v>
      </c>
      <c r="G2700" t="s">
        <v>1625</v>
      </c>
      <c r="H2700">
        <v>172.75200000000001</v>
      </c>
      <c r="I2700">
        <v>6</v>
      </c>
      <c r="J2700">
        <v>60.463200000000001</v>
      </c>
      <c r="K2700">
        <v>2014</v>
      </c>
      <c r="L2700">
        <v>12</v>
      </c>
      <c r="M2700" t="s">
        <v>41</v>
      </c>
      <c r="N2700">
        <v>6</v>
      </c>
      <c r="O2700">
        <v>1</v>
      </c>
      <c r="P2700">
        <v>35</v>
      </c>
      <c r="Q2700">
        <v>28.792000000000002</v>
      </c>
      <c r="R2700" t="s">
        <v>26</v>
      </c>
      <c r="S2700" t="b">
        <v>0</v>
      </c>
      <c r="T2700" t="b">
        <v>0</v>
      </c>
    </row>
    <row r="2701" spans="1:20" x14ac:dyDescent="0.3">
      <c r="A2701" t="s">
        <v>3671</v>
      </c>
      <c r="B2701" s="1">
        <v>41979</v>
      </c>
      <c r="C2701" s="1">
        <v>41980</v>
      </c>
      <c r="D2701" t="s">
        <v>1230</v>
      </c>
      <c r="E2701" t="s">
        <v>39</v>
      </c>
      <c r="F2701" t="s">
        <v>33</v>
      </c>
      <c r="G2701" t="s">
        <v>550</v>
      </c>
      <c r="H2701">
        <v>9.2959999999999994</v>
      </c>
      <c r="I2701">
        <v>2</v>
      </c>
      <c r="J2701">
        <v>3.0211999999999999</v>
      </c>
      <c r="K2701">
        <v>2014</v>
      </c>
      <c r="L2701">
        <v>12</v>
      </c>
      <c r="M2701" t="s">
        <v>41</v>
      </c>
      <c r="N2701">
        <v>6</v>
      </c>
      <c r="O2701">
        <v>1</v>
      </c>
      <c r="P2701">
        <v>32.5</v>
      </c>
      <c r="Q2701">
        <v>4.6479999999999997</v>
      </c>
      <c r="R2701" t="s">
        <v>26</v>
      </c>
      <c r="S2701" t="b">
        <v>0</v>
      </c>
      <c r="T2701" t="b">
        <v>0</v>
      </c>
    </row>
    <row r="2702" spans="1:20" x14ac:dyDescent="0.3">
      <c r="A2702" t="s">
        <v>3673</v>
      </c>
      <c r="B2702" s="1">
        <v>41829</v>
      </c>
      <c r="C2702" s="1">
        <v>41833</v>
      </c>
      <c r="D2702" t="s">
        <v>3674</v>
      </c>
      <c r="E2702" t="s">
        <v>39</v>
      </c>
      <c r="F2702" t="s">
        <v>72</v>
      </c>
      <c r="G2702" t="s">
        <v>155</v>
      </c>
      <c r="H2702">
        <v>52.76</v>
      </c>
      <c r="I2702">
        <v>2</v>
      </c>
      <c r="J2702">
        <v>24.269600000000001</v>
      </c>
      <c r="K2702">
        <v>2014</v>
      </c>
      <c r="L2702">
        <v>7</v>
      </c>
      <c r="M2702" t="s">
        <v>66</v>
      </c>
      <c r="N2702">
        <v>9</v>
      </c>
      <c r="O2702">
        <v>4</v>
      </c>
      <c r="P2702">
        <v>46</v>
      </c>
      <c r="Q2702">
        <v>26.38</v>
      </c>
      <c r="R2702" t="s">
        <v>48</v>
      </c>
      <c r="S2702" t="b">
        <v>0</v>
      </c>
      <c r="T2702" t="b">
        <v>0</v>
      </c>
    </row>
    <row r="2703" spans="1:20" x14ac:dyDescent="0.3">
      <c r="A2703" t="s">
        <v>3675</v>
      </c>
      <c r="B2703" s="1">
        <v>41543</v>
      </c>
      <c r="C2703" s="1">
        <v>41545</v>
      </c>
      <c r="D2703" t="s">
        <v>1638</v>
      </c>
      <c r="E2703" t="s">
        <v>51</v>
      </c>
      <c r="F2703" t="s">
        <v>317</v>
      </c>
      <c r="G2703" t="s">
        <v>3676</v>
      </c>
      <c r="H2703">
        <v>477.666</v>
      </c>
      <c r="I2703">
        <v>2</v>
      </c>
      <c r="J2703">
        <v>84.293999999999997</v>
      </c>
      <c r="K2703">
        <v>2013</v>
      </c>
      <c r="L2703">
        <v>9</v>
      </c>
      <c r="M2703" t="s">
        <v>87</v>
      </c>
      <c r="N2703">
        <v>26</v>
      </c>
      <c r="O2703">
        <v>2</v>
      </c>
      <c r="P2703">
        <v>17.649999999999999</v>
      </c>
      <c r="Q2703">
        <v>238.833</v>
      </c>
      <c r="R2703" t="s">
        <v>26</v>
      </c>
      <c r="S2703" t="b">
        <v>0</v>
      </c>
      <c r="T2703" t="b">
        <v>1</v>
      </c>
    </row>
    <row r="2704" spans="1:20" x14ac:dyDescent="0.3">
      <c r="A2704" t="s">
        <v>3677</v>
      </c>
      <c r="B2704" s="1">
        <v>41040</v>
      </c>
      <c r="C2704" s="1">
        <v>41045</v>
      </c>
      <c r="D2704" t="s">
        <v>3225</v>
      </c>
      <c r="E2704" t="s">
        <v>105</v>
      </c>
      <c r="F2704" t="s">
        <v>110</v>
      </c>
      <c r="G2704" t="s">
        <v>1919</v>
      </c>
      <c r="H2704">
        <v>191.96799999999999</v>
      </c>
      <c r="I2704">
        <v>7</v>
      </c>
      <c r="J2704">
        <v>16.7972</v>
      </c>
      <c r="K2704">
        <v>2012</v>
      </c>
      <c r="L2704">
        <v>5</v>
      </c>
      <c r="M2704" t="s">
        <v>47</v>
      </c>
      <c r="N2704">
        <v>11</v>
      </c>
      <c r="O2704">
        <v>5</v>
      </c>
      <c r="P2704">
        <v>8.75</v>
      </c>
      <c r="Q2704">
        <v>27.423999999999999</v>
      </c>
      <c r="R2704" t="s">
        <v>26</v>
      </c>
      <c r="S2704" t="b">
        <v>0</v>
      </c>
      <c r="T2704" t="b">
        <v>0</v>
      </c>
    </row>
    <row r="2705" spans="1:20" x14ac:dyDescent="0.3">
      <c r="A2705" t="s">
        <v>3678</v>
      </c>
      <c r="B2705" s="1">
        <v>41032</v>
      </c>
      <c r="C2705" s="1">
        <v>41035</v>
      </c>
      <c r="D2705" t="s">
        <v>2052</v>
      </c>
      <c r="E2705" t="s">
        <v>139</v>
      </c>
      <c r="F2705" t="s">
        <v>33</v>
      </c>
      <c r="G2705" t="s">
        <v>3679</v>
      </c>
      <c r="H2705">
        <v>13.848000000000001</v>
      </c>
      <c r="I2705">
        <v>3</v>
      </c>
      <c r="J2705">
        <v>5.1929999999999996</v>
      </c>
      <c r="K2705">
        <v>2012</v>
      </c>
      <c r="L2705">
        <v>5</v>
      </c>
      <c r="M2705" t="s">
        <v>47</v>
      </c>
      <c r="N2705">
        <v>3</v>
      </c>
      <c r="O2705">
        <v>3</v>
      </c>
      <c r="P2705">
        <v>37.5</v>
      </c>
      <c r="Q2705">
        <v>4.6160000000000014</v>
      </c>
      <c r="R2705" t="s">
        <v>26</v>
      </c>
      <c r="S2705" t="b">
        <v>0</v>
      </c>
      <c r="T2705" t="b">
        <v>0</v>
      </c>
    </row>
    <row r="2706" spans="1:20" x14ac:dyDescent="0.3">
      <c r="A2706" t="s">
        <v>3680</v>
      </c>
      <c r="B2706" s="1">
        <v>41540</v>
      </c>
      <c r="C2706" s="1">
        <v>41545</v>
      </c>
      <c r="D2706" t="s">
        <v>3400</v>
      </c>
      <c r="E2706" t="s">
        <v>1118</v>
      </c>
      <c r="F2706" t="s">
        <v>29</v>
      </c>
      <c r="G2706" t="s">
        <v>469</v>
      </c>
      <c r="H2706">
        <v>68.432000000000002</v>
      </c>
      <c r="I2706">
        <v>7</v>
      </c>
      <c r="J2706">
        <v>8.5540000000000003</v>
      </c>
      <c r="K2706">
        <v>2013</v>
      </c>
      <c r="L2706">
        <v>9</v>
      </c>
      <c r="M2706" t="s">
        <v>87</v>
      </c>
      <c r="N2706">
        <v>23</v>
      </c>
      <c r="O2706">
        <v>5</v>
      </c>
      <c r="P2706">
        <v>12.5</v>
      </c>
      <c r="Q2706">
        <v>9.7759999999999998</v>
      </c>
      <c r="R2706" t="s">
        <v>26</v>
      </c>
      <c r="S2706" t="b">
        <v>0</v>
      </c>
      <c r="T2706" t="b">
        <v>0</v>
      </c>
    </row>
    <row r="2707" spans="1:20" x14ac:dyDescent="0.3">
      <c r="A2707" t="s">
        <v>3681</v>
      </c>
      <c r="B2707" s="1">
        <v>41061</v>
      </c>
      <c r="C2707" s="1">
        <v>41068</v>
      </c>
      <c r="D2707" t="s">
        <v>3682</v>
      </c>
      <c r="E2707" t="s">
        <v>22</v>
      </c>
      <c r="F2707" t="s">
        <v>72</v>
      </c>
      <c r="G2707" t="s">
        <v>1706</v>
      </c>
      <c r="H2707">
        <v>11.76</v>
      </c>
      <c r="I2707">
        <v>2</v>
      </c>
      <c r="J2707">
        <v>5.7624000000000004</v>
      </c>
      <c r="K2707">
        <v>2012</v>
      </c>
      <c r="L2707">
        <v>6</v>
      </c>
      <c r="M2707" t="s">
        <v>25</v>
      </c>
      <c r="N2707">
        <v>1</v>
      </c>
      <c r="O2707">
        <v>7</v>
      </c>
      <c r="P2707">
        <v>49</v>
      </c>
      <c r="Q2707">
        <v>5.88</v>
      </c>
      <c r="R2707" t="s">
        <v>48</v>
      </c>
      <c r="S2707" t="b">
        <v>0</v>
      </c>
      <c r="T2707" t="b">
        <v>0</v>
      </c>
    </row>
    <row r="2708" spans="1:20" x14ac:dyDescent="0.3">
      <c r="A2708" t="s">
        <v>3683</v>
      </c>
      <c r="B2708" s="1">
        <v>41134</v>
      </c>
      <c r="C2708" s="1">
        <v>41134</v>
      </c>
      <c r="D2708" t="s">
        <v>3684</v>
      </c>
      <c r="E2708" t="s">
        <v>884</v>
      </c>
      <c r="F2708" t="s">
        <v>29</v>
      </c>
      <c r="G2708" t="s">
        <v>1075</v>
      </c>
      <c r="H2708">
        <v>31.56</v>
      </c>
      <c r="I2708">
        <v>3</v>
      </c>
      <c r="J2708">
        <v>10.4148</v>
      </c>
      <c r="K2708">
        <v>2012</v>
      </c>
      <c r="L2708">
        <v>8</v>
      </c>
      <c r="M2708" t="s">
        <v>53</v>
      </c>
      <c r="N2708">
        <v>13</v>
      </c>
      <c r="O2708">
        <v>0</v>
      </c>
      <c r="P2708">
        <v>33</v>
      </c>
      <c r="Q2708">
        <v>10.52</v>
      </c>
      <c r="R2708" t="s">
        <v>48</v>
      </c>
      <c r="S2708" t="b">
        <v>0</v>
      </c>
      <c r="T2708" t="b">
        <v>0</v>
      </c>
    </row>
    <row r="2709" spans="1:20" x14ac:dyDescent="0.3">
      <c r="A2709" t="s">
        <v>3685</v>
      </c>
      <c r="B2709" s="1">
        <v>41597</v>
      </c>
      <c r="C2709" s="1">
        <v>41597</v>
      </c>
      <c r="D2709" t="s">
        <v>3686</v>
      </c>
      <c r="E2709" t="s">
        <v>301</v>
      </c>
      <c r="F2709" t="s">
        <v>33</v>
      </c>
      <c r="G2709" t="s">
        <v>1346</v>
      </c>
      <c r="H2709">
        <v>61.12</v>
      </c>
      <c r="I2709">
        <v>5</v>
      </c>
      <c r="J2709">
        <v>22.155999999999999</v>
      </c>
      <c r="K2709">
        <v>2013</v>
      </c>
      <c r="L2709">
        <v>11</v>
      </c>
      <c r="M2709" t="s">
        <v>70</v>
      </c>
      <c r="N2709">
        <v>19</v>
      </c>
      <c r="O2709">
        <v>0</v>
      </c>
      <c r="P2709">
        <v>36.25</v>
      </c>
      <c r="Q2709">
        <v>12.224</v>
      </c>
      <c r="R2709" t="s">
        <v>48</v>
      </c>
      <c r="S2709" t="b">
        <v>0</v>
      </c>
      <c r="T2709" t="b">
        <v>0</v>
      </c>
    </row>
    <row r="2710" spans="1:20" x14ac:dyDescent="0.3">
      <c r="A2710" t="s">
        <v>3687</v>
      </c>
      <c r="B2710" s="1">
        <v>41664</v>
      </c>
      <c r="C2710" s="1">
        <v>41669</v>
      </c>
      <c r="D2710" t="s">
        <v>2690</v>
      </c>
      <c r="E2710" t="s">
        <v>139</v>
      </c>
      <c r="F2710" t="s">
        <v>35</v>
      </c>
      <c r="G2710" t="s">
        <v>1276</v>
      </c>
      <c r="H2710">
        <v>25.86</v>
      </c>
      <c r="I2710">
        <v>3</v>
      </c>
      <c r="J2710">
        <v>6.7236000000000002</v>
      </c>
      <c r="K2710">
        <v>2014</v>
      </c>
      <c r="L2710">
        <v>1</v>
      </c>
      <c r="M2710" t="s">
        <v>60</v>
      </c>
      <c r="N2710">
        <v>25</v>
      </c>
      <c r="O2710">
        <v>5</v>
      </c>
      <c r="P2710">
        <v>26</v>
      </c>
      <c r="Q2710">
        <v>8.6199999999999992</v>
      </c>
      <c r="R2710" t="s">
        <v>26</v>
      </c>
      <c r="S2710" t="b">
        <v>0</v>
      </c>
      <c r="T2710" t="b">
        <v>0</v>
      </c>
    </row>
    <row r="2711" spans="1:20" x14ac:dyDescent="0.3">
      <c r="A2711" t="s">
        <v>3687</v>
      </c>
      <c r="B2711" s="1">
        <v>41664</v>
      </c>
      <c r="C2711" s="1">
        <v>41669</v>
      </c>
      <c r="D2711" t="s">
        <v>2690</v>
      </c>
      <c r="E2711" t="s">
        <v>139</v>
      </c>
      <c r="F2711" t="s">
        <v>33</v>
      </c>
      <c r="G2711" t="s">
        <v>3562</v>
      </c>
      <c r="H2711">
        <v>276.78399999999999</v>
      </c>
      <c r="I2711">
        <v>2</v>
      </c>
      <c r="J2711">
        <v>89.954800000000006</v>
      </c>
      <c r="K2711">
        <v>2014</v>
      </c>
      <c r="L2711">
        <v>1</v>
      </c>
      <c r="M2711" t="s">
        <v>60</v>
      </c>
      <c r="N2711">
        <v>25</v>
      </c>
      <c r="O2711">
        <v>5</v>
      </c>
      <c r="P2711">
        <v>32.5</v>
      </c>
      <c r="Q2711">
        <v>138.392</v>
      </c>
      <c r="R2711" t="s">
        <v>26</v>
      </c>
      <c r="S2711" t="b">
        <v>0</v>
      </c>
      <c r="T2711" t="b">
        <v>1</v>
      </c>
    </row>
    <row r="2712" spans="1:20" x14ac:dyDescent="0.3">
      <c r="A2712" t="s">
        <v>3687</v>
      </c>
      <c r="B2712" s="1">
        <v>41664</v>
      </c>
      <c r="C2712" s="1">
        <v>41669</v>
      </c>
      <c r="D2712" t="s">
        <v>2690</v>
      </c>
      <c r="E2712" t="s">
        <v>139</v>
      </c>
      <c r="F2712" t="s">
        <v>54</v>
      </c>
      <c r="G2712" t="s">
        <v>2168</v>
      </c>
      <c r="H2712">
        <v>110.352</v>
      </c>
      <c r="I2712">
        <v>3</v>
      </c>
      <c r="J2712">
        <v>8.2764000000000006</v>
      </c>
      <c r="K2712">
        <v>2014</v>
      </c>
      <c r="L2712">
        <v>1</v>
      </c>
      <c r="M2712" t="s">
        <v>60</v>
      </c>
      <c r="N2712">
        <v>25</v>
      </c>
      <c r="O2712">
        <v>5</v>
      </c>
      <c r="P2712">
        <v>7.5</v>
      </c>
      <c r="Q2712">
        <v>36.783999999999999</v>
      </c>
      <c r="R2712" t="s">
        <v>26</v>
      </c>
      <c r="S2712" t="b">
        <v>0</v>
      </c>
      <c r="T2712" t="b">
        <v>0</v>
      </c>
    </row>
    <row r="2713" spans="1:20" x14ac:dyDescent="0.3">
      <c r="A2713" t="s">
        <v>3688</v>
      </c>
      <c r="B2713" s="1">
        <v>41171</v>
      </c>
      <c r="C2713" s="1">
        <v>41175</v>
      </c>
      <c r="D2713" t="s">
        <v>2858</v>
      </c>
      <c r="E2713" t="s">
        <v>1331</v>
      </c>
      <c r="F2713" t="s">
        <v>29</v>
      </c>
      <c r="G2713" t="s">
        <v>3689</v>
      </c>
      <c r="H2713">
        <v>60.84</v>
      </c>
      <c r="I2713">
        <v>3</v>
      </c>
      <c r="J2713">
        <v>19.468800000000002</v>
      </c>
      <c r="K2713">
        <v>2012</v>
      </c>
      <c r="L2713">
        <v>9</v>
      </c>
      <c r="M2713" t="s">
        <v>87</v>
      </c>
      <c r="N2713">
        <v>19</v>
      </c>
      <c r="O2713">
        <v>4</v>
      </c>
      <c r="P2713">
        <v>32</v>
      </c>
      <c r="Q2713">
        <v>20.28</v>
      </c>
      <c r="R2713" t="s">
        <v>26</v>
      </c>
      <c r="S2713" t="b">
        <v>0</v>
      </c>
      <c r="T2713" t="b">
        <v>0</v>
      </c>
    </row>
    <row r="2714" spans="1:20" x14ac:dyDescent="0.3">
      <c r="A2714" t="s">
        <v>3690</v>
      </c>
      <c r="B2714" s="1">
        <v>41013</v>
      </c>
      <c r="C2714" s="1">
        <v>41017</v>
      </c>
      <c r="D2714" t="s">
        <v>3691</v>
      </c>
      <c r="E2714" t="s">
        <v>1088</v>
      </c>
      <c r="F2714" t="s">
        <v>35</v>
      </c>
      <c r="G2714" t="s">
        <v>1339</v>
      </c>
      <c r="H2714">
        <v>35.207999999999998</v>
      </c>
      <c r="I2714">
        <v>1</v>
      </c>
      <c r="J2714">
        <v>2.6406000000000001</v>
      </c>
      <c r="K2714">
        <v>2012</v>
      </c>
      <c r="L2714">
        <v>4</v>
      </c>
      <c r="M2714" t="s">
        <v>236</v>
      </c>
      <c r="N2714">
        <v>14</v>
      </c>
      <c r="O2714">
        <v>4</v>
      </c>
      <c r="P2714">
        <v>7.5</v>
      </c>
      <c r="Q2714">
        <v>35.207999999999998</v>
      </c>
      <c r="R2714" t="s">
        <v>48</v>
      </c>
      <c r="S2714" t="b">
        <v>0</v>
      </c>
      <c r="T2714" t="b">
        <v>0</v>
      </c>
    </row>
    <row r="2715" spans="1:20" x14ac:dyDescent="0.3">
      <c r="A2715" t="s">
        <v>3692</v>
      </c>
      <c r="B2715" s="1">
        <v>41411</v>
      </c>
      <c r="C2715" s="1">
        <v>41414</v>
      </c>
      <c r="D2715" t="s">
        <v>300</v>
      </c>
      <c r="E2715" t="s">
        <v>22</v>
      </c>
      <c r="F2715" t="s">
        <v>29</v>
      </c>
      <c r="G2715" t="s">
        <v>3693</v>
      </c>
      <c r="H2715">
        <v>282.83999999999997</v>
      </c>
      <c r="I2715">
        <v>4</v>
      </c>
      <c r="J2715">
        <v>19.7988</v>
      </c>
      <c r="K2715">
        <v>2013</v>
      </c>
      <c r="L2715">
        <v>5</v>
      </c>
      <c r="M2715" t="s">
        <v>47</v>
      </c>
      <c r="N2715">
        <v>17</v>
      </c>
      <c r="O2715">
        <v>3</v>
      </c>
      <c r="P2715">
        <v>7</v>
      </c>
      <c r="Q2715">
        <v>70.709999999999994</v>
      </c>
      <c r="R2715" t="s">
        <v>26</v>
      </c>
      <c r="S2715" t="b">
        <v>0</v>
      </c>
      <c r="T2715" t="b">
        <v>1</v>
      </c>
    </row>
    <row r="2716" spans="1:20" x14ac:dyDescent="0.3">
      <c r="A2716" t="s">
        <v>3692</v>
      </c>
      <c r="B2716" s="1">
        <v>41411</v>
      </c>
      <c r="C2716" s="1">
        <v>41414</v>
      </c>
      <c r="D2716" t="s">
        <v>300</v>
      </c>
      <c r="E2716" t="s">
        <v>22</v>
      </c>
      <c r="F2716" t="s">
        <v>23</v>
      </c>
      <c r="G2716" t="s">
        <v>3652</v>
      </c>
      <c r="H2716">
        <v>27.72</v>
      </c>
      <c r="I2716">
        <v>9</v>
      </c>
      <c r="J2716">
        <v>13.3056</v>
      </c>
      <c r="K2716">
        <v>2013</v>
      </c>
      <c r="L2716">
        <v>5</v>
      </c>
      <c r="M2716" t="s">
        <v>47</v>
      </c>
      <c r="N2716">
        <v>17</v>
      </c>
      <c r="O2716">
        <v>3</v>
      </c>
      <c r="P2716">
        <v>48</v>
      </c>
      <c r="Q2716">
        <v>3.08</v>
      </c>
      <c r="R2716" t="s">
        <v>26</v>
      </c>
      <c r="S2716" t="b">
        <v>0</v>
      </c>
      <c r="T2716" t="b">
        <v>0</v>
      </c>
    </row>
    <row r="2717" spans="1:20" x14ac:dyDescent="0.3">
      <c r="A2717" t="s">
        <v>3694</v>
      </c>
      <c r="B2717" s="1">
        <v>41536</v>
      </c>
      <c r="C2717" s="1">
        <v>41540</v>
      </c>
      <c r="D2717" t="s">
        <v>1811</v>
      </c>
      <c r="E2717" t="s">
        <v>1689</v>
      </c>
      <c r="F2717" t="s">
        <v>54</v>
      </c>
      <c r="G2717" t="s">
        <v>1684</v>
      </c>
      <c r="H2717">
        <v>239.98400000000001</v>
      </c>
      <c r="I2717">
        <v>2</v>
      </c>
      <c r="J2717">
        <v>23.9984</v>
      </c>
      <c r="K2717">
        <v>2013</v>
      </c>
      <c r="L2717">
        <v>9</v>
      </c>
      <c r="M2717" t="s">
        <v>87</v>
      </c>
      <c r="N2717">
        <v>19</v>
      </c>
      <c r="O2717">
        <v>4</v>
      </c>
      <c r="P2717">
        <v>10</v>
      </c>
      <c r="Q2717">
        <v>119.992</v>
      </c>
      <c r="R2717" t="s">
        <v>26</v>
      </c>
      <c r="S2717" t="b">
        <v>0</v>
      </c>
      <c r="T2717" t="b">
        <v>1</v>
      </c>
    </row>
    <row r="2718" spans="1:20" x14ac:dyDescent="0.3">
      <c r="A2718" t="s">
        <v>3695</v>
      </c>
      <c r="B2718" s="1">
        <v>40858</v>
      </c>
      <c r="C2718" s="1">
        <v>40860</v>
      </c>
      <c r="D2718" t="s">
        <v>168</v>
      </c>
      <c r="E2718" t="s">
        <v>39</v>
      </c>
      <c r="F2718" t="s">
        <v>35</v>
      </c>
      <c r="G2718" t="s">
        <v>36</v>
      </c>
      <c r="H2718">
        <v>22.98</v>
      </c>
      <c r="I2718">
        <v>1</v>
      </c>
      <c r="J2718">
        <v>6.8940000000000001</v>
      </c>
      <c r="K2718">
        <v>2011</v>
      </c>
      <c r="L2718">
        <v>11</v>
      </c>
      <c r="M2718" t="s">
        <v>70</v>
      </c>
      <c r="N2718">
        <v>11</v>
      </c>
      <c r="O2718">
        <v>2</v>
      </c>
      <c r="P2718">
        <v>30</v>
      </c>
      <c r="Q2718">
        <v>22.98</v>
      </c>
      <c r="R2718" t="s">
        <v>26</v>
      </c>
      <c r="S2718" t="b">
        <v>0</v>
      </c>
      <c r="T2718" t="b">
        <v>0</v>
      </c>
    </row>
    <row r="2719" spans="1:20" x14ac:dyDescent="0.3">
      <c r="A2719" t="s">
        <v>3695</v>
      </c>
      <c r="B2719" s="1">
        <v>40858</v>
      </c>
      <c r="C2719" s="1">
        <v>40860</v>
      </c>
      <c r="D2719" t="s">
        <v>168</v>
      </c>
      <c r="E2719" t="s">
        <v>39</v>
      </c>
      <c r="F2719" t="s">
        <v>61</v>
      </c>
      <c r="G2719" t="s">
        <v>3217</v>
      </c>
      <c r="H2719">
        <v>102.13</v>
      </c>
      <c r="I2719">
        <v>7</v>
      </c>
      <c r="J2719">
        <v>15.3195</v>
      </c>
      <c r="K2719">
        <v>2011</v>
      </c>
      <c r="L2719">
        <v>11</v>
      </c>
      <c r="M2719" t="s">
        <v>70</v>
      </c>
      <c r="N2719">
        <v>11</v>
      </c>
      <c r="O2719">
        <v>2</v>
      </c>
      <c r="P2719">
        <v>15</v>
      </c>
      <c r="Q2719">
        <v>14.59</v>
      </c>
      <c r="R2719" t="s">
        <v>26</v>
      </c>
      <c r="S2719" t="b">
        <v>0</v>
      </c>
      <c r="T2719" t="b">
        <v>0</v>
      </c>
    </row>
    <row r="2720" spans="1:20" x14ac:dyDescent="0.3">
      <c r="A2720" t="s">
        <v>3696</v>
      </c>
      <c r="B2720" s="1">
        <v>41509</v>
      </c>
      <c r="C2720" s="1">
        <v>41516</v>
      </c>
      <c r="D2720" t="s">
        <v>3268</v>
      </c>
      <c r="E2720" t="s">
        <v>22</v>
      </c>
      <c r="F2720" t="s">
        <v>31</v>
      </c>
      <c r="G2720" t="s">
        <v>678</v>
      </c>
      <c r="H2720">
        <v>5.76</v>
      </c>
      <c r="I2720">
        <v>2</v>
      </c>
      <c r="J2720">
        <v>1.6704000000000001</v>
      </c>
      <c r="K2720">
        <v>2013</v>
      </c>
      <c r="L2720">
        <v>8</v>
      </c>
      <c r="M2720" t="s">
        <v>53</v>
      </c>
      <c r="N2720">
        <v>23</v>
      </c>
      <c r="O2720">
        <v>7</v>
      </c>
      <c r="P2720">
        <v>29</v>
      </c>
      <c r="Q2720">
        <v>2.88</v>
      </c>
      <c r="R2720" t="s">
        <v>26</v>
      </c>
      <c r="S2720" t="b">
        <v>0</v>
      </c>
      <c r="T2720" t="b">
        <v>0</v>
      </c>
    </row>
    <row r="2721" spans="1:20" x14ac:dyDescent="0.3">
      <c r="A2721" t="s">
        <v>3697</v>
      </c>
      <c r="B2721" s="1">
        <v>40865</v>
      </c>
      <c r="C2721" s="1">
        <v>40872</v>
      </c>
      <c r="D2721" t="s">
        <v>485</v>
      </c>
      <c r="E2721" t="s">
        <v>39</v>
      </c>
      <c r="F2721" t="s">
        <v>29</v>
      </c>
      <c r="G2721" t="s">
        <v>3698</v>
      </c>
      <c r="H2721">
        <v>137.54</v>
      </c>
      <c r="I2721">
        <v>2</v>
      </c>
      <c r="J2721">
        <v>55.015999999999998</v>
      </c>
      <c r="K2721">
        <v>2011</v>
      </c>
      <c r="L2721">
        <v>11</v>
      </c>
      <c r="M2721" t="s">
        <v>70</v>
      </c>
      <c r="N2721">
        <v>18</v>
      </c>
      <c r="O2721">
        <v>7</v>
      </c>
      <c r="P2721">
        <v>40</v>
      </c>
      <c r="Q2721">
        <v>68.77</v>
      </c>
      <c r="R2721" t="s">
        <v>26</v>
      </c>
      <c r="S2721" t="b">
        <v>0</v>
      </c>
      <c r="T2721" t="b">
        <v>0</v>
      </c>
    </row>
    <row r="2722" spans="1:20" x14ac:dyDescent="0.3">
      <c r="A2722" t="s">
        <v>3699</v>
      </c>
      <c r="B2722" s="1">
        <v>41956</v>
      </c>
      <c r="C2722" s="1">
        <v>41959</v>
      </c>
      <c r="D2722" t="s">
        <v>1561</v>
      </c>
      <c r="E2722" t="s">
        <v>22</v>
      </c>
      <c r="F2722" t="s">
        <v>72</v>
      </c>
      <c r="G2722" t="s">
        <v>3281</v>
      </c>
      <c r="H2722">
        <v>11.56</v>
      </c>
      <c r="I2722">
        <v>2</v>
      </c>
      <c r="J2722">
        <v>5.6643999999999997</v>
      </c>
      <c r="K2722">
        <v>2014</v>
      </c>
      <c r="L2722">
        <v>11</v>
      </c>
      <c r="M2722" t="s">
        <v>70</v>
      </c>
      <c r="N2722">
        <v>13</v>
      </c>
      <c r="O2722">
        <v>3</v>
      </c>
      <c r="P2722">
        <v>49</v>
      </c>
      <c r="Q2722">
        <v>5.78</v>
      </c>
      <c r="R2722" t="s">
        <v>26</v>
      </c>
      <c r="S2722" t="b">
        <v>0</v>
      </c>
      <c r="T2722" t="b">
        <v>0</v>
      </c>
    </row>
    <row r="2723" spans="1:20" x14ac:dyDescent="0.3">
      <c r="A2723" t="s">
        <v>3700</v>
      </c>
      <c r="B2723" s="1">
        <v>40609</v>
      </c>
      <c r="C2723" s="1">
        <v>40614</v>
      </c>
      <c r="D2723" t="s">
        <v>3701</v>
      </c>
      <c r="E2723" t="s">
        <v>39</v>
      </c>
      <c r="F2723" t="s">
        <v>31</v>
      </c>
      <c r="G2723" t="s">
        <v>2180</v>
      </c>
      <c r="H2723">
        <v>20.65</v>
      </c>
      <c r="I2723">
        <v>5</v>
      </c>
      <c r="J2723">
        <v>9.4990000000000006</v>
      </c>
      <c r="K2723">
        <v>2011</v>
      </c>
      <c r="L2723">
        <v>3</v>
      </c>
      <c r="M2723" t="s">
        <v>135</v>
      </c>
      <c r="N2723">
        <v>7</v>
      </c>
      <c r="O2723">
        <v>5</v>
      </c>
      <c r="P2723">
        <v>46</v>
      </c>
      <c r="Q2723">
        <v>4.13</v>
      </c>
      <c r="R2723" t="s">
        <v>26</v>
      </c>
      <c r="S2723" t="b">
        <v>0</v>
      </c>
      <c r="T2723" t="b">
        <v>0</v>
      </c>
    </row>
    <row r="2724" spans="1:20" x14ac:dyDescent="0.3">
      <c r="A2724" t="s">
        <v>3700</v>
      </c>
      <c r="B2724" s="1">
        <v>40609</v>
      </c>
      <c r="C2724" s="1">
        <v>40614</v>
      </c>
      <c r="D2724" t="s">
        <v>3701</v>
      </c>
      <c r="E2724" t="s">
        <v>39</v>
      </c>
      <c r="F2724" t="s">
        <v>45</v>
      </c>
      <c r="G2724" t="s">
        <v>3279</v>
      </c>
      <c r="H2724">
        <v>204.9</v>
      </c>
      <c r="I2724">
        <v>5</v>
      </c>
      <c r="J2724">
        <v>0</v>
      </c>
      <c r="K2724">
        <v>2011</v>
      </c>
      <c r="L2724">
        <v>3</v>
      </c>
      <c r="M2724" t="s">
        <v>135</v>
      </c>
      <c r="N2724">
        <v>7</v>
      </c>
      <c r="O2724">
        <v>5</v>
      </c>
      <c r="P2724">
        <v>0</v>
      </c>
      <c r="Q2724">
        <v>40.98</v>
      </c>
      <c r="R2724" t="s">
        <v>26</v>
      </c>
      <c r="S2724" t="b">
        <v>0</v>
      </c>
      <c r="T2724" t="b">
        <v>0</v>
      </c>
    </row>
    <row r="2725" spans="1:20" x14ac:dyDescent="0.3">
      <c r="A2725" t="s">
        <v>3700</v>
      </c>
      <c r="B2725" s="1">
        <v>40609</v>
      </c>
      <c r="C2725" s="1">
        <v>40614</v>
      </c>
      <c r="D2725" t="s">
        <v>3701</v>
      </c>
      <c r="E2725" t="s">
        <v>39</v>
      </c>
      <c r="F2725" t="s">
        <v>110</v>
      </c>
      <c r="G2725" t="s">
        <v>3702</v>
      </c>
      <c r="H2725">
        <v>436.70400000000001</v>
      </c>
      <c r="I2725">
        <v>6</v>
      </c>
      <c r="J2725">
        <v>21.8352</v>
      </c>
      <c r="K2725">
        <v>2011</v>
      </c>
      <c r="L2725">
        <v>3</v>
      </c>
      <c r="M2725" t="s">
        <v>135</v>
      </c>
      <c r="N2725">
        <v>7</v>
      </c>
      <c r="O2725">
        <v>5</v>
      </c>
      <c r="P2725">
        <v>5</v>
      </c>
      <c r="Q2725">
        <v>72.784000000000006</v>
      </c>
      <c r="R2725" t="s">
        <v>26</v>
      </c>
      <c r="S2725" t="b">
        <v>0</v>
      </c>
      <c r="T2725" t="b">
        <v>1</v>
      </c>
    </row>
    <row r="2726" spans="1:20" x14ac:dyDescent="0.3">
      <c r="A2726" t="s">
        <v>3700</v>
      </c>
      <c r="B2726" s="1">
        <v>40609</v>
      </c>
      <c r="C2726" s="1">
        <v>40614</v>
      </c>
      <c r="D2726" t="s">
        <v>3701</v>
      </c>
      <c r="E2726" t="s">
        <v>39</v>
      </c>
      <c r="F2726" t="s">
        <v>110</v>
      </c>
      <c r="G2726" t="s">
        <v>1918</v>
      </c>
      <c r="H2726">
        <v>481.56799999999998</v>
      </c>
      <c r="I2726">
        <v>2</v>
      </c>
      <c r="J2726">
        <v>54.176400000000001</v>
      </c>
      <c r="K2726">
        <v>2011</v>
      </c>
      <c r="L2726">
        <v>3</v>
      </c>
      <c r="M2726" t="s">
        <v>135</v>
      </c>
      <c r="N2726">
        <v>7</v>
      </c>
      <c r="O2726">
        <v>5</v>
      </c>
      <c r="P2726">
        <v>11.25</v>
      </c>
      <c r="Q2726">
        <v>240.78399999999999</v>
      </c>
      <c r="R2726" t="s">
        <v>26</v>
      </c>
      <c r="S2726" t="b">
        <v>0</v>
      </c>
      <c r="T2726" t="b">
        <v>1</v>
      </c>
    </row>
    <row r="2727" spans="1:20" x14ac:dyDescent="0.3">
      <c r="A2727" t="s">
        <v>3703</v>
      </c>
      <c r="B2727" s="1">
        <v>41799</v>
      </c>
      <c r="C2727" s="1">
        <v>41804</v>
      </c>
      <c r="D2727" t="s">
        <v>3492</v>
      </c>
      <c r="E2727" t="s">
        <v>849</v>
      </c>
      <c r="F2727" t="s">
        <v>61</v>
      </c>
      <c r="G2727" t="s">
        <v>2872</v>
      </c>
      <c r="H2727">
        <v>89.543999999999997</v>
      </c>
      <c r="I2727">
        <v>7</v>
      </c>
      <c r="J2727">
        <v>12.3123</v>
      </c>
      <c r="K2727">
        <v>2014</v>
      </c>
      <c r="L2727">
        <v>6</v>
      </c>
      <c r="M2727" t="s">
        <v>25</v>
      </c>
      <c r="N2727">
        <v>9</v>
      </c>
      <c r="O2727">
        <v>5</v>
      </c>
      <c r="P2727">
        <v>13.75</v>
      </c>
      <c r="Q2727">
        <v>12.792</v>
      </c>
      <c r="R2727" t="s">
        <v>26</v>
      </c>
      <c r="S2727" t="b">
        <v>0</v>
      </c>
      <c r="T2727" t="b">
        <v>0</v>
      </c>
    </row>
    <row r="2728" spans="1:20" x14ac:dyDescent="0.3">
      <c r="A2728" t="s">
        <v>3703</v>
      </c>
      <c r="B2728" s="1">
        <v>41799</v>
      </c>
      <c r="C2728" s="1">
        <v>41804</v>
      </c>
      <c r="D2728" t="s">
        <v>3492</v>
      </c>
      <c r="E2728" t="s">
        <v>849</v>
      </c>
      <c r="F2728" t="s">
        <v>45</v>
      </c>
      <c r="G2728" t="s">
        <v>2787</v>
      </c>
      <c r="H2728">
        <v>35.167999999999999</v>
      </c>
      <c r="I2728">
        <v>2</v>
      </c>
      <c r="J2728">
        <v>-8.3523999999999994</v>
      </c>
      <c r="K2728">
        <v>2014</v>
      </c>
      <c r="L2728">
        <v>6</v>
      </c>
      <c r="M2728" t="s">
        <v>25</v>
      </c>
      <c r="N2728">
        <v>9</v>
      </c>
      <c r="O2728">
        <v>5</v>
      </c>
      <c r="P2728">
        <v>-23.75</v>
      </c>
      <c r="Q2728">
        <v>17.584</v>
      </c>
      <c r="R2728" t="s">
        <v>26</v>
      </c>
      <c r="S2728" t="b">
        <v>1</v>
      </c>
      <c r="T2728" t="b">
        <v>0</v>
      </c>
    </row>
    <row r="2729" spans="1:20" x14ac:dyDescent="0.3">
      <c r="A2729" t="s">
        <v>3703</v>
      </c>
      <c r="B2729" s="1">
        <v>41799</v>
      </c>
      <c r="C2729" s="1">
        <v>41804</v>
      </c>
      <c r="D2729" t="s">
        <v>3492</v>
      </c>
      <c r="E2729" t="s">
        <v>849</v>
      </c>
      <c r="F2729" t="s">
        <v>33</v>
      </c>
      <c r="G2729" t="s">
        <v>823</v>
      </c>
      <c r="H2729">
        <v>72.587999999999994</v>
      </c>
      <c r="I2729">
        <v>2</v>
      </c>
      <c r="J2729">
        <v>-48.392000000000003</v>
      </c>
      <c r="K2729">
        <v>2014</v>
      </c>
      <c r="L2729">
        <v>6</v>
      </c>
      <c r="M2729" t="s">
        <v>25</v>
      </c>
      <c r="N2729">
        <v>9</v>
      </c>
      <c r="O2729">
        <v>5</v>
      </c>
      <c r="P2729">
        <v>-66.67</v>
      </c>
      <c r="Q2729">
        <v>36.293999999999997</v>
      </c>
      <c r="R2729" t="s">
        <v>26</v>
      </c>
      <c r="S2729" t="b">
        <v>1</v>
      </c>
      <c r="T2729" t="b">
        <v>0</v>
      </c>
    </row>
    <row r="2730" spans="1:20" x14ac:dyDescent="0.3">
      <c r="A2730" t="s">
        <v>3704</v>
      </c>
      <c r="B2730" s="1">
        <v>41605</v>
      </c>
      <c r="C2730" s="1">
        <v>41609</v>
      </c>
      <c r="D2730" t="s">
        <v>1180</v>
      </c>
      <c r="E2730" t="s">
        <v>22</v>
      </c>
      <c r="F2730" t="s">
        <v>31</v>
      </c>
      <c r="G2730" t="s">
        <v>1848</v>
      </c>
      <c r="H2730">
        <v>37.17</v>
      </c>
      <c r="I2730">
        <v>9</v>
      </c>
      <c r="J2730">
        <v>10.4076</v>
      </c>
      <c r="K2730">
        <v>2013</v>
      </c>
      <c r="L2730">
        <v>11</v>
      </c>
      <c r="M2730" t="s">
        <v>70</v>
      </c>
      <c r="N2730">
        <v>27</v>
      </c>
      <c r="O2730">
        <v>4</v>
      </c>
      <c r="P2730">
        <v>28</v>
      </c>
      <c r="Q2730">
        <v>4.13</v>
      </c>
      <c r="R2730" t="s">
        <v>26</v>
      </c>
      <c r="S2730" t="b">
        <v>0</v>
      </c>
      <c r="T2730" t="b">
        <v>0</v>
      </c>
    </row>
    <row r="2731" spans="1:20" x14ac:dyDescent="0.3">
      <c r="A2731" t="s">
        <v>3704</v>
      </c>
      <c r="B2731" s="1">
        <v>41605</v>
      </c>
      <c r="C2731" s="1">
        <v>41609</v>
      </c>
      <c r="D2731" t="s">
        <v>1180</v>
      </c>
      <c r="E2731" t="s">
        <v>22</v>
      </c>
      <c r="F2731" t="s">
        <v>35</v>
      </c>
      <c r="G2731" t="s">
        <v>2364</v>
      </c>
      <c r="H2731">
        <v>64.959999999999994</v>
      </c>
      <c r="I2731">
        <v>2</v>
      </c>
      <c r="J2731">
        <v>19.488</v>
      </c>
      <c r="K2731">
        <v>2013</v>
      </c>
      <c r="L2731">
        <v>11</v>
      </c>
      <c r="M2731" t="s">
        <v>70</v>
      </c>
      <c r="N2731">
        <v>27</v>
      </c>
      <c r="O2731">
        <v>4</v>
      </c>
      <c r="P2731">
        <v>30</v>
      </c>
      <c r="Q2731">
        <v>32.479999999999997</v>
      </c>
      <c r="R2731" t="s">
        <v>26</v>
      </c>
      <c r="S2731" t="b">
        <v>0</v>
      </c>
      <c r="T2731" t="b">
        <v>0</v>
      </c>
    </row>
    <row r="2732" spans="1:20" x14ac:dyDescent="0.3">
      <c r="A2732" t="s">
        <v>3705</v>
      </c>
      <c r="B2732" s="1">
        <v>41663</v>
      </c>
      <c r="C2732" s="1">
        <v>41667</v>
      </c>
      <c r="D2732" t="s">
        <v>778</v>
      </c>
      <c r="E2732" t="s">
        <v>257</v>
      </c>
      <c r="F2732" t="s">
        <v>61</v>
      </c>
      <c r="G2732" t="s">
        <v>3108</v>
      </c>
      <c r="H2732">
        <v>95.983999999999995</v>
      </c>
      <c r="I2732">
        <v>2</v>
      </c>
      <c r="J2732">
        <v>11.997999999999999</v>
      </c>
      <c r="K2732">
        <v>2014</v>
      </c>
      <c r="L2732">
        <v>1</v>
      </c>
      <c r="M2732" t="s">
        <v>60</v>
      </c>
      <c r="N2732">
        <v>24</v>
      </c>
      <c r="O2732">
        <v>4</v>
      </c>
      <c r="P2732">
        <v>12.5</v>
      </c>
      <c r="Q2732">
        <v>47.991999999999997</v>
      </c>
      <c r="R2732" t="s">
        <v>26</v>
      </c>
      <c r="S2732" t="b">
        <v>0</v>
      </c>
      <c r="T2732" t="b">
        <v>0</v>
      </c>
    </row>
    <row r="2733" spans="1:20" x14ac:dyDescent="0.3">
      <c r="A2733" t="s">
        <v>3705</v>
      </c>
      <c r="B2733" s="1">
        <v>41663</v>
      </c>
      <c r="C2733" s="1">
        <v>41667</v>
      </c>
      <c r="D2733" t="s">
        <v>778</v>
      </c>
      <c r="E2733" t="s">
        <v>257</v>
      </c>
      <c r="F2733" t="s">
        <v>33</v>
      </c>
      <c r="G2733" t="s">
        <v>1228</v>
      </c>
      <c r="H2733">
        <v>4.9379999999999997</v>
      </c>
      <c r="I2733">
        <v>2</v>
      </c>
      <c r="J2733">
        <v>-3.6212</v>
      </c>
      <c r="K2733">
        <v>2014</v>
      </c>
      <c r="L2733">
        <v>1</v>
      </c>
      <c r="M2733" t="s">
        <v>60</v>
      </c>
      <c r="N2733">
        <v>24</v>
      </c>
      <c r="O2733">
        <v>4</v>
      </c>
      <c r="P2733">
        <v>-73.33</v>
      </c>
      <c r="Q2733">
        <v>2.4689999999999999</v>
      </c>
      <c r="R2733" t="s">
        <v>26</v>
      </c>
      <c r="S2733" t="b">
        <v>1</v>
      </c>
      <c r="T2733" t="b">
        <v>0</v>
      </c>
    </row>
    <row r="2734" spans="1:20" x14ac:dyDescent="0.3">
      <c r="A2734" t="s">
        <v>3706</v>
      </c>
      <c r="B2734" s="1">
        <v>40628</v>
      </c>
      <c r="C2734" s="1">
        <v>40632</v>
      </c>
      <c r="D2734" t="s">
        <v>1528</v>
      </c>
      <c r="E2734" t="s">
        <v>884</v>
      </c>
      <c r="F2734" t="s">
        <v>23</v>
      </c>
      <c r="G2734" t="s">
        <v>3707</v>
      </c>
      <c r="H2734">
        <v>18.75</v>
      </c>
      <c r="I2734">
        <v>5</v>
      </c>
      <c r="J2734">
        <v>9</v>
      </c>
      <c r="K2734">
        <v>2011</v>
      </c>
      <c r="L2734">
        <v>3</v>
      </c>
      <c r="M2734" t="s">
        <v>135</v>
      </c>
      <c r="N2734">
        <v>26</v>
      </c>
      <c r="O2734">
        <v>4</v>
      </c>
      <c r="P2734">
        <v>48</v>
      </c>
      <c r="Q2734">
        <v>3.75</v>
      </c>
      <c r="R2734" t="s">
        <v>26</v>
      </c>
      <c r="S2734" t="b">
        <v>0</v>
      </c>
      <c r="T2734" t="b">
        <v>0</v>
      </c>
    </row>
    <row r="2735" spans="1:20" x14ac:dyDescent="0.3">
      <c r="A2735" t="s">
        <v>3708</v>
      </c>
      <c r="B2735" s="1">
        <v>41432</v>
      </c>
      <c r="C2735" s="1">
        <v>41437</v>
      </c>
      <c r="D2735" t="s">
        <v>3431</v>
      </c>
      <c r="E2735" t="s">
        <v>2562</v>
      </c>
      <c r="F2735" t="s">
        <v>61</v>
      </c>
      <c r="G2735" t="s">
        <v>3709</v>
      </c>
      <c r="H2735">
        <v>26.96</v>
      </c>
      <c r="I2735">
        <v>2</v>
      </c>
      <c r="J2735">
        <v>3.7744</v>
      </c>
      <c r="K2735">
        <v>2013</v>
      </c>
      <c r="L2735">
        <v>6</v>
      </c>
      <c r="M2735" t="s">
        <v>25</v>
      </c>
      <c r="N2735">
        <v>7</v>
      </c>
      <c r="O2735">
        <v>5</v>
      </c>
      <c r="P2735">
        <v>14</v>
      </c>
      <c r="Q2735">
        <v>13.48</v>
      </c>
      <c r="R2735" t="s">
        <v>26</v>
      </c>
      <c r="S2735" t="b">
        <v>0</v>
      </c>
      <c r="T2735" t="b">
        <v>0</v>
      </c>
    </row>
    <row r="2736" spans="1:20" x14ac:dyDescent="0.3">
      <c r="A2736" t="s">
        <v>3708</v>
      </c>
      <c r="B2736" s="1">
        <v>41432</v>
      </c>
      <c r="C2736" s="1">
        <v>41437</v>
      </c>
      <c r="D2736" t="s">
        <v>3431</v>
      </c>
      <c r="E2736" t="s">
        <v>2562</v>
      </c>
      <c r="F2736" t="s">
        <v>54</v>
      </c>
      <c r="G2736" t="s">
        <v>1707</v>
      </c>
      <c r="H2736">
        <v>477.6</v>
      </c>
      <c r="I2736">
        <v>3</v>
      </c>
      <c r="J2736">
        <v>161.19</v>
      </c>
      <c r="K2736">
        <v>2013</v>
      </c>
      <c r="L2736">
        <v>6</v>
      </c>
      <c r="M2736" t="s">
        <v>25</v>
      </c>
      <c r="N2736">
        <v>7</v>
      </c>
      <c r="O2736">
        <v>5</v>
      </c>
      <c r="P2736">
        <v>33.75</v>
      </c>
      <c r="Q2736">
        <v>159.19999999999999</v>
      </c>
      <c r="R2736" t="s">
        <v>26</v>
      </c>
      <c r="S2736" t="b">
        <v>0</v>
      </c>
      <c r="T2736" t="b">
        <v>1</v>
      </c>
    </row>
    <row r="2737" spans="1:20" x14ac:dyDescent="0.3">
      <c r="A2737" t="s">
        <v>3710</v>
      </c>
      <c r="B2737" s="1">
        <v>41883</v>
      </c>
      <c r="C2737" s="1">
        <v>41888</v>
      </c>
      <c r="D2737" t="s">
        <v>1666</v>
      </c>
      <c r="E2737" t="s">
        <v>51</v>
      </c>
      <c r="F2737" t="s">
        <v>45</v>
      </c>
      <c r="G2737" t="s">
        <v>1572</v>
      </c>
      <c r="H2737">
        <v>193.95</v>
      </c>
      <c r="I2737">
        <v>3</v>
      </c>
      <c r="J2737">
        <v>9.6974999999999998</v>
      </c>
      <c r="K2737">
        <v>2014</v>
      </c>
      <c r="L2737">
        <v>9</v>
      </c>
      <c r="M2737" t="s">
        <v>87</v>
      </c>
      <c r="N2737">
        <v>1</v>
      </c>
      <c r="O2737">
        <v>5</v>
      </c>
      <c r="P2737">
        <v>5</v>
      </c>
      <c r="Q2737">
        <v>64.649999999999991</v>
      </c>
      <c r="R2737" t="s">
        <v>26</v>
      </c>
      <c r="S2737" t="b">
        <v>0</v>
      </c>
      <c r="T2737" t="b">
        <v>0</v>
      </c>
    </row>
    <row r="2738" spans="1:20" x14ac:dyDescent="0.3">
      <c r="A2738" t="s">
        <v>3711</v>
      </c>
      <c r="B2738" s="1">
        <v>41250</v>
      </c>
      <c r="C2738" s="1">
        <v>41250</v>
      </c>
      <c r="D2738" t="s">
        <v>323</v>
      </c>
      <c r="E2738" t="s">
        <v>569</v>
      </c>
      <c r="F2738" t="s">
        <v>72</v>
      </c>
      <c r="G2738" t="s">
        <v>1089</v>
      </c>
      <c r="H2738">
        <v>12.96</v>
      </c>
      <c r="I2738">
        <v>2</v>
      </c>
      <c r="J2738">
        <v>6.2207999999999997</v>
      </c>
      <c r="K2738">
        <v>2012</v>
      </c>
      <c r="L2738">
        <v>12</v>
      </c>
      <c r="M2738" t="s">
        <v>41</v>
      </c>
      <c r="N2738">
        <v>7</v>
      </c>
      <c r="O2738">
        <v>0</v>
      </c>
      <c r="P2738">
        <v>48</v>
      </c>
      <c r="Q2738">
        <v>6.48</v>
      </c>
      <c r="R2738" t="s">
        <v>26</v>
      </c>
      <c r="S2738" t="b">
        <v>0</v>
      </c>
      <c r="T2738" t="b">
        <v>0</v>
      </c>
    </row>
    <row r="2739" spans="1:20" x14ac:dyDescent="0.3">
      <c r="A2739" t="s">
        <v>3712</v>
      </c>
      <c r="B2739" s="1">
        <v>41960</v>
      </c>
      <c r="C2739" s="1">
        <v>41964</v>
      </c>
      <c r="D2739" t="s">
        <v>114</v>
      </c>
      <c r="E2739" t="s">
        <v>22</v>
      </c>
      <c r="F2739" t="s">
        <v>29</v>
      </c>
      <c r="G2739" t="s">
        <v>3672</v>
      </c>
      <c r="H2739">
        <v>119.94</v>
      </c>
      <c r="I2739">
        <v>3</v>
      </c>
      <c r="J2739">
        <v>23.988</v>
      </c>
      <c r="K2739">
        <v>2014</v>
      </c>
      <c r="L2739">
        <v>11</v>
      </c>
      <c r="M2739" t="s">
        <v>70</v>
      </c>
      <c r="N2739">
        <v>17</v>
      </c>
      <c r="O2739">
        <v>4</v>
      </c>
      <c r="P2739">
        <v>20</v>
      </c>
      <c r="Q2739">
        <v>39.979999999999997</v>
      </c>
      <c r="R2739" t="s">
        <v>26</v>
      </c>
      <c r="S2739" t="b">
        <v>0</v>
      </c>
      <c r="T2739" t="b">
        <v>0</v>
      </c>
    </row>
    <row r="2740" spans="1:20" x14ac:dyDescent="0.3">
      <c r="A2740" t="s">
        <v>3712</v>
      </c>
      <c r="B2740" s="1">
        <v>41960</v>
      </c>
      <c r="C2740" s="1">
        <v>41964</v>
      </c>
      <c r="D2740" t="s">
        <v>114</v>
      </c>
      <c r="E2740" t="s">
        <v>22</v>
      </c>
      <c r="F2740" t="s">
        <v>29</v>
      </c>
      <c r="G2740" t="s">
        <v>2822</v>
      </c>
      <c r="H2740">
        <v>12.42</v>
      </c>
      <c r="I2740">
        <v>3</v>
      </c>
      <c r="J2740">
        <v>4.4711999999999996</v>
      </c>
      <c r="K2740">
        <v>2014</v>
      </c>
      <c r="L2740">
        <v>11</v>
      </c>
      <c r="M2740" t="s">
        <v>70</v>
      </c>
      <c r="N2740">
        <v>17</v>
      </c>
      <c r="O2740">
        <v>4</v>
      </c>
      <c r="P2740">
        <v>36</v>
      </c>
      <c r="Q2740">
        <v>4.1399999999999997</v>
      </c>
      <c r="R2740" t="s">
        <v>26</v>
      </c>
      <c r="S2740" t="b">
        <v>0</v>
      </c>
      <c r="T2740" t="b">
        <v>0</v>
      </c>
    </row>
    <row r="2741" spans="1:20" x14ac:dyDescent="0.3">
      <c r="A2741" t="s">
        <v>3713</v>
      </c>
      <c r="B2741" s="1">
        <v>41388</v>
      </c>
      <c r="C2741" s="1">
        <v>41392</v>
      </c>
      <c r="D2741" t="s">
        <v>2583</v>
      </c>
      <c r="E2741" t="s">
        <v>3714</v>
      </c>
      <c r="F2741" t="s">
        <v>33</v>
      </c>
      <c r="G2741" t="s">
        <v>409</v>
      </c>
      <c r="H2741">
        <v>18.088000000000001</v>
      </c>
      <c r="I2741">
        <v>7</v>
      </c>
      <c r="J2741">
        <v>6.5568999999999997</v>
      </c>
      <c r="K2741">
        <v>2013</v>
      </c>
      <c r="L2741">
        <v>4</v>
      </c>
      <c r="M2741" t="s">
        <v>236</v>
      </c>
      <c r="N2741">
        <v>24</v>
      </c>
      <c r="O2741">
        <v>4</v>
      </c>
      <c r="P2741">
        <v>36.25</v>
      </c>
      <c r="Q2741">
        <v>2.5840000000000001</v>
      </c>
      <c r="R2741" t="s">
        <v>26</v>
      </c>
      <c r="S2741" t="b">
        <v>0</v>
      </c>
      <c r="T2741" t="b">
        <v>0</v>
      </c>
    </row>
    <row r="2742" spans="1:20" x14ac:dyDescent="0.3">
      <c r="A2742" t="s">
        <v>3713</v>
      </c>
      <c r="B2742" s="1">
        <v>41388</v>
      </c>
      <c r="C2742" s="1">
        <v>41392</v>
      </c>
      <c r="D2742" t="s">
        <v>2583</v>
      </c>
      <c r="E2742" t="s">
        <v>3714</v>
      </c>
      <c r="F2742" t="s">
        <v>128</v>
      </c>
      <c r="G2742" t="s">
        <v>3715</v>
      </c>
      <c r="H2742">
        <v>71.97</v>
      </c>
      <c r="I2742">
        <v>3</v>
      </c>
      <c r="J2742">
        <v>35.984999999999999</v>
      </c>
      <c r="K2742">
        <v>2013</v>
      </c>
      <c r="L2742">
        <v>4</v>
      </c>
      <c r="M2742" t="s">
        <v>236</v>
      </c>
      <c r="N2742">
        <v>24</v>
      </c>
      <c r="O2742">
        <v>4</v>
      </c>
      <c r="P2742">
        <v>50</v>
      </c>
      <c r="Q2742">
        <v>23.99</v>
      </c>
      <c r="R2742" t="s">
        <v>26</v>
      </c>
      <c r="S2742" t="b">
        <v>0</v>
      </c>
      <c r="T2742" t="b">
        <v>0</v>
      </c>
    </row>
    <row r="2743" spans="1:20" x14ac:dyDescent="0.3">
      <c r="A2743" t="s">
        <v>3716</v>
      </c>
      <c r="B2743" s="1">
        <v>41957</v>
      </c>
      <c r="C2743" s="1">
        <v>41963</v>
      </c>
      <c r="D2743" t="s">
        <v>246</v>
      </c>
      <c r="E2743" t="s">
        <v>3717</v>
      </c>
      <c r="F2743" t="s">
        <v>54</v>
      </c>
      <c r="G2743" t="s">
        <v>3718</v>
      </c>
      <c r="H2743">
        <v>22</v>
      </c>
      <c r="I2743">
        <v>5</v>
      </c>
      <c r="J2743">
        <v>1.375</v>
      </c>
      <c r="K2743">
        <v>2014</v>
      </c>
      <c r="L2743">
        <v>11</v>
      </c>
      <c r="M2743" t="s">
        <v>70</v>
      </c>
      <c r="N2743">
        <v>14</v>
      </c>
      <c r="O2743">
        <v>6</v>
      </c>
      <c r="P2743">
        <v>6.25</v>
      </c>
      <c r="Q2743">
        <v>4.4000000000000004</v>
      </c>
      <c r="R2743" t="s">
        <v>26</v>
      </c>
      <c r="S2743" t="b">
        <v>0</v>
      </c>
      <c r="T2743" t="b">
        <v>0</v>
      </c>
    </row>
    <row r="2744" spans="1:20" x14ac:dyDescent="0.3">
      <c r="A2744" t="s">
        <v>3719</v>
      </c>
      <c r="B2744" s="1">
        <v>41401</v>
      </c>
      <c r="C2744" s="1">
        <v>41405</v>
      </c>
      <c r="D2744" t="s">
        <v>1142</v>
      </c>
      <c r="E2744" t="s">
        <v>1515</v>
      </c>
      <c r="F2744" t="s">
        <v>29</v>
      </c>
      <c r="G2744" t="s">
        <v>1056</v>
      </c>
      <c r="H2744">
        <v>41.6</v>
      </c>
      <c r="I2744">
        <v>4</v>
      </c>
      <c r="J2744">
        <v>14.144</v>
      </c>
      <c r="K2744">
        <v>2013</v>
      </c>
      <c r="L2744">
        <v>5</v>
      </c>
      <c r="M2744" t="s">
        <v>47</v>
      </c>
      <c r="N2744">
        <v>7</v>
      </c>
      <c r="O2744">
        <v>4</v>
      </c>
      <c r="P2744">
        <v>34</v>
      </c>
      <c r="Q2744">
        <v>10.4</v>
      </c>
      <c r="R2744" t="s">
        <v>26</v>
      </c>
      <c r="S2744" t="b">
        <v>0</v>
      </c>
      <c r="T2744" t="b">
        <v>0</v>
      </c>
    </row>
    <row r="2745" spans="1:20" x14ac:dyDescent="0.3">
      <c r="A2745" t="s">
        <v>3720</v>
      </c>
      <c r="B2745" s="1">
        <v>41270</v>
      </c>
      <c r="C2745" s="1">
        <v>41274</v>
      </c>
      <c r="D2745" t="s">
        <v>2477</v>
      </c>
      <c r="E2745" t="s">
        <v>51</v>
      </c>
      <c r="F2745" t="s">
        <v>45</v>
      </c>
      <c r="G2745" t="s">
        <v>614</v>
      </c>
      <c r="H2745">
        <v>323.10000000000002</v>
      </c>
      <c r="I2745">
        <v>2</v>
      </c>
      <c r="J2745">
        <v>61.389000000000003</v>
      </c>
      <c r="K2745">
        <v>2012</v>
      </c>
      <c r="L2745">
        <v>12</v>
      </c>
      <c r="M2745" t="s">
        <v>41</v>
      </c>
      <c r="N2745">
        <v>27</v>
      </c>
      <c r="O2745">
        <v>4</v>
      </c>
      <c r="P2745">
        <v>19</v>
      </c>
      <c r="Q2745">
        <v>161.55000000000001</v>
      </c>
      <c r="R2745" t="s">
        <v>26</v>
      </c>
      <c r="S2745" t="b">
        <v>0</v>
      </c>
      <c r="T2745" t="b">
        <v>1</v>
      </c>
    </row>
    <row r="2746" spans="1:20" x14ac:dyDescent="0.3">
      <c r="A2746" t="s">
        <v>3721</v>
      </c>
      <c r="B2746" s="1">
        <v>41987</v>
      </c>
      <c r="C2746" s="1">
        <v>41992</v>
      </c>
      <c r="D2746" t="s">
        <v>1561</v>
      </c>
      <c r="E2746" t="s">
        <v>51</v>
      </c>
      <c r="F2746" t="s">
        <v>23</v>
      </c>
      <c r="G2746" t="s">
        <v>2884</v>
      </c>
      <c r="H2746">
        <v>8.64</v>
      </c>
      <c r="I2746">
        <v>3</v>
      </c>
      <c r="J2746">
        <v>4.2336</v>
      </c>
      <c r="K2746">
        <v>2014</v>
      </c>
      <c r="L2746">
        <v>12</v>
      </c>
      <c r="M2746" t="s">
        <v>41</v>
      </c>
      <c r="N2746">
        <v>14</v>
      </c>
      <c r="O2746">
        <v>5</v>
      </c>
      <c r="P2746">
        <v>49</v>
      </c>
      <c r="Q2746">
        <v>2.88</v>
      </c>
      <c r="R2746" t="s">
        <v>26</v>
      </c>
      <c r="S2746" t="b">
        <v>0</v>
      </c>
      <c r="T2746" t="b">
        <v>0</v>
      </c>
    </row>
    <row r="2747" spans="1:20" x14ac:dyDescent="0.3">
      <c r="A2747" t="s">
        <v>3721</v>
      </c>
      <c r="B2747" s="1">
        <v>41987</v>
      </c>
      <c r="C2747" s="1">
        <v>41992</v>
      </c>
      <c r="D2747" t="s">
        <v>1561</v>
      </c>
      <c r="E2747" t="s">
        <v>51</v>
      </c>
      <c r="F2747" t="s">
        <v>72</v>
      </c>
      <c r="G2747" t="s">
        <v>750</v>
      </c>
      <c r="H2747">
        <v>38.880000000000003</v>
      </c>
      <c r="I2747">
        <v>6</v>
      </c>
      <c r="J2747">
        <v>18.662400000000002</v>
      </c>
      <c r="K2747">
        <v>2014</v>
      </c>
      <c r="L2747">
        <v>12</v>
      </c>
      <c r="M2747" t="s">
        <v>41</v>
      </c>
      <c r="N2747">
        <v>14</v>
      </c>
      <c r="O2747">
        <v>5</v>
      </c>
      <c r="P2747">
        <v>48</v>
      </c>
      <c r="Q2747">
        <v>6.48</v>
      </c>
      <c r="R2747" t="s">
        <v>26</v>
      </c>
      <c r="S2747" t="b">
        <v>0</v>
      </c>
      <c r="T2747" t="b">
        <v>0</v>
      </c>
    </row>
    <row r="2748" spans="1:20" x14ac:dyDescent="0.3">
      <c r="A2748" t="s">
        <v>3721</v>
      </c>
      <c r="B2748" s="1">
        <v>41987</v>
      </c>
      <c r="C2748" s="1">
        <v>41992</v>
      </c>
      <c r="D2748" t="s">
        <v>1561</v>
      </c>
      <c r="E2748" t="s">
        <v>51</v>
      </c>
      <c r="F2748" t="s">
        <v>29</v>
      </c>
      <c r="G2748" t="s">
        <v>3722</v>
      </c>
      <c r="H2748">
        <v>201.04</v>
      </c>
      <c r="I2748">
        <v>8</v>
      </c>
      <c r="J2748">
        <v>54.280799999999999</v>
      </c>
      <c r="K2748">
        <v>2014</v>
      </c>
      <c r="L2748">
        <v>12</v>
      </c>
      <c r="M2748" t="s">
        <v>41</v>
      </c>
      <c r="N2748">
        <v>14</v>
      </c>
      <c r="O2748">
        <v>5</v>
      </c>
      <c r="P2748">
        <v>27</v>
      </c>
      <c r="Q2748">
        <v>25.13</v>
      </c>
      <c r="R2748" t="s">
        <v>26</v>
      </c>
      <c r="S2748" t="b">
        <v>0</v>
      </c>
      <c r="T2748" t="b">
        <v>0</v>
      </c>
    </row>
    <row r="2749" spans="1:20" x14ac:dyDescent="0.3">
      <c r="A2749" t="s">
        <v>3721</v>
      </c>
      <c r="B2749" s="1">
        <v>41987</v>
      </c>
      <c r="C2749" s="1">
        <v>41992</v>
      </c>
      <c r="D2749" t="s">
        <v>1561</v>
      </c>
      <c r="E2749" t="s">
        <v>51</v>
      </c>
      <c r="F2749" t="s">
        <v>72</v>
      </c>
      <c r="G2749" t="s">
        <v>2627</v>
      </c>
      <c r="H2749">
        <v>12.96</v>
      </c>
      <c r="I2749">
        <v>2</v>
      </c>
      <c r="J2749">
        <v>6.3503999999999996</v>
      </c>
      <c r="K2749">
        <v>2014</v>
      </c>
      <c r="L2749">
        <v>12</v>
      </c>
      <c r="M2749" t="s">
        <v>41</v>
      </c>
      <c r="N2749">
        <v>14</v>
      </c>
      <c r="O2749">
        <v>5</v>
      </c>
      <c r="P2749">
        <v>49</v>
      </c>
      <c r="Q2749">
        <v>6.48</v>
      </c>
      <c r="R2749" t="s">
        <v>26</v>
      </c>
      <c r="S2749" t="b">
        <v>0</v>
      </c>
      <c r="T2749" t="b">
        <v>0</v>
      </c>
    </row>
    <row r="2750" spans="1:20" x14ac:dyDescent="0.3">
      <c r="A2750" t="s">
        <v>3723</v>
      </c>
      <c r="B2750" s="1">
        <v>41642</v>
      </c>
      <c r="C2750" s="1">
        <v>41644</v>
      </c>
      <c r="D2750" t="s">
        <v>3724</v>
      </c>
      <c r="E2750" t="s">
        <v>22</v>
      </c>
      <c r="F2750" t="s">
        <v>61</v>
      </c>
      <c r="G2750" t="s">
        <v>1387</v>
      </c>
      <c r="H2750">
        <v>16.59</v>
      </c>
      <c r="I2750">
        <v>1</v>
      </c>
      <c r="J2750">
        <v>5.8064999999999998</v>
      </c>
      <c r="K2750">
        <v>2014</v>
      </c>
      <c r="L2750">
        <v>1</v>
      </c>
      <c r="M2750" t="s">
        <v>60</v>
      </c>
      <c r="N2750">
        <v>3</v>
      </c>
      <c r="O2750">
        <v>2</v>
      </c>
      <c r="P2750">
        <v>35</v>
      </c>
      <c r="Q2750">
        <v>16.59</v>
      </c>
      <c r="R2750" t="s">
        <v>48</v>
      </c>
      <c r="S2750" t="b">
        <v>0</v>
      </c>
      <c r="T2750" t="b">
        <v>0</v>
      </c>
    </row>
    <row r="2751" spans="1:20" x14ac:dyDescent="0.3">
      <c r="A2751" t="s">
        <v>3725</v>
      </c>
      <c r="B2751" s="1">
        <v>41790</v>
      </c>
      <c r="C2751" s="1">
        <v>41794</v>
      </c>
      <c r="D2751" t="s">
        <v>1169</v>
      </c>
      <c r="E2751" t="s">
        <v>194</v>
      </c>
      <c r="F2751" t="s">
        <v>31</v>
      </c>
      <c r="G2751" t="s">
        <v>802</v>
      </c>
      <c r="H2751">
        <v>35.1</v>
      </c>
      <c r="I2751">
        <v>6</v>
      </c>
      <c r="J2751">
        <v>10.179</v>
      </c>
      <c r="K2751">
        <v>2014</v>
      </c>
      <c r="L2751">
        <v>5</v>
      </c>
      <c r="M2751" t="s">
        <v>47</v>
      </c>
      <c r="N2751">
        <v>31</v>
      </c>
      <c r="O2751">
        <v>4</v>
      </c>
      <c r="P2751">
        <v>29</v>
      </c>
      <c r="Q2751">
        <v>5.8500000000000014</v>
      </c>
      <c r="R2751" t="s">
        <v>26</v>
      </c>
      <c r="S2751" t="b">
        <v>0</v>
      </c>
      <c r="T2751" t="b">
        <v>0</v>
      </c>
    </row>
    <row r="2752" spans="1:20" x14ac:dyDescent="0.3">
      <c r="A2752" t="s">
        <v>3726</v>
      </c>
      <c r="B2752" s="1">
        <v>41907</v>
      </c>
      <c r="C2752" s="1">
        <v>41911</v>
      </c>
      <c r="D2752" t="s">
        <v>144</v>
      </c>
      <c r="E2752" t="s">
        <v>51</v>
      </c>
      <c r="F2752" t="s">
        <v>72</v>
      </c>
      <c r="G2752" t="s">
        <v>2491</v>
      </c>
      <c r="H2752">
        <v>31.08</v>
      </c>
      <c r="I2752">
        <v>6</v>
      </c>
      <c r="J2752">
        <v>15.229200000000001</v>
      </c>
      <c r="K2752">
        <v>2014</v>
      </c>
      <c r="L2752">
        <v>9</v>
      </c>
      <c r="M2752" t="s">
        <v>87</v>
      </c>
      <c r="N2752">
        <v>25</v>
      </c>
      <c r="O2752">
        <v>4</v>
      </c>
      <c r="P2752">
        <v>49</v>
      </c>
      <c r="Q2752">
        <v>5.18</v>
      </c>
      <c r="R2752" t="s">
        <v>26</v>
      </c>
      <c r="S2752" t="b">
        <v>0</v>
      </c>
      <c r="T2752" t="b">
        <v>0</v>
      </c>
    </row>
    <row r="2753" spans="1:20" x14ac:dyDescent="0.3">
      <c r="A2753" t="s">
        <v>3726</v>
      </c>
      <c r="B2753" s="1">
        <v>41907</v>
      </c>
      <c r="C2753" s="1">
        <v>41911</v>
      </c>
      <c r="D2753" t="s">
        <v>144</v>
      </c>
      <c r="E2753" t="s">
        <v>51</v>
      </c>
      <c r="F2753" t="s">
        <v>122</v>
      </c>
      <c r="G2753" t="s">
        <v>400</v>
      </c>
      <c r="H2753">
        <v>7.3</v>
      </c>
      <c r="I2753">
        <v>2</v>
      </c>
      <c r="J2753">
        <v>2.19</v>
      </c>
      <c r="K2753">
        <v>2014</v>
      </c>
      <c r="L2753">
        <v>9</v>
      </c>
      <c r="M2753" t="s">
        <v>87</v>
      </c>
      <c r="N2753">
        <v>25</v>
      </c>
      <c r="O2753">
        <v>4</v>
      </c>
      <c r="P2753">
        <v>30</v>
      </c>
      <c r="Q2753">
        <v>3.65</v>
      </c>
      <c r="R2753" t="s">
        <v>26</v>
      </c>
      <c r="S2753" t="b">
        <v>0</v>
      </c>
      <c r="T2753" t="b">
        <v>0</v>
      </c>
    </row>
    <row r="2754" spans="1:20" x14ac:dyDescent="0.3">
      <c r="A2754" t="s">
        <v>3727</v>
      </c>
      <c r="B2754" s="1">
        <v>41989</v>
      </c>
      <c r="C2754" s="1">
        <v>41993</v>
      </c>
      <c r="D2754" t="s">
        <v>2780</v>
      </c>
      <c r="E2754" t="s">
        <v>207</v>
      </c>
      <c r="F2754" t="s">
        <v>72</v>
      </c>
      <c r="G2754" t="s">
        <v>195</v>
      </c>
      <c r="H2754">
        <v>22.83</v>
      </c>
      <c r="I2754">
        <v>3</v>
      </c>
      <c r="J2754">
        <v>10.7301</v>
      </c>
      <c r="K2754">
        <v>2014</v>
      </c>
      <c r="L2754">
        <v>12</v>
      </c>
      <c r="M2754" t="s">
        <v>41</v>
      </c>
      <c r="N2754">
        <v>16</v>
      </c>
      <c r="O2754">
        <v>4</v>
      </c>
      <c r="P2754">
        <v>47</v>
      </c>
      <c r="Q2754">
        <v>7.6099999999999994</v>
      </c>
      <c r="R2754" t="s">
        <v>26</v>
      </c>
      <c r="S2754" t="b">
        <v>0</v>
      </c>
      <c r="T2754" t="b">
        <v>0</v>
      </c>
    </row>
    <row r="2755" spans="1:20" x14ac:dyDescent="0.3">
      <c r="A2755" t="s">
        <v>3727</v>
      </c>
      <c r="B2755" s="1">
        <v>41989</v>
      </c>
      <c r="C2755" s="1">
        <v>41993</v>
      </c>
      <c r="D2755" t="s">
        <v>2780</v>
      </c>
      <c r="E2755" t="s">
        <v>207</v>
      </c>
      <c r="F2755" t="s">
        <v>35</v>
      </c>
      <c r="G2755" t="s">
        <v>3243</v>
      </c>
      <c r="H2755">
        <v>54.32</v>
      </c>
      <c r="I2755">
        <v>4</v>
      </c>
      <c r="J2755">
        <v>16.295999999999999</v>
      </c>
      <c r="K2755">
        <v>2014</v>
      </c>
      <c r="L2755">
        <v>12</v>
      </c>
      <c r="M2755" t="s">
        <v>41</v>
      </c>
      <c r="N2755">
        <v>16</v>
      </c>
      <c r="O2755">
        <v>4</v>
      </c>
      <c r="P2755">
        <v>30</v>
      </c>
      <c r="Q2755">
        <v>13.58</v>
      </c>
      <c r="R2755" t="s">
        <v>26</v>
      </c>
      <c r="S2755" t="b">
        <v>0</v>
      </c>
      <c r="T2755" t="b">
        <v>0</v>
      </c>
    </row>
    <row r="2756" spans="1:20" x14ac:dyDescent="0.3">
      <c r="A2756" t="s">
        <v>3727</v>
      </c>
      <c r="B2756" s="1">
        <v>41989</v>
      </c>
      <c r="C2756" s="1">
        <v>41993</v>
      </c>
      <c r="D2756" t="s">
        <v>2780</v>
      </c>
      <c r="E2756" t="s">
        <v>207</v>
      </c>
      <c r="F2756" t="s">
        <v>54</v>
      </c>
      <c r="G2756" t="s">
        <v>1403</v>
      </c>
      <c r="H2756">
        <v>196.77600000000001</v>
      </c>
      <c r="I2756">
        <v>3</v>
      </c>
      <c r="J2756">
        <v>14.7582</v>
      </c>
      <c r="K2756">
        <v>2014</v>
      </c>
      <c r="L2756">
        <v>12</v>
      </c>
      <c r="M2756" t="s">
        <v>41</v>
      </c>
      <c r="N2756">
        <v>16</v>
      </c>
      <c r="O2756">
        <v>4</v>
      </c>
      <c r="P2756">
        <v>7.5</v>
      </c>
      <c r="Q2756">
        <v>65.591999999999999</v>
      </c>
      <c r="R2756" t="s">
        <v>26</v>
      </c>
      <c r="S2756" t="b">
        <v>0</v>
      </c>
      <c r="T2756" t="b">
        <v>0</v>
      </c>
    </row>
    <row r="2757" spans="1:20" x14ac:dyDescent="0.3">
      <c r="A2757" t="s">
        <v>3728</v>
      </c>
      <c r="B2757" s="1">
        <v>41578</v>
      </c>
      <c r="C2757" s="1">
        <v>41583</v>
      </c>
      <c r="D2757" t="s">
        <v>1950</v>
      </c>
      <c r="E2757" t="s">
        <v>3729</v>
      </c>
      <c r="F2757" t="s">
        <v>119</v>
      </c>
      <c r="G2757" t="s">
        <v>2935</v>
      </c>
      <c r="H2757">
        <v>3.62</v>
      </c>
      <c r="I2757">
        <v>2</v>
      </c>
      <c r="J2757">
        <v>1.1946000000000001</v>
      </c>
      <c r="K2757">
        <v>2013</v>
      </c>
      <c r="L2757">
        <v>10</v>
      </c>
      <c r="M2757" t="s">
        <v>82</v>
      </c>
      <c r="N2757">
        <v>31</v>
      </c>
      <c r="O2757">
        <v>5</v>
      </c>
      <c r="P2757">
        <v>33</v>
      </c>
      <c r="Q2757">
        <v>1.81</v>
      </c>
      <c r="R2757" t="s">
        <v>26</v>
      </c>
      <c r="S2757" t="b">
        <v>0</v>
      </c>
      <c r="T2757" t="b">
        <v>0</v>
      </c>
    </row>
    <row r="2758" spans="1:20" x14ac:dyDescent="0.3">
      <c r="A2758" t="s">
        <v>3730</v>
      </c>
      <c r="B2758" s="1">
        <v>41932</v>
      </c>
      <c r="C2758" s="1">
        <v>41936</v>
      </c>
      <c r="D2758" t="s">
        <v>3731</v>
      </c>
      <c r="E2758" t="s">
        <v>51</v>
      </c>
      <c r="F2758" t="s">
        <v>33</v>
      </c>
      <c r="G2758" t="s">
        <v>2644</v>
      </c>
      <c r="H2758">
        <v>39.624000000000002</v>
      </c>
      <c r="I2758">
        <v>3</v>
      </c>
      <c r="J2758">
        <v>13.868399999999999</v>
      </c>
      <c r="K2758">
        <v>2014</v>
      </c>
      <c r="L2758">
        <v>10</v>
      </c>
      <c r="M2758" t="s">
        <v>82</v>
      </c>
      <c r="N2758">
        <v>20</v>
      </c>
      <c r="O2758">
        <v>4</v>
      </c>
      <c r="P2758">
        <v>35</v>
      </c>
      <c r="Q2758">
        <v>13.208</v>
      </c>
      <c r="R2758" t="s">
        <v>48</v>
      </c>
      <c r="S2758" t="b">
        <v>0</v>
      </c>
      <c r="T2758" t="b">
        <v>0</v>
      </c>
    </row>
    <row r="2759" spans="1:20" x14ac:dyDescent="0.3">
      <c r="A2759" t="s">
        <v>3732</v>
      </c>
      <c r="B2759" s="1">
        <v>41569</v>
      </c>
      <c r="C2759" s="1">
        <v>41575</v>
      </c>
      <c r="D2759" t="s">
        <v>3634</v>
      </c>
      <c r="E2759" t="s">
        <v>22</v>
      </c>
      <c r="F2759" t="s">
        <v>110</v>
      </c>
      <c r="G2759" t="s">
        <v>3733</v>
      </c>
      <c r="H2759">
        <v>242.136</v>
      </c>
      <c r="I2759">
        <v>3</v>
      </c>
      <c r="J2759">
        <v>12.1068</v>
      </c>
      <c r="K2759">
        <v>2013</v>
      </c>
      <c r="L2759">
        <v>10</v>
      </c>
      <c r="M2759" t="s">
        <v>82</v>
      </c>
      <c r="N2759">
        <v>22</v>
      </c>
      <c r="O2759">
        <v>6</v>
      </c>
      <c r="P2759">
        <v>5</v>
      </c>
      <c r="Q2759">
        <v>80.712000000000003</v>
      </c>
      <c r="R2759" t="s">
        <v>26</v>
      </c>
      <c r="S2759" t="b">
        <v>0</v>
      </c>
      <c r="T2759" t="b">
        <v>1</v>
      </c>
    </row>
    <row r="2760" spans="1:20" x14ac:dyDescent="0.3">
      <c r="A2760" t="s">
        <v>3732</v>
      </c>
      <c r="B2760" s="1">
        <v>41569</v>
      </c>
      <c r="C2760" s="1">
        <v>41575</v>
      </c>
      <c r="D2760" t="s">
        <v>3634</v>
      </c>
      <c r="E2760" t="s">
        <v>22</v>
      </c>
      <c r="F2760" t="s">
        <v>31</v>
      </c>
      <c r="G2760" t="s">
        <v>2180</v>
      </c>
      <c r="H2760">
        <v>12.39</v>
      </c>
      <c r="I2760">
        <v>3</v>
      </c>
      <c r="J2760">
        <v>5.6993999999999998</v>
      </c>
      <c r="K2760">
        <v>2013</v>
      </c>
      <c r="L2760">
        <v>10</v>
      </c>
      <c r="M2760" t="s">
        <v>82</v>
      </c>
      <c r="N2760">
        <v>22</v>
      </c>
      <c r="O2760">
        <v>6</v>
      </c>
      <c r="P2760">
        <v>46</v>
      </c>
      <c r="Q2760">
        <v>4.13</v>
      </c>
      <c r="R2760" t="s">
        <v>26</v>
      </c>
      <c r="S2760" t="b">
        <v>0</v>
      </c>
      <c r="T2760" t="b">
        <v>0</v>
      </c>
    </row>
    <row r="2761" spans="1:20" x14ac:dyDescent="0.3">
      <c r="A2761" t="s">
        <v>3732</v>
      </c>
      <c r="B2761" s="1">
        <v>41569</v>
      </c>
      <c r="C2761" s="1">
        <v>41575</v>
      </c>
      <c r="D2761" t="s">
        <v>3634</v>
      </c>
      <c r="E2761" t="s">
        <v>22</v>
      </c>
      <c r="F2761" t="s">
        <v>29</v>
      </c>
      <c r="G2761" t="s">
        <v>2356</v>
      </c>
      <c r="H2761">
        <v>19.96</v>
      </c>
      <c r="I2761">
        <v>2</v>
      </c>
      <c r="J2761">
        <v>5.5888</v>
      </c>
      <c r="K2761">
        <v>2013</v>
      </c>
      <c r="L2761">
        <v>10</v>
      </c>
      <c r="M2761" t="s">
        <v>82</v>
      </c>
      <c r="N2761">
        <v>22</v>
      </c>
      <c r="O2761">
        <v>6</v>
      </c>
      <c r="P2761">
        <v>28</v>
      </c>
      <c r="Q2761">
        <v>9.98</v>
      </c>
      <c r="R2761" t="s">
        <v>26</v>
      </c>
      <c r="S2761" t="b">
        <v>0</v>
      </c>
      <c r="T2761" t="b">
        <v>0</v>
      </c>
    </row>
    <row r="2762" spans="1:20" x14ac:dyDescent="0.3">
      <c r="A2762" t="s">
        <v>3732</v>
      </c>
      <c r="B2762" s="1">
        <v>41569</v>
      </c>
      <c r="C2762" s="1">
        <v>41575</v>
      </c>
      <c r="D2762" t="s">
        <v>3634</v>
      </c>
      <c r="E2762" t="s">
        <v>22</v>
      </c>
      <c r="F2762" t="s">
        <v>45</v>
      </c>
      <c r="G2762" t="s">
        <v>316</v>
      </c>
      <c r="H2762">
        <v>340.92</v>
      </c>
      <c r="I2762">
        <v>3</v>
      </c>
      <c r="J2762">
        <v>3.4091999999999998</v>
      </c>
      <c r="K2762">
        <v>2013</v>
      </c>
      <c r="L2762">
        <v>10</v>
      </c>
      <c r="M2762" t="s">
        <v>82</v>
      </c>
      <c r="N2762">
        <v>22</v>
      </c>
      <c r="O2762">
        <v>6</v>
      </c>
      <c r="P2762">
        <v>1</v>
      </c>
      <c r="Q2762">
        <v>113.64</v>
      </c>
      <c r="R2762" t="s">
        <v>26</v>
      </c>
      <c r="S2762" t="b">
        <v>0</v>
      </c>
      <c r="T2762" t="b">
        <v>1</v>
      </c>
    </row>
    <row r="2763" spans="1:20" x14ac:dyDescent="0.3">
      <c r="A2763" t="s">
        <v>3734</v>
      </c>
      <c r="B2763" s="1">
        <v>41586</v>
      </c>
      <c r="C2763" s="1">
        <v>41591</v>
      </c>
      <c r="D2763" t="s">
        <v>776</v>
      </c>
      <c r="E2763" t="s">
        <v>51</v>
      </c>
      <c r="F2763" t="s">
        <v>33</v>
      </c>
      <c r="G2763" t="s">
        <v>1625</v>
      </c>
      <c r="H2763">
        <v>57.584000000000003</v>
      </c>
      <c r="I2763">
        <v>2</v>
      </c>
      <c r="J2763">
        <v>20.154399999999999</v>
      </c>
      <c r="K2763">
        <v>2013</v>
      </c>
      <c r="L2763">
        <v>11</v>
      </c>
      <c r="M2763" t="s">
        <v>70</v>
      </c>
      <c r="N2763">
        <v>8</v>
      </c>
      <c r="O2763">
        <v>5</v>
      </c>
      <c r="P2763">
        <v>35</v>
      </c>
      <c r="Q2763">
        <v>28.792000000000002</v>
      </c>
      <c r="R2763" t="s">
        <v>26</v>
      </c>
      <c r="S2763" t="b">
        <v>0</v>
      </c>
      <c r="T2763" t="b">
        <v>0</v>
      </c>
    </row>
    <row r="2764" spans="1:20" x14ac:dyDescent="0.3">
      <c r="A2764" t="s">
        <v>3735</v>
      </c>
      <c r="B2764" s="1">
        <v>41900</v>
      </c>
      <c r="C2764" s="1">
        <v>41903</v>
      </c>
      <c r="D2764" t="s">
        <v>1383</v>
      </c>
      <c r="E2764" t="s">
        <v>2022</v>
      </c>
      <c r="F2764" t="s">
        <v>61</v>
      </c>
      <c r="G2764" t="s">
        <v>867</v>
      </c>
      <c r="H2764">
        <v>89.97</v>
      </c>
      <c r="I2764">
        <v>3</v>
      </c>
      <c r="J2764">
        <v>37.787399999999998</v>
      </c>
      <c r="K2764">
        <v>2014</v>
      </c>
      <c r="L2764">
        <v>9</v>
      </c>
      <c r="M2764" t="s">
        <v>87</v>
      </c>
      <c r="N2764">
        <v>18</v>
      </c>
      <c r="O2764">
        <v>3</v>
      </c>
      <c r="P2764">
        <v>42</v>
      </c>
      <c r="Q2764">
        <v>29.99</v>
      </c>
      <c r="R2764" t="s">
        <v>26</v>
      </c>
      <c r="S2764" t="b">
        <v>0</v>
      </c>
      <c r="T2764" t="b">
        <v>0</v>
      </c>
    </row>
    <row r="2765" spans="1:20" x14ac:dyDescent="0.3">
      <c r="A2765" t="s">
        <v>3736</v>
      </c>
      <c r="B2765" s="1">
        <v>40815</v>
      </c>
      <c r="C2765" s="1">
        <v>40820</v>
      </c>
      <c r="D2765" t="s">
        <v>3737</v>
      </c>
      <c r="E2765" t="s">
        <v>39</v>
      </c>
      <c r="F2765" t="s">
        <v>33</v>
      </c>
      <c r="G2765" t="s">
        <v>1418</v>
      </c>
      <c r="H2765">
        <v>10.048</v>
      </c>
      <c r="I2765">
        <v>2</v>
      </c>
      <c r="J2765">
        <v>3.14</v>
      </c>
      <c r="K2765">
        <v>2011</v>
      </c>
      <c r="L2765">
        <v>9</v>
      </c>
      <c r="M2765" t="s">
        <v>87</v>
      </c>
      <c r="N2765">
        <v>29</v>
      </c>
      <c r="O2765">
        <v>5</v>
      </c>
      <c r="P2765">
        <v>31.25</v>
      </c>
      <c r="Q2765">
        <v>5.024</v>
      </c>
      <c r="R2765" t="s">
        <v>26</v>
      </c>
      <c r="S2765" t="b">
        <v>0</v>
      </c>
      <c r="T2765" t="b">
        <v>0</v>
      </c>
    </row>
    <row r="2766" spans="1:20" x14ac:dyDescent="0.3">
      <c r="A2766" t="s">
        <v>3738</v>
      </c>
      <c r="B2766" s="1">
        <v>41958</v>
      </c>
      <c r="C2766" s="1">
        <v>41963</v>
      </c>
      <c r="D2766" t="s">
        <v>1117</v>
      </c>
      <c r="E2766" t="s">
        <v>22</v>
      </c>
      <c r="F2766" t="s">
        <v>31</v>
      </c>
      <c r="G2766" t="s">
        <v>2373</v>
      </c>
      <c r="H2766">
        <v>34.24</v>
      </c>
      <c r="I2766">
        <v>8</v>
      </c>
      <c r="J2766">
        <v>9.9296000000000006</v>
      </c>
      <c r="K2766">
        <v>2014</v>
      </c>
      <c r="L2766">
        <v>11</v>
      </c>
      <c r="M2766" t="s">
        <v>70</v>
      </c>
      <c r="N2766">
        <v>15</v>
      </c>
      <c r="O2766">
        <v>5</v>
      </c>
      <c r="P2766">
        <v>29</v>
      </c>
      <c r="Q2766">
        <v>4.28</v>
      </c>
      <c r="R2766" t="s">
        <v>26</v>
      </c>
      <c r="S2766" t="b">
        <v>0</v>
      </c>
      <c r="T2766" t="b">
        <v>0</v>
      </c>
    </row>
    <row r="2767" spans="1:20" x14ac:dyDescent="0.3">
      <c r="A2767" t="s">
        <v>3739</v>
      </c>
      <c r="B2767" s="1">
        <v>41715</v>
      </c>
      <c r="C2767" s="1">
        <v>41720</v>
      </c>
      <c r="D2767" t="s">
        <v>1409</v>
      </c>
      <c r="E2767" t="s">
        <v>22</v>
      </c>
      <c r="F2767" t="s">
        <v>45</v>
      </c>
      <c r="G2767" t="s">
        <v>1568</v>
      </c>
      <c r="H2767">
        <v>310.12</v>
      </c>
      <c r="I2767">
        <v>2</v>
      </c>
      <c r="J2767">
        <v>80.631200000000007</v>
      </c>
      <c r="K2767">
        <v>2014</v>
      </c>
      <c r="L2767">
        <v>3</v>
      </c>
      <c r="M2767" t="s">
        <v>135</v>
      </c>
      <c r="N2767">
        <v>17</v>
      </c>
      <c r="O2767">
        <v>5</v>
      </c>
      <c r="P2767">
        <v>26</v>
      </c>
      <c r="Q2767">
        <v>155.06</v>
      </c>
      <c r="R2767" t="s">
        <v>26</v>
      </c>
      <c r="S2767" t="b">
        <v>0</v>
      </c>
      <c r="T2767" t="b">
        <v>1</v>
      </c>
    </row>
    <row r="2768" spans="1:20" x14ac:dyDescent="0.3">
      <c r="A2768" t="s">
        <v>3739</v>
      </c>
      <c r="B2768" s="1">
        <v>41715</v>
      </c>
      <c r="C2768" s="1">
        <v>41720</v>
      </c>
      <c r="D2768" t="s">
        <v>1409</v>
      </c>
      <c r="E2768" t="s">
        <v>22</v>
      </c>
      <c r="F2768" t="s">
        <v>33</v>
      </c>
      <c r="G2768" t="s">
        <v>2810</v>
      </c>
      <c r="H2768">
        <v>70.463999999999999</v>
      </c>
      <c r="I2768">
        <v>6</v>
      </c>
      <c r="J2768">
        <v>22.9008</v>
      </c>
      <c r="K2768">
        <v>2014</v>
      </c>
      <c r="L2768">
        <v>3</v>
      </c>
      <c r="M2768" t="s">
        <v>135</v>
      </c>
      <c r="N2768">
        <v>17</v>
      </c>
      <c r="O2768">
        <v>5</v>
      </c>
      <c r="P2768">
        <v>32.5</v>
      </c>
      <c r="Q2768">
        <v>11.744</v>
      </c>
      <c r="R2768" t="s">
        <v>26</v>
      </c>
      <c r="S2768" t="b">
        <v>0</v>
      </c>
      <c r="T2768" t="b">
        <v>0</v>
      </c>
    </row>
    <row r="2769" spans="1:20" x14ac:dyDescent="0.3">
      <c r="A2769" t="s">
        <v>3739</v>
      </c>
      <c r="B2769" s="1">
        <v>41715</v>
      </c>
      <c r="C2769" s="1">
        <v>41720</v>
      </c>
      <c r="D2769" t="s">
        <v>1409</v>
      </c>
      <c r="E2769" t="s">
        <v>22</v>
      </c>
      <c r="F2769" t="s">
        <v>33</v>
      </c>
      <c r="G2769" t="s">
        <v>2855</v>
      </c>
      <c r="H2769">
        <v>19.68</v>
      </c>
      <c r="I2769">
        <v>5</v>
      </c>
      <c r="J2769">
        <v>6.8879999999999999</v>
      </c>
      <c r="K2769">
        <v>2014</v>
      </c>
      <c r="L2769">
        <v>3</v>
      </c>
      <c r="M2769" t="s">
        <v>135</v>
      </c>
      <c r="N2769">
        <v>17</v>
      </c>
      <c r="O2769">
        <v>5</v>
      </c>
      <c r="P2769">
        <v>35</v>
      </c>
      <c r="Q2769">
        <v>3.9359999999999999</v>
      </c>
      <c r="R2769" t="s">
        <v>26</v>
      </c>
      <c r="S2769" t="b">
        <v>0</v>
      </c>
      <c r="T2769" t="b">
        <v>0</v>
      </c>
    </row>
    <row r="2770" spans="1:20" x14ac:dyDescent="0.3">
      <c r="A2770" t="s">
        <v>3739</v>
      </c>
      <c r="B2770" s="1">
        <v>41715</v>
      </c>
      <c r="C2770" s="1">
        <v>41720</v>
      </c>
      <c r="D2770" t="s">
        <v>1409</v>
      </c>
      <c r="E2770" t="s">
        <v>22</v>
      </c>
      <c r="F2770" t="s">
        <v>35</v>
      </c>
      <c r="G2770" t="s">
        <v>3740</v>
      </c>
      <c r="H2770">
        <v>140.66999999999999</v>
      </c>
      <c r="I2770">
        <v>3</v>
      </c>
      <c r="J2770">
        <v>54.8613</v>
      </c>
      <c r="K2770">
        <v>2014</v>
      </c>
      <c r="L2770">
        <v>3</v>
      </c>
      <c r="M2770" t="s">
        <v>135</v>
      </c>
      <c r="N2770">
        <v>17</v>
      </c>
      <c r="O2770">
        <v>5</v>
      </c>
      <c r="P2770">
        <v>39</v>
      </c>
      <c r="Q2770">
        <v>46.889999999999993</v>
      </c>
      <c r="R2770" t="s">
        <v>26</v>
      </c>
      <c r="S2770" t="b">
        <v>0</v>
      </c>
      <c r="T2770" t="b">
        <v>0</v>
      </c>
    </row>
    <row r="2771" spans="1:20" x14ac:dyDescent="0.3">
      <c r="A2771" t="s">
        <v>3741</v>
      </c>
      <c r="B2771" s="1">
        <v>41972</v>
      </c>
      <c r="C2771" s="1">
        <v>41976</v>
      </c>
      <c r="D2771" t="s">
        <v>1561</v>
      </c>
      <c r="E2771" t="s">
        <v>194</v>
      </c>
      <c r="F2771" t="s">
        <v>23</v>
      </c>
      <c r="G2771" t="s">
        <v>2824</v>
      </c>
      <c r="H2771">
        <v>62.65</v>
      </c>
      <c r="I2771">
        <v>5</v>
      </c>
      <c r="J2771">
        <v>29.445499999999999</v>
      </c>
      <c r="K2771">
        <v>2014</v>
      </c>
      <c r="L2771">
        <v>11</v>
      </c>
      <c r="M2771" t="s">
        <v>70</v>
      </c>
      <c r="N2771">
        <v>29</v>
      </c>
      <c r="O2771">
        <v>4</v>
      </c>
      <c r="P2771">
        <v>47</v>
      </c>
      <c r="Q2771">
        <v>12.53</v>
      </c>
      <c r="R2771" t="s">
        <v>26</v>
      </c>
      <c r="S2771" t="b">
        <v>0</v>
      </c>
      <c r="T2771" t="b">
        <v>0</v>
      </c>
    </row>
    <row r="2772" spans="1:20" x14ac:dyDescent="0.3">
      <c r="A2772" t="s">
        <v>3742</v>
      </c>
      <c r="B2772" s="1">
        <v>41968</v>
      </c>
      <c r="C2772" s="1">
        <v>41968</v>
      </c>
      <c r="D2772" t="s">
        <v>2643</v>
      </c>
      <c r="E2772" t="s">
        <v>22</v>
      </c>
      <c r="F2772" t="s">
        <v>174</v>
      </c>
      <c r="G2772" t="s">
        <v>3743</v>
      </c>
      <c r="H2772">
        <v>364.08</v>
      </c>
      <c r="I2772">
        <v>2</v>
      </c>
      <c r="J2772">
        <v>9.1020000000000003</v>
      </c>
      <c r="K2772">
        <v>2014</v>
      </c>
      <c r="L2772">
        <v>11</v>
      </c>
      <c r="M2772" t="s">
        <v>70</v>
      </c>
      <c r="N2772">
        <v>25</v>
      </c>
      <c r="O2772">
        <v>0</v>
      </c>
      <c r="P2772">
        <v>2.5</v>
      </c>
      <c r="Q2772">
        <v>182.04</v>
      </c>
      <c r="R2772" t="s">
        <v>26</v>
      </c>
      <c r="S2772" t="b">
        <v>0</v>
      </c>
      <c r="T2772" t="b">
        <v>1</v>
      </c>
    </row>
    <row r="2773" spans="1:20" x14ac:dyDescent="0.3">
      <c r="A2773" t="s">
        <v>3742</v>
      </c>
      <c r="B2773" s="1">
        <v>41968</v>
      </c>
      <c r="C2773" s="1">
        <v>41968</v>
      </c>
      <c r="D2773" t="s">
        <v>2643</v>
      </c>
      <c r="E2773" t="s">
        <v>22</v>
      </c>
      <c r="F2773" t="s">
        <v>174</v>
      </c>
      <c r="G2773" t="s">
        <v>2237</v>
      </c>
      <c r="H2773">
        <v>71.087999999999994</v>
      </c>
      <c r="I2773">
        <v>2</v>
      </c>
      <c r="J2773">
        <v>-1.7771999999999999</v>
      </c>
      <c r="K2773">
        <v>2014</v>
      </c>
      <c r="L2773">
        <v>11</v>
      </c>
      <c r="M2773" t="s">
        <v>70</v>
      </c>
      <c r="N2773">
        <v>25</v>
      </c>
      <c r="O2773">
        <v>0</v>
      </c>
      <c r="P2773">
        <v>-2.5</v>
      </c>
      <c r="Q2773">
        <v>35.543999999999997</v>
      </c>
      <c r="R2773" t="s">
        <v>26</v>
      </c>
      <c r="S2773" t="b">
        <v>1</v>
      </c>
      <c r="T2773" t="b">
        <v>0</v>
      </c>
    </row>
    <row r="2774" spans="1:20" x14ac:dyDescent="0.3">
      <c r="A2774" t="s">
        <v>3744</v>
      </c>
      <c r="B2774" s="1">
        <v>41457</v>
      </c>
      <c r="C2774" s="1">
        <v>41458</v>
      </c>
      <c r="D2774" t="s">
        <v>493</v>
      </c>
      <c r="E2774" t="s">
        <v>39</v>
      </c>
      <c r="F2774" t="s">
        <v>33</v>
      </c>
      <c r="G2774" t="s">
        <v>1254</v>
      </c>
      <c r="H2774">
        <v>2.496</v>
      </c>
      <c r="I2774">
        <v>1</v>
      </c>
      <c r="J2774">
        <v>0.90480000000000005</v>
      </c>
      <c r="K2774">
        <v>2013</v>
      </c>
      <c r="L2774">
        <v>7</v>
      </c>
      <c r="M2774" t="s">
        <v>66</v>
      </c>
      <c r="N2774">
        <v>2</v>
      </c>
      <c r="O2774">
        <v>1</v>
      </c>
      <c r="P2774">
        <v>36.25</v>
      </c>
      <c r="Q2774">
        <v>2.496</v>
      </c>
      <c r="R2774" t="s">
        <v>26</v>
      </c>
      <c r="S2774" t="b">
        <v>0</v>
      </c>
      <c r="T2774" t="b">
        <v>0</v>
      </c>
    </row>
    <row r="2775" spans="1:20" x14ac:dyDescent="0.3">
      <c r="A2775" t="s">
        <v>3745</v>
      </c>
      <c r="B2775" s="1">
        <v>40589</v>
      </c>
      <c r="C2775" s="1">
        <v>40593</v>
      </c>
      <c r="D2775" t="s">
        <v>946</v>
      </c>
      <c r="E2775" t="s">
        <v>39</v>
      </c>
      <c r="F2775" t="s">
        <v>61</v>
      </c>
      <c r="G2775" t="s">
        <v>2346</v>
      </c>
      <c r="H2775">
        <v>239.97</v>
      </c>
      <c r="I2775">
        <v>3</v>
      </c>
      <c r="J2775">
        <v>86.389200000000002</v>
      </c>
      <c r="K2775">
        <v>2011</v>
      </c>
      <c r="L2775">
        <v>2</v>
      </c>
      <c r="M2775" t="s">
        <v>303</v>
      </c>
      <c r="N2775">
        <v>15</v>
      </c>
      <c r="O2775">
        <v>4</v>
      </c>
      <c r="P2775">
        <v>36</v>
      </c>
      <c r="Q2775">
        <v>79.989999999999995</v>
      </c>
      <c r="R2775" t="s">
        <v>26</v>
      </c>
      <c r="S2775" t="b">
        <v>0</v>
      </c>
      <c r="T2775" t="b">
        <v>1</v>
      </c>
    </row>
    <row r="2776" spans="1:20" x14ac:dyDescent="0.3">
      <c r="A2776" t="s">
        <v>3745</v>
      </c>
      <c r="B2776" s="1">
        <v>40589</v>
      </c>
      <c r="C2776" s="1">
        <v>40593</v>
      </c>
      <c r="D2776" t="s">
        <v>946</v>
      </c>
      <c r="E2776" t="s">
        <v>39</v>
      </c>
      <c r="F2776" t="s">
        <v>35</v>
      </c>
      <c r="G2776" t="s">
        <v>3746</v>
      </c>
      <c r="H2776">
        <v>81.96</v>
      </c>
      <c r="I2776">
        <v>2</v>
      </c>
      <c r="J2776">
        <v>22.948799999999999</v>
      </c>
      <c r="K2776">
        <v>2011</v>
      </c>
      <c r="L2776">
        <v>2</v>
      </c>
      <c r="M2776" t="s">
        <v>303</v>
      </c>
      <c r="N2776">
        <v>15</v>
      </c>
      <c r="O2776">
        <v>4</v>
      </c>
      <c r="P2776">
        <v>28</v>
      </c>
      <c r="Q2776">
        <v>40.98</v>
      </c>
      <c r="R2776" t="s">
        <v>26</v>
      </c>
      <c r="S2776" t="b">
        <v>0</v>
      </c>
      <c r="T2776" t="b">
        <v>0</v>
      </c>
    </row>
    <row r="2777" spans="1:20" x14ac:dyDescent="0.3">
      <c r="A2777" t="s">
        <v>3745</v>
      </c>
      <c r="B2777" s="1">
        <v>40589</v>
      </c>
      <c r="C2777" s="1">
        <v>40593</v>
      </c>
      <c r="D2777" t="s">
        <v>946</v>
      </c>
      <c r="E2777" t="s">
        <v>39</v>
      </c>
      <c r="F2777" t="s">
        <v>122</v>
      </c>
      <c r="G2777" t="s">
        <v>2665</v>
      </c>
      <c r="H2777">
        <v>238.62</v>
      </c>
      <c r="I2777">
        <v>2</v>
      </c>
      <c r="J2777">
        <v>4.7724000000000002</v>
      </c>
      <c r="K2777">
        <v>2011</v>
      </c>
      <c r="L2777">
        <v>2</v>
      </c>
      <c r="M2777" t="s">
        <v>303</v>
      </c>
      <c r="N2777">
        <v>15</v>
      </c>
      <c r="O2777">
        <v>4</v>
      </c>
      <c r="P2777">
        <v>2</v>
      </c>
      <c r="Q2777">
        <v>119.31</v>
      </c>
      <c r="R2777" t="s">
        <v>26</v>
      </c>
      <c r="S2777" t="b">
        <v>0</v>
      </c>
      <c r="T2777" t="b">
        <v>1</v>
      </c>
    </row>
    <row r="2778" spans="1:20" x14ac:dyDescent="0.3">
      <c r="A2778" t="s">
        <v>3747</v>
      </c>
      <c r="B2778" s="1">
        <v>40712</v>
      </c>
      <c r="C2778" s="1">
        <v>40717</v>
      </c>
      <c r="D2778" t="s">
        <v>1583</v>
      </c>
      <c r="E2778" t="s">
        <v>22</v>
      </c>
      <c r="F2778" t="s">
        <v>54</v>
      </c>
      <c r="G2778" t="s">
        <v>3748</v>
      </c>
      <c r="H2778">
        <v>139.80000000000001</v>
      </c>
      <c r="I2778">
        <v>5</v>
      </c>
      <c r="J2778">
        <v>12.2325</v>
      </c>
      <c r="K2778">
        <v>2011</v>
      </c>
      <c r="L2778">
        <v>6</v>
      </c>
      <c r="M2778" t="s">
        <v>25</v>
      </c>
      <c r="N2778">
        <v>18</v>
      </c>
      <c r="O2778">
        <v>5</v>
      </c>
      <c r="P2778">
        <v>8.75</v>
      </c>
      <c r="Q2778">
        <v>27.96</v>
      </c>
      <c r="R2778" t="s">
        <v>26</v>
      </c>
      <c r="S2778" t="b">
        <v>0</v>
      </c>
      <c r="T2778" t="b">
        <v>0</v>
      </c>
    </row>
    <row r="2779" spans="1:20" x14ac:dyDescent="0.3">
      <c r="A2779" t="s">
        <v>3749</v>
      </c>
      <c r="B2779" s="1">
        <v>41981</v>
      </c>
      <c r="C2779" s="1">
        <v>41988</v>
      </c>
      <c r="D2779" t="s">
        <v>2325</v>
      </c>
      <c r="E2779" t="s">
        <v>51</v>
      </c>
      <c r="F2779" t="s">
        <v>72</v>
      </c>
      <c r="G2779" t="s">
        <v>1321</v>
      </c>
      <c r="H2779">
        <v>50.04</v>
      </c>
      <c r="I2779">
        <v>6</v>
      </c>
      <c r="J2779">
        <v>25.02</v>
      </c>
      <c r="K2779">
        <v>2014</v>
      </c>
      <c r="L2779">
        <v>12</v>
      </c>
      <c r="M2779" t="s">
        <v>41</v>
      </c>
      <c r="N2779">
        <v>8</v>
      </c>
      <c r="O2779">
        <v>7</v>
      </c>
      <c r="P2779">
        <v>50</v>
      </c>
      <c r="Q2779">
        <v>8.34</v>
      </c>
      <c r="R2779" t="s">
        <v>26</v>
      </c>
      <c r="S2779" t="b">
        <v>0</v>
      </c>
      <c r="T2779" t="b">
        <v>0</v>
      </c>
    </row>
    <row r="2780" spans="1:20" x14ac:dyDescent="0.3">
      <c r="A2780" t="s">
        <v>3750</v>
      </c>
      <c r="B2780" s="1">
        <v>41912</v>
      </c>
      <c r="C2780" s="1">
        <v>41919</v>
      </c>
      <c r="D2780" t="s">
        <v>2680</v>
      </c>
      <c r="E2780" t="s">
        <v>3751</v>
      </c>
      <c r="F2780" t="s">
        <v>122</v>
      </c>
      <c r="G2780" t="s">
        <v>3752</v>
      </c>
      <c r="H2780">
        <v>97.3</v>
      </c>
      <c r="I2780">
        <v>7</v>
      </c>
      <c r="J2780">
        <v>28.216999999999999</v>
      </c>
      <c r="K2780">
        <v>2014</v>
      </c>
      <c r="L2780">
        <v>9</v>
      </c>
      <c r="M2780" t="s">
        <v>87</v>
      </c>
      <c r="N2780">
        <v>30</v>
      </c>
      <c r="O2780">
        <v>7</v>
      </c>
      <c r="P2780">
        <v>29</v>
      </c>
      <c r="Q2780">
        <v>13.9</v>
      </c>
      <c r="R2780" t="s">
        <v>26</v>
      </c>
      <c r="S2780" t="b">
        <v>0</v>
      </c>
      <c r="T2780" t="b">
        <v>0</v>
      </c>
    </row>
    <row r="2781" spans="1:20" x14ac:dyDescent="0.3">
      <c r="A2781" t="s">
        <v>3753</v>
      </c>
      <c r="B2781" s="1">
        <v>40854</v>
      </c>
      <c r="C2781" s="1">
        <v>40858</v>
      </c>
      <c r="D2781" t="s">
        <v>3754</v>
      </c>
      <c r="E2781" t="s">
        <v>92</v>
      </c>
      <c r="F2781" t="s">
        <v>72</v>
      </c>
      <c r="G2781" t="s">
        <v>89</v>
      </c>
      <c r="H2781">
        <v>25.92</v>
      </c>
      <c r="I2781">
        <v>5</v>
      </c>
      <c r="J2781">
        <v>9.0719999999999992</v>
      </c>
      <c r="K2781">
        <v>2011</v>
      </c>
      <c r="L2781">
        <v>11</v>
      </c>
      <c r="M2781" t="s">
        <v>70</v>
      </c>
      <c r="N2781">
        <v>7</v>
      </c>
      <c r="O2781">
        <v>4</v>
      </c>
      <c r="P2781">
        <v>35</v>
      </c>
      <c r="Q2781">
        <v>5.1840000000000002</v>
      </c>
      <c r="R2781" t="s">
        <v>26</v>
      </c>
      <c r="S2781" t="b">
        <v>0</v>
      </c>
      <c r="T2781" t="b">
        <v>0</v>
      </c>
    </row>
    <row r="2782" spans="1:20" x14ac:dyDescent="0.3">
      <c r="A2782" t="s">
        <v>3753</v>
      </c>
      <c r="B2782" s="1">
        <v>40854</v>
      </c>
      <c r="C2782" s="1">
        <v>40858</v>
      </c>
      <c r="D2782" t="s">
        <v>3754</v>
      </c>
      <c r="E2782" t="s">
        <v>92</v>
      </c>
      <c r="F2782" t="s">
        <v>31</v>
      </c>
      <c r="G2782" t="s">
        <v>3264</v>
      </c>
      <c r="H2782">
        <v>120.768</v>
      </c>
      <c r="I2782">
        <v>4</v>
      </c>
      <c r="J2782">
        <v>9.0576000000000008</v>
      </c>
      <c r="K2782">
        <v>2011</v>
      </c>
      <c r="L2782">
        <v>11</v>
      </c>
      <c r="M2782" t="s">
        <v>70</v>
      </c>
      <c r="N2782">
        <v>7</v>
      </c>
      <c r="O2782">
        <v>4</v>
      </c>
      <c r="P2782">
        <v>7.5</v>
      </c>
      <c r="Q2782">
        <v>30.192</v>
      </c>
      <c r="R2782" t="s">
        <v>26</v>
      </c>
      <c r="S2782" t="b">
        <v>0</v>
      </c>
      <c r="T2782" t="b">
        <v>0</v>
      </c>
    </row>
    <row r="2783" spans="1:20" x14ac:dyDescent="0.3">
      <c r="A2783" t="s">
        <v>3755</v>
      </c>
      <c r="B2783" s="1">
        <v>40770</v>
      </c>
      <c r="C2783" s="1">
        <v>40774</v>
      </c>
      <c r="D2783" t="s">
        <v>2311</v>
      </c>
      <c r="E2783" t="s">
        <v>51</v>
      </c>
      <c r="F2783" t="s">
        <v>35</v>
      </c>
      <c r="G2783" t="s">
        <v>435</v>
      </c>
      <c r="H2783">
        <v>152.91</v>
      </c>
      <c r="I2783">
        <v>3</v>
      </c>
      <c r="J2783">
        <v>42.814799999999998</v>
      </c>
      <c r="K2783">
        <v>2011</v>
      </c>
      <c r="L2783">
        <v>8</v>
      </c>
      <c r="M2783" t="s">
        <v>53</v>
      </c>
      <c r="N2783">
        <v>15</v>
      </c>
      <c r="O2783">
        <v>4</v>
      </c>
      <c r="P2783">
        <v>28</v>
      </c>
      <c r="Q2783">
        <v>50.97</v>
      </c>
      <c r="R2783" t="s">
        <v>26</v>
      </c>
      <c r="S2783" t="b">
        <v>0</v>
      </c>
      <c r="T2783" t="b">
        <v>0</v>
      </c>
    </row>
    <row r="2784" spans="1:20" x14ac:dyDescent="0.3">
      <c r="A2784" t="s">
        <v>3755</v>
      </c>
      <c r="B2784" s="1">
        <v>40770</v>
      </c>
      <c r="C2784" s="1">
        <v>40774</v>
      </c>
      <c r="D2784" t="s">
        <v>2311</v>
      </c>
      <c r="E2784" t="s">
        <v>51</v>
      </c>
      <c r="F2784" t="s">
        <v>72</v>
      </c>
      <c r="G2784" t="s">
        <v>2548</v>
      </c>
      <c r="H2784">
        <v>92.94</v>
      </c>
      <c r="I2784">
        <v>3</v>
      </c>
      <c r="J2784">
        <v>41.823</v>
      </c>
      <c r="K2784">
        <v>2011</v>
      </c>
      <c r="L2784">
        <v>8</v>
      </c>
      <c r="M2784" t="s">
        <v>53</v>
      </c>
      <c r="N2784">
        <v>15</v>
      </c>
      <c r="O2784">
        <v>4</v>
      </c>
      <c r="P2784">
        <v>45</v>
      </c>
      <c r="Q2784">
        <v>30.98</v>
      </c>
      <c r="R2784" t="s">
        <v>26</v>
      </c>
      <c r="S2784" t="b">
        <v>0</v>
      </c>
      <c r="T2784" t="b">
        <v>0</v>
      </c>
    </row>
    <row r="2785" spans="1:20" x14ac:dyDescent="0.3">
      <c r="A2785" t="s">
        <v>3755</v>
      </c>
      <c r="B2785" s="1">
        <v>40770</v>
      </c>
      <c r="C2785" s="1">
        <v>40774</v>
      </c>
      <c r="D2785" t="s">
        <v>2311</v>
      </c>
      <c r="E2785" t="s">
        <v>51</v>
      </c>
      <c r="F2785" t="s">
        <v>33</v>
      </c>
      <c r="G2785" t="s">
        <v>1615</v>
      </c>
      <c r="H2785">
        <v>17.856000000000002</v>
      </c>
      <c r="I2785">
        <v>4</v>
      </c>
      <c r="J2785">
        <v>6.2496</v>
      </c>
      <c r="K2785">
        <v>2011</v>
      </c>
      <c r="L2785">
        <v>8</v>
      </c>
      <c r="M2785" t="s">
        <v>53</v>
      </c>
      <c r="N2785">
        <v>15</v>
      </c>
      <c r="O2785">
        <v>4</v>
      </c>
      <c r="P2785">
        <v>35</v>
      </c>
      <c r="Q2785">
        <v>4.4640000000000004</v>
      </c>
      <c r="R2785" t="s">
        <v>26</v>
      </c>
      <c r="S2785" t="b">
        <v>0</v>
      </c>
      <c r="T2785" t="b">
        <v>0</v>
      </c>
    </row>
    <row r="2786" spans="1:20" x14ac:dyDescent="0.3">
      <c r="A2786" t="s">
        <v>3755</v>
      </c>
      <c r="B2786" s="1">
        <v>40770</v>
      </c>
      <c r="C2786" s="1">
        <v>40774</v>
      </c>
      <c r="D2786" t="s">
        <v>2311</v>
      </c>
      <c r="E2786" t="s">
        <v>51</v>
      </c>
      <c r="F2786" t="s">
        <v>33</v>
      </c>
      <c r="G2786" t="s">
        <v>1948</v>
      </c>
      <c r="H2786">
        <v>46.44</v>
      </c>
      <c r="I2786">
        <v>3</v>
      </c>
      <c r="J2786">
        <v>15.093</v>
      </c>
      <c r="K2786">
        <v>2011</v>
      </c>
      <c r="L2786">
        <v>8</v>
      </c>
      <c r="M2786" t="s">
        <v>53</v>
      </c>
      <c r="N2786">
        <v>15</v>
      </c>
      <c r="O2786">
        <v>4</v>
      </c>
      <c r="P2786">
        <v>32.5</v>
      </c>
      <c r="Q2786">
        <v>15.48</v>
      </c>
      <c r="R2786" t="s">
        <v>26</v>
      </c>
      <c r="S2786" t="b">
        <v>0</v>
      </c>
      <c r="T2786" t="b">
        <v>0</v>
      </c>
    </row>
    <row r="2787" spans="1:20" x14ac:dyDescent="0.3">
      <c r="A2787" t="s">
        <v>3755</v>
      </c>
      <c r="B2787" s="1">
        <v>40770</v>
      </c>
      <c r="C2787" s="1">
        <v>40774</v>
      </c>
      <c r="D2787" t="s">
        <v>2311</v>
      </c>
      <c r="E2787" t="s">
        <v>51</v>
      </c>
      <c r="F2787" t="s">
        <v>110</v>
      </c>
      <c r="G2787" t="s">
        <v>1163</v>
      </c>
      <c r="H2787">
        <v>195.136</v>
      </c>
      <c r="I2787">
        <v>4</v>
      </c>
      <c r="J2787">
        <v>-12.196</v>
      </c>
      <c r="K2787">
        <v>2011</v>
      </c>
      <c r="L2787">
        <v>8</v>
      </c>
      <c r="M2787" t="s">
        <v>53</v>
      </c>
      <c r="N2787">
        <v>15</v>
      </c>
      <c r="O2787">
        <v>4</v>
      </c>
      <c r="P2787">
        <v>-6.25</v>
      </c>
      <c r="Q2787">
        <v>48.783999999999999</v>
      </c>
      <c r="R2787" t="s">
        <v>26</v>
      </c>
      <c r="S2787" t="b">
        <v>1</v>
      </c>
      <c r="T2787" t="b">
        <v>0</v>
      </c>
    </row>
    <row r="2788" spans="1:20" x14ac:dyDescent="0.3">
      <c r="A2788" t="s">
        <v>3756</v>
      </c>
      <c r="B2788" s="1">
        <v>41543</v>
      </c>
      <c r="C2788" s="1">
        <v>41549</v>
      </c>
      <c r="D2788" t="s">
        <v>3757</v>
      </c>
      <c r="E2788" t="s">
        <v>231</v>
      </c>
      <c r="F2788" t="s">
        <v>72</v>
      </c>
      <c r="G2788" t="s">
        <v>3758</v>
      </c>
      <c r="H2788">
        <v>10.9</v>
      </c>
      <c r="I2788">
        <v>5</v>
      </c>
      <c r="J2788">
        <v>5.1230000000000002</v>
      </c>
      <c r="K2788">
        <v>2013</v>
      </c>
      <c r="L2788">
        <v>9</v>
      </c>
      <c r="M2788" t="s">
        <v>87</v>
      </c>
      <c r="N2788">
        <v>26</v>
      </c>
      <c r="O2788">
        <v>6</v>
      </c>
      <c r="P2788">
        <v>47</v>
      </c>
      <c r="Q2788">
        <v>2.1800000000000002</v>
      </c>
      <c r="R2788" t="s">
        <v>26</v>
      </c>
      <c r="S2788" t="b">
        <v>0</v>
      </c>
      <c r="T2788" t="b">
        <v>0</v>
      </c>
    </row>
    <row r="2789" spans="1:20" x14ac:dyDescent="0.3">
      <c r="A2789" t="s">
        <v>3756</v>
      </c>
      <c r="B2789" s="1">
        <v>41543</v>
      </c>
      <c r="C2789" s="1">
        <v>41549</v>
      </c>
      <c r="D2789" t="s">
        <v>3757</v>
      </c>
      <c r="E2789" t="s">
        <v>231</v>
      </c>
      <c r="F2789" t="s">
        <v>23</v>
      </c>
      <c r="G2789" t="s">
        <v>330</v>
      </c>
      <c r="H2789">
        <v>29.6</v>
      </c>
      <c r="I2789">
        <v>2</v>
      </c>
      <c r="J2789">
        <v>14.8</v>
      </c>
      <c r="K2789">
        <v>2013</v>
      </c>
      <c r="L2789">
        <v>9</v>
      </c>
      <c r="M2789" t="s">
        <v>87</v>
      </c>
      <c r="N2789">
        <v>26</v>
      </c>
      <c r="O2789">
        <v>6</v>
      </c>
      <c r="P2789">
        <v>50</v>
      </c>
      <c r="Q2789">
        <v>14.8</v>
      </c>
      <c r="R2789" t="s">
        <v>26</v>
      </c>
      <c r="S2789" t="b">
        <v>0</v>
      </c>
      <c r="T2789" t="b">
        <v>0</v>
      </c>
    </row>
    <row r="2790" spans="1:20" x14ac:dyDescent="0.3">
      <c r="A2790" t="s">
        <v>3756</v>
      </c>
      <c r="B2790" s="1">
        <v>41543</v>
      </c>
      <c r="C2790" s="1">
        <v>41549</v>
      </c>
      <c r="D2790" t="s">
        <v>3757</v>
      </c>
      <c r="E2790" t="s">
        <v>231</v>
      </c>
      <c r="F2790" t="s">
        <v>23</v>
      </c>
      <c r="G2790" t="s">
        <v>1042</v>
      </c>
      <c r="H2790">
        <v>4.9800000000000004</v>
      </c>
      <c r="I2790">
        <v>1</v>
      </c>
      <c r="J2790">
        <v>2.2907999999999999</v>
      </c>
      <c r="K2790">
        <v>2013</v>
      </c>
      <c r="L2790">
        <v>9</v>
      </c>
      <c r="M2790" t="s">
        <v>87</v>
      </c>
      <c r="N2790">
        <v>26</v>
      </c>
      <c r="O2790">
        <v>6</v>
      </c>
      <c r="P2790">
        <v>46</v>
      </c>
      <c r="Q2790">
        <v>4.9800000000000004</v>
      </c>
      <c r="R2790" t="s">
        <v>26</v>
      </c>
      <c r="S2790" t="b">
        <v>0</v>
      </c>
      <c r="T2790" t="b">
        <v>0</v>
      </c>
    </row>
    <row r="2791" spans="1:20" x14ac:dyDescent="0.3">
      <c r="A2791" t="s">
        <v>3756</v>
      </c>
      <c r="B2791" s="1">
        <v>41543</v>
      </c>
      <c r="C2791" s="1">
        <v>41549</v>
      </c>
      <c r="D2791" t="s">
        <v>3757</v>
      </c>
      <c r="E2791" t="s">
        <v>231</v>
      </c>
      <c r="F2791" t="s">
        <v>1342</v>
      </c>
      <c r="G2791" t="s">
        <v>3759</v>
      </c>
      <c r="H2791">
        <v>479.976</v>
      </c>
      <c r="I2791">
        <v>3</v>
      </c>
      <c r="J2791">
        <v>161.99189999999999</v>
      </c>
      <c r="K2791">
        <v>2013</v>
      </c>
      <c r="L2791">
        <v>9</v>
      </c>
      <c r="M2791" t="s">
        <v>87</v>
      </c>
      <c r="N2791">
        <v>26</v>
      </c>
      <c r="O2791">
        <v>6</v>
      </c>
      <c r="P2791">
        <v>33.75</v>
      </c>
      <c r="Q2791">
        <v>159.99199999999999</v>
      </c>
      <c r="R2791" t="s">
        <v>26</v>
      </c>
      <c r="S2791" t="b">
        <v>0</v>
      </c>
      <c r="T2791" t="b">
        <v>1</v>
      </c>
    </row>
    <row r="2792" spans="1:20" x14ac:dyDescent="0.3">
      <c r="A2792" t="s">
        <v>3756</v>
      </c>
      <c r="B2792" s="1">
        <v>41543</v>
      </c>
      <c r="C2792" s="1">
        <v>41549</v>
      </c>
      <c r="D2792" t="s">
        <v>3757</v>
      </c>
      <c r="E2792" t="s">
        <v>231</v>
      </c>
      <c r="F2792" t="s">
        <v>54</v>
      </c>
      <c r="G2792" t="s">
        <v>2309</v>
      </c>
      <c r="H2792">
        <v>44.735999999999997</v>
      </c>
      <c r="I2792">
        <v>8</v>
      </c>
      <c r="J2792">
        <v>4.4736000000000002</v>
      </c>
      <c r="K2792">
        <v>2013</v>
      </c>
      <c r="L2792">
        <v>9</v>
      </c>
      <c r="M2792" t="s">
        <v>87</v>
      </c>
      <c r="N2792">
        <v>26</v>
      </c>
      <c r="O2792">
        <v>6</v>
      </c>
      <c r="P2792">
        <v>10</v>
      </c>
      <c r="Q2792">
        <v>5.5919999999999996</v>
      </c>
      <c r="R2792" t="s">
        <v>26</v>
      </c>
      <c r="S2792" t="b">
        <v>0</v>
      </c>
      <c r="T2792" t="b">
        <v>0</v>
      </c>
    </row>
    <row r="2793" spans="1:20" x14ac:dyDescent="0.3">
      <c r="A2793" t="s">
        <v>3756</v>
      </c>
      <c r="B2793" s="1">
        <v>41543</v>
      </c>
      <c r="C2793" s="1">
        <v>41549</v>
      </c>
      <c r="D2793" t="s">
        <v>3757</v>
      </c>
      <c r="E2793" t="s">
        <v>231</v>
      </c>
      <c r="F2793" t="s">
        <v>31</v>
      </c>
      <c r="G2793" t="s">
        <v>678</v>
      </c>
      <c r="H2793">
        <v>5.76</v>
      </c>
      <c r="I2793">
        <v>2</v>
      </c>
      <c r="J2793">
        <v>1.6704000000000001</v>
      </c>
      <c r="K2793">
        <v>2013</v>
      </c>
      <c r="L2793">
        <v>9</v>
      </c>
      <c r="M2793" t="s">
        <v>87</v>
      </c>
      <c r="N2793">
        <v>26</v>
      </c>
      <c r="O2793">
        <v>6</v>
      </c>
      <c r="P2793">
        <v>29</v>
      </c>
      <c r="Q2793">
        <v>2.88</v>
      </c>
      <c r="R2793" t="s">
        <v>26</v>
      </c>
      <c r="S2793" t="b">
        <v>0</v>
      </c>
      <c r="T2793" t="b">
        <v>0</v>
      </c>
    </row>
    <row r="2794" spans="1:20" x14ac:dyDescent="0.3">
      <c r="A2794" t="s">
        <v>3756</v>
      </c>
      <c r="B2794" s="1">
        <v>41543</v>
      </c>
      <c r="C2794" s="1">
        <v>41549</v>
      </c>
      <c r="D2794" t="s">
        <v>3757</v>
      </c>
      <c r="E2794" t="s">
        <v>231</v>
      </c>
      <c r="F2794" t="s">
        <v>110</v>
      </c>
      <c r="G2794" t="s">
        <v>3380</v>
      </c>
      <c r="H2794">
        <v>483.13600000000002</v>
      </c>
      <c r="I2794">
        <v>4</v>
      </c>
      <c r="J2794">
        <v>60.392000000000003</v>
      </c>
      <c r="K2794">
        <v>2013</v>
      </c>
      <c r="L2794">
        <v>9</v>
      </c>
      <c r="M2794" t="s">
        <v>87</v>
      </c>
      <c r="N2794">
        <v>26</v>
      </c>
      <c r="O2794">
        <v>6</v>
      </c>
      <c r="P2794">
        <v>12.5</v>
      </c>
      <c r="Q2794">
        <v>120.78400000000001</v>
      </c>
      <c r="R2794" t="s">
        <v>26</v>
      </c>
      <c r="S2794" t="b">
        <v>0</v>
      </c>
      <c r="T2794" t="b">
        <v>1</v>
      </c>
    </row>
    <row r="2795" spans="1:20" x14ac:dyDescent="0.3">
      <c r="A2795" t="s">
        <v>3760</v>
      </c>
      <c r="B2795" s="1">
        <v>41885</v>
      </c>
      <c r="C2795" s="1">
        <v>41887</v>
      </c>
      <c r="D2795" t="s">
        <v>3085</v>
      </c>
      <c r="E2795" t="s">
        <v>22</v>
      </c>
      <c r="F2795" t="s">
        <v>35</v>
      </c>
      <c r="G2795" t="s">
        <v>1276</v>
      </c>
      <c r="H2795">
        <v>43.1</v>
      </c>
      <c r="I2795">
        <v>5</v>
      </c>
      <c r="J2795">
        <v>11.206</v>
      </c>
      <c r="K2795">
        <v>2014</v>
      </c>
      <c r="L2795">
        <v>9</v>
      </c>
      <c r="M2795" t="s">
        <v>87</v>
      </c>
      <c r="N2795">
        <v>3</v>
      </c>
      <c r="O2795">
        <v>2</v>
      </c>
      <c r="P2795">
        <v>26</v>
      </c>
      <c r="Q2795">
        <v>8.620000000000001</v>
      </c>
      <c r="R2795" t="s">
        <v>26</v>
      </c>
      <c r="S2795" t="b">
        <v>0</v>
      </c>
      <c r="T2795" t="b">
        <v>0</v>
      </c>
    </row>
    <row r="2796" spans="1:20" x14ac:dyDescent="0.3">
      <c r="A2796" t="s">
        <v>3760</v>
      </c>
      <c r="B2796" s="1">
        <v>41885</v>
      </c>
      <c r="C2796" s="1">
        <v>41887</v>
      </c>
      <c r="D2796" t="s">
        <v>3085</v>
      </c>
      <c r="E2796" t="s">
        <v>22</v>
      </c>
      <c r="F2796" t="s">
        <v>33</v>
      </c>
      <c r="G2796" t="s">
        <v>977</v>
      </c>
      <c r="H2796">
        <v>147.91999999999999</v>
      </c>
      <c r="I2796">
        <v>5</v>
      </c>
      <c r="J2796">
        <v>46.225000000000001</v>
      </c>
      <c r="K2796">
        <v>2014</v>
      </c>
      <c r="L2796">
        <v>9</v>
      </c>
      <c r="M2796" t="s">
        <v>87</v>
      </c>
      <c r="N2796">
        <v>3</v>
      </c>
      <c r="O2796">
        <v>2</v>
      </c>
      <c r="P2796">
        <v>31.25</v>
      </c>
      <c r="Q2796">
        <v>29.584</v>
      </c>
      <c r="R2796" t="s">
        <v>26</v>
      </c>
      <c r="S2796" t="b">
        <v>0</v>
      </c>
      <c r="T2796" t="b">
        <v>0</v>
      </c>
    </row>
    <row r="2797" spans="1:20" x14ac:dyDescent="0.3">
      <c r="A2797" t="s">
        <v>3761</v>
      </c>
      <c r="B2797" s="1">
        <v>40645</v>
      </c>
      <c r="C2797" s="1">
        <v>40651</v>
      </c>
      <c r="D2797" t="s">
        <v>2294</v>
      </c>
      <c r="E2797" t="s">
        <v>3751</v>
      </c>
      <c r="F2797" t="s">
        <v>31</v>
      </c>
      <c r="G2797" t="s">
        <v>3762</v>
      </c>
      <c r="H2797">
        <v>39.68</v>
      </c>
      <c r="I2797">
        <v>2</v>
      </c>
      <c r="J2797">
        <v>16.268799999999999</v>
      </c>
      <c r="K2797">
        <v>2011</v>
      </c>
      <c r="L2797">
        <v>4</v>
      </c>
      <c r="M2797" t="s">
        <v>236</v>
      </c>
      <c r="N2797">
        <v>12</v>
      </c>
      <c r="O2797">
        <v>6</v>
      </c>
      <c r="P2797">
        <v>41</v>
      </c>
      <c r="Q2797">
        <v>19.84</v>
      </c>
      <c r="R2797" t="s">
        <v>26</v>
      </c>
      <c r="S2797" t="b">
        <v>0</v>
      </c>
      <c r="T2797" t="b">
        <v>0</v>
      </c>
    </row>
    <row r="2798" spans="1:20" x14ac:dyDescent="0.3">
      <c r="A2798" t="s">
        <v>3763</v>
      </c>
      <c r="B2798" s="1">
        <v>41810</v>
      </c>
      <c r="C2798" s="1">
        <v>41814</v>
      </c>
      <c r="D2798" t="s">
        <v>1502</v>
      </c>
      <c r="E2798" t="s">
        <v>51</v>
      </c>
      <c r="F2798" t="s">
        <v>29</v>
      </c>
      <c r="G2798" t="s">
        <v>1925</v>
      </c>
      <c r="H2798">
        <v>50.32</v>
      </c>
      <c r="I2798">
        <v>4</v>
      </c>
      <c r="J2798">
        <v>21.134399999999999</v>
      </c>
      <c r="K2798">
        <v>2014</v>
      </c>
      <c r="L2798">
        <v>6</v>
      </c>
      <c r="M2798" t="s">
        <v>25</v>
      </c>
      <c r="N2798">
        <v>20</v>
      </c>
      <c r="O2798">
        <v>4</v>
      </c>
      <c r="P2798">
        <v>42</v>
      </c>
      <c r="Q2798">
        <v>12.58</v>
      </c>
      <c r="R2798" t="s">
        <v>26</v>
      </c>
      <c r="S2798" t="b">
        <v>0</v>
      </c>
      <c r="T2798" t="b">
        <v>0</v>
      </c>
    </row>
    <row r="2799" spans="1:20" x14ac:dyDescent="0.3">
      <c r="A2799" t="s">
        <v>3763</v>
      </c>
      <c r="B2799" s="1">
        <v>41810</v>
      </c>
      <c r="C2799" s="1">
        <v>41814</v>
      </c>
      <c r="D2799" t="s">
        <v>1502</v>
      </c>
      <c r="E2799" t="s">
        <v>51</v>
      </c>
      <c r="F2799" t="s">
        <v>72</v>
      </c>
      <c r="G2799" t="s">
        <v>3764</v>
      </c>
      <c r="H2799">
        <v>24.56</v>
      </c>
      <c r="I2799">
        <v>2</v>
      </c>
      <c r="J2799">
        <v>11.543200000000001</v>
      </c>
      <c r="K2799">
        <v>2014</v>
      </c>
      <c r="L2799">
        <v>6</v>
      </c>
      <c r="M2799" t="s">
        <v>25</v>
      </c>
      <c r="N2799">
        <v>20</v>
      </c>
      <c r="O2799">
        <v>4</v>
      </c>
      <c r="P2799">
        <v>47</v>
      </c>
      <c r="Q2799">
        <v>12.28</v>
      </c>
      <c r="R2799" t="s">
        <v>26</v>
      </c>
      <c r="S2799" t="b">
        <v>0</v>
      </c>
      <c r="T2799" t="b">
        <v>0</v>
      </c>
    </row>
    <row r="2800" spans="1:20" x14ac:dyDescent="0.3">
      <c r="A2800" t="s">
        <v>3765</v>
      </c>
      <c r="B2800" s="1">
        <v>40636</v>
      </c>
      <c r="C2800" s="1">
        <v>40641</v>
      </c>
      <c r="D2800" t="s">
        <v>1987</v>
      </c>
      <c r="E2800" t="s">
        <v>22</v>
      </c>
      <c r="F2800" t="s">
        <v>128</v>
      </c>
      <c r="G2800" t="s">
        <v>155</v>
      </c>
      <c r="H2800">
        <v>11.16</v>
      </c>
      <c r="I2800">
        <v>2</v>
      </c>
      <c r="J2800">
        <v>5.58</v>
      </c>
      <c r="K2800">
        <v>2011</v>
      </c>
      <c r="L2800">
        <v>4</v>
      </c>
      <c r="M2800" t="s">
        <v>236</v>
      </c>
      <c r="N2800">
        <v>3</v>
      </c>
      <c r="O2800">
        <v>5</v>
      </c>
      <c r="P2800">
        <v>50</v>
      </c>
      <c r="Q2800">
        <v>5.58</v>
      </c>
      <c r="R2800" t="s">
        <v>26</v>
      </c>
      <c r="S2800" t="b">
        <v>0</v>
      </c>
      <c r="T2800" t="b">
        <v>0</v>
      </c>
    </row>
    <row r="2801" spans="1:20" x14ac:dyDescent="0.3">
      <c r="A2801" t="s">
        <v>3765</v>
      </c>
      <c r="B2801" s="1">
        <v>40636</v>
      </c>
      <c r="C2801" s="1">
        <v>40641</v>
      </c>
      <c r="D2801" t="s">
        <v>1987</v>
      </c>
      <c r="E2801" t="s">
        <v>22</v>
      </c>
      <c r="F2801" t="s">
        <v>61</v>
      </c>
      <c r="G2801" t="s">
        <v>1112</v>
      </c>
      <c r="H2801">
        <v>62.31</v>
      </c>
      <c r="I2801">
        <v>3</v>
      </c>
      <c r="J2801">
        <v>22.4316</v>
      </c>
      <c r="K2801">
        <v>2011</v>
      </c>
      <c r="L2801">
        <v>4</v>
      </c>
      <c r="M2801" t="s">
        <v>236</v>
      </c>
      <c r="N2801">
        <v>3</v>
      </c>
      <c r="O2801">
        <v>5</v>
      </c>
      <c r="P2801">
        <v>36</v>
      </c>
      <c r="Q2801">
        <v>20.77</v>
      </c>
      <c r="R2801" t="s">
        <v>26</v>
      </c>
      <c r="S2801" t="b">
        <v>0</v>
      </c>
      <c r="T2801" t="b">
        <v>0</v>
      </c>
    </row>
    <row r="2802" spans="1:20" x14ac:dyDescent="0.3">
      <c r="A2802" t="s">
        <v>3765</v>
      </c>
      <c r="B2802" s="1">
        <v>40636</v>
      </c>
      <c r="C2802" s="1">
        <v>40641</v>
      </c>
      <c r="D2802" t="s">
        <v>1987</v>
      </c>
      <c r="E2802" t="s">
        <v>22</v>
      </c>
      <c r="F2802" t="s">
        <v>61</v>
      </c>
      <c r="G2802" t="s">
        <v>2346</v>
      </c>
      <c r="H2802">
        <v>159.97999999999999</v>
      </c>
      <c r="I2802">
        <v>2</v>
      </c>
      <c r="J2802">
        <v>57.592799999999997</v>
      </c>
      <c r="K2802">
        <v>2011</v>
      </c>
      <c r="L2802">
        <v>4</v>
      </c>
      <c r="M2802" t="s">
        <v>236</v>
      </c>
      <c r="N2802">
        <v>3</v>
      </c>
      <c r="O2802">
        <v>5</v>
      </c>
      <c r="P2802">
        <v>36</v>
      </c>
      <c r="Q2802">
        <v>79.989999999999995</v>
      </c>
      <c r="R2802" t="s">
        <v>26</v>
      </c>
      <c r="S2802" t="b">
        <v>0</v>
      </c>
      <c r="T2802" t="b">
        <v>0</v>
      </c>
    </row>
    <row r="2803" spans="1:20" x14ac:dyDescent="0.3">
      <c r="A2803" t="s">
        <v>3766</v>
      </c>
      <c r="B2803" s="1">
        <v>41873</v>
      </c>
      <c r="C2803" s="1">
        <v>41877</v>
      </c>
      <c r="D2803" t="s">
        <v>3767</v>
      </c>
      <c r="E2803" t="s">
        <v>297</v>
      </c>
      <c r="F2803" t="s">
        <v>45</v>
      </c>
      <c r="G2803" t="s">
        <v>716</v>
      </c>
      <c r="H2803">
        <v>237.096</v>
      </c>
      <c r="I2803">
        <v>3</v>
      </c>
      <c r="J2803">
        <v>20.745899999999999</v>
      </c>
      <c r="K2803">
        <v>2014</v>
      </c>
      <c r="L2803">
        <v>8</v>
      </c>
      <c r="M2803" t="s">
        <v>53</v>
      </c>
      <c r="N2803">
        <v>22</v>
      </c>
      <c r="O2803">
        <v>4</v>
      </c>
      <c r="P2803">
        <v>8.75</v>
      </c>
      <c r="Q2803">
        <v>79.031999999999996</v>
      </c>
      <c r="R2803" t="s">
        <v>26</v>
      </c>
      <c r="S2803" t="b">
        <v>0</v>
      </c>
      <c r="T2803" t="b">
        <v>1</v>
      </c>
    </row>
    <row r="2804" spans="1:20" x14ac:dyDescent="0.3">
      <c r="A2804" t="s">
        <v>3766</v>
      </c>
      <c r="B2804" s="1">
        <v>41873</v>
      </c>
      <c r="C2804" s="1">
        <v>41877</v>
      </c>
      <c r="D2804" t="s">
        <v>3767</v>
      </c>
      <c r="E2804" t="s">
        <v>297</v>
      </c>
      <c r="F2804" t="s">
        <v>29</v>
      </c>
      <c r="G2804" t="s">
        <v>3768</v>
      </c>
      <c r="H2804">
        <v>22.751999999999999</v>
      </c>
      <c r="I2804">
        <v>3</v>
      </c>
      <c r="J2804">
        <v>7.11</v>
      </c>
      <c r="K2804">
        <v>2014</v>
      </c>
      <c r="L2804">
        <v>8</v>
      </c>
      <c r="M2804" t="s">
        <v>53</v>
      </c>
      <c r="N2804">
        <v>22</v>
      </c>
      <c r="O2804">
        <v>4</v>
      </c>
      <c r="P2804">
        <v>31.25</v>
      </c>
      <c r="Q2804">
        <v>7.5839999999999996</v>
      </c>
      <c r="R2804" t="s">
        <v>26</v>
      </c>
      <c r="S2804" t="b">
        <v>0</v>
      </c>
      <c r="T2804" t="b">
        <v>0</v>
      </c>
    </row>
    <row r="2805" spans="1:20" x14ac:dyDescent="0.3">
      <c r="A2805" t="s">
        <v>3766</v>
      </c>
      <c r="B2805" s="1">
        <v>41873</v>
      </c>
      <c r="C2805" s="1">
        <v>41877</v>
      </c>
      <c r="D2805" t="s">
        <v>3767</v>
      </c>
      <c r="E2805" t="s">
        <v>297</v>
      </c>
      <c r="F2805" t="s">
        <v>72</v>
      </c>
      <c r="G2805" t="s">
        <v>140</v>
      </c>
      <c r="H2805">
        <v>6.6719999999999997</v>
      </c>
      <c r="I2805">
        <v>1</v>
      </c>
      <c r="J2805">
        <v>2.085</v>
      </c>
      <c r="K2805">
        <v>2014</v>
      </c>
      <c r="L2805">
        <v>8</v>
      </c>
      <c r="M2805" t="s">
        <v>53</v>
      </c>
      <c r="N2805">
        <v>22</v>
      </c>
      <c r="O2805">
        <v>4</v>
      </c>
      <c r="P2805">
        <v>31.25</v>
      </c>
      <c r="Q2805">
        <v>6.6719999999999997</v>
      </c>
      <c r="R2805" t="s">
        <v>26</v>
      </c>
      <c r="S2805" t="b">
        <v>0</v>
      </c>
      <c r="T2805" t="b">
        <v>0</v>
      </c>
    </row>
    <row r="2806" spans="1:20" x14ac:dyDescent="0.3">
      <c r="A2806" t="s">
        <v>3769</v>
      </c>
      <c r="B2806" s="1">
        <v>41165</v>
      </c>
      <c r="C2806" s="1">
        <v>41167</v>
      </c>
      <c r="D2806" t="s">
        <v>1409</v>
      </c>
      <c r="E2806" t="s">
        <v>1538</v>
      </c>
      <c r="F2806" t="s">
        <v>29</v>
      </c>
      <c r="G2806" t="s">
        <v>1154</v>
      </c>
      <c r="H2806">
        <v>131.88</v>
      </c>
      <c r="I2806">
        <v>7</v>
      </c>
      <c r="J2806">
        <v>55.389600000000002</v>
      </c>
      <c r="K2806">
        <v>2012</v>
      </c>
      <c r="L2806">
        <v>9</v>
      </c>
      <c r="M2806" t="s">
        <v>87</v>
      </c>
      <c r="N2806">
        <v>13</v>
      </c>
      <c r="O2806">
        <v>2</v>
      </c>
      <c r="P2806">
        <v>42</v>
      </c>
      <c r="Q2806">
        <v>18.84</v>
      </c>
      <c r="R2806" t="s">
        <v>26</v>
      </c>
      <c r="S2806" t="b">
        <v>0</v>
      </c>
      <c r="T2806" t="b">
        <v>0</v>
      </c>
    </row>
    <row r="2807" spans="1:20" x14ac:dyDescent="0.3">
      <c r="A2807" t="s">
        <v>3769</v>
      </c>
      <c r="B2807" s="1">
        <v>41165</v>
      </c>
      <c r="C2807" s="1">
        <v>41167</v>
      </c>
      <c r="D2807" t="s">
        <v>1409</v>
      </c>
      <c r="E2807" t="s">
        <v>1538</v>
      </c>
      <c r="F2807" t="s">
        <v>33</v>
      </c>
      <c r="G2807" t="s">
        <v>1233</v>
      </c>
      <c r="H2807">
        <v>25.032</v>
      </c>
      <c r="I2807">
        <v>3</v>
      </c>
      <c r="J2807">
        <v>7.8224999999999998</v>
      </c>
      <c r="K2807">
        <v>2012</v>
      </c>
      <c r="L2807">
        <v>9</v>
      </c>
      <c r="M2807" t="s">
        <v>87</v>
      </c>
      <c r="N2807">
        <v>13</v>
      </c>
      <c r="O2807">
        <v>2</v>
      </c>
      <c r="P2807">
        <v>31.25</v>
      </c>
      <c r="Q2807">
        <v>8.3439999999999994</v>
      </c>
      <c r="R2807" t="s">
        <v>26</v>
      </c>
      <c r="S2807" t="b">
        <v>0</v>
      </c>
      <c r="T2807" t="b">
        <v>0</v>
      </c>
    </row>
    <row r="2808" spans="1:20" x14ac:dyDescent="0.3">
      <c r="A2808" t="s">
        <v>3769</v>
      </c>
      <c r="B2808" s="1">
        <v>41165</v>
      </c>
      <c r="C2808" s="1">
        <v>41167</v>
      </c>
      <c r="D2808" t="s">
        <v>1409</v>
      </c>
      <c r="E2808" t="s">
        <v>1538</v>
      </c>
      <c r="F2808" t="s">
        <v>29</v>
      </c>
      <c r="G2808" t="s">
        <v>3770</v>
      </c>
      <c r="H2808">
        <v>207.35</v>
      </c>
      <c r="I2808">
        <v>5</v>
      </c>
      <c r="J2808">
        <v>24.882000000000001</v>
      </c>
      <c r="K2808">
        <v>2012</v>
      </c>
      <c r="L2808">
        <v>9</v>
      </c>
      <c r="M2808" t="s">
        <v>87</v>
      </c>
      <c r="N2808">
        <v>13</v>
      </c>
      <c r="O2808">
        <v>2</v>
      </c>
      <c r="P2808">
        <v>12</v>
      </c>
      <c r="Q2808">
        <v>41.47</v>
      </c>
      <c r="R2808" t="s">
        <v>26</v>
      </c>
      <c r="S2808" t="b">
        <v>0</v>
      </c>
      <c r="T2808" t="b">
        <v>0</v>
      </c>
    </row>
    <row r="2809" spans="1:20" x14ac:dyDescent="0.3">
      <c r="A2809" t="s">
        <v>3769</v>
      </c>
      <c r="B2809" s="1">
        <v>41165</v>
      </c>
      <c r="C2809" s="1">
        <v>41167</v>
      </c>
      <c r="D2809" t="s">
        <v>1409</v>
      </c>
      <c r="E2809" t="s">
        <v>1538</v>
      </c>
      <c r="F2809" t="s">
        <v>29</v>
      </c>
      <c r="G2809" t="s">
        <v>1898</v>
      </c>
      <c r="H2809">
        <v>44.67</v>
      </c>
      <c r="I2809">
        <v>3</v>
      </c>
      <c r="J2809">
        <v>12.0609</v>
      </c>
      <c r="K2809">
        <v>2012</v>
      </c>
      <c r="L2809">
        <v>9</v>
      </c>
      <c r="M2809" t="s">
        <v>87</v>
      </c>
      <c r="N2809">
        <v>13</v>
      </c>
      <c r="O2809">
        <v>2</v>
      </c>
      <c r="P2809">
        <v>27</v>
      </c>
      <c r="Q2809">
        <v>14.89</v>
      </c>
      <c r="R2809" t="s">
        <v>26</v>
      </c>
      <c r="S2809" t="b">
        <v>0</v>
      </c>
      <c r="T2809" t="b">
        <v>0</v>
      </c>
    </row>
    <row r="2810" spans="1:20" x14ac:dyDescent="0.3">
      <c r="A2810" t="s">
        <v>3769</v>
      </c>
      <c r="B2810" s="1">
        <v>41165</v>
      </c>
      <c r="C2810" s="1">
        <v>41167</v>
      </c>
      <c r="D2810" t="s">
        <v>1409</v>
      </c>
      <c r="E2810" t="s">
        <v>1538</v>
      </c>
      <c r="F2810" t="s">
        <v>72</v>
      </c>
      <c r="G2810" t="s">
        <v>2646</v>
      </c>
      <c r="H2810">
        <v>209.7</v>
      </c>
      <c r="I2810">
        <v>2</v>
      </c>
      <c r="J2810">
        <v>100.65600000000001</v>
      </c>
      <c r="K2810">
        <v>2012</v>
      </c>
      <c r="L2810">
        <v>9</v>
      </c>
      <c r="M2810" t="s">
        <v>87</v>
      </c>
      <c r="N2810">
        <v>13</v>
      </c>
      <c r="O2810">
        <v>2</v>
      </c>
      <c r="P2810">
        <v>48</v>
      </c>
      <c r="Q2810">
        <v>104.85</v>
      </c>
      <c r="R2810" t="s">
        <v>26</v>
      </c>
      <c r="S2810" t="b">
        <v>0</v>
      </c>
      <c r="T2810" t="b">
        <v>0</v>
      </c>
    </row>
    <row r="2811" spans="1:20" x14ac:dyDescent="0.3">
      <c r="A2811" t="s">
        <v>3771</v>
      </c>
      <c r="B2811" s="1">
        <v>41192</v>
      </c>
      <c r="C2811" s="1">
        <v>41194</v>
      </c>
      <c r="D2811" t="s">
        <v>852</v>
      </c>
      <c r="E2811" t="s">
        <v>2562</v>
      </c>
      <c r="F2811" t="s">
        <v>110</v>
      </c>
      <c r="G2811" t="s">
        <v>1332</v>
      </c>
      <c r="H2811">
        <v>362.13600000000002</v>
      </c>
      <c r="I2811">
        <v>3</v>
      </c>
      <c r="J2811">
        <v>-54.320399999999999</v>
      </c>
      <c r="K2811">
        <v>2012</v>
      </c>
      <c r="L2811">
        <v>10</v>
      </c>
      <c r="M2811" t="s">
        <v>82</v>
      </c>
      <c r="N2811">
        <v>10</v>
      </c>
      <c r="O2811">
        <v>2</v>
      </c>
      <c r="P2811">
        <v>-15</v>
      </c>
      <c r="Q2811">
        <v>120.712</v>
      </c>
      <c r="R2811" t="s">
        <v>26</v>
      </c>
      <c r="S2811" t="b">
        <v>1</v>
      </c>
      <c r="T2811" t="b">
        <v>1</v>
      </c>
    </row>
    <row r="2812" spans="1:20" x14ac:dyDescent="0.3">
      <c r="A2812" t="s">
        <v>3771</v>
      </c>
      <c r="B2812" s="1">
        <v>41192</v>
      </c>
      <c r="C2812" s="1">
        <v>41194</v>
      </c>
      <c r="D2812" t="s">
        <v>852</v>
      </c>
      <c r="E2812" t="s">
        <v>2562</v>
      </c>
      <c r="F2812" t="s">
        <v>23</v>
      </c>
      <c r="G2812" t="s">
        <v>2696</v>
      </c>
      <c r="H2812">
        <v>31.05</v>
      </c>
      <c r="I2812">
        <v>3</v>
      </c>
      <c r="J2812">
        <v>14.904</v>
      </c>
      <c r="K2812">
        <v>2012</v>
      </c>
      <c r="L2812">
        <v>10</v>
      </c>
      <c r="M2812" t="s">
        <v>82</v>
      </c>
      <c r="N2812">
        <v>10</v>
      </c>
      <c r="O2812">
        <v>2</v>
      </c>
      <c r="P2812">
        <v>48</v>
      </c>
      <c r="Q2812">
        <v>10.35</v>
      </c>
      <c r="R2812" t="s">
        <v>26</v>
      </c>
      <c r="S2812" t="b">
        <v>0</v>
      </c>
      <c r="T2812" t="b">
        <v>0</v>
      </c>
    </row>
    <row r="2813" spans="1:20" x14ac:dyDescent="0.3">
      <c r="A2813" t="s">
        <v>3772</v>
      </c>
      <c r="B2813" s="1">
        <v>41522</v>
      </c>
      <c r="C2813" s="1">
        <v>41522</v>
      </c>
      <c r="D2813" t="s">
        <v>2958</v>
      </c>
      <c r="E2813" t="s">
        <v>51</v>
      </c>
      <c r="F2813" t="s">
        <v>29</v>
      </c>
      <c r="G2813" t="s">
        <v>2458</v>
      </c>
      <c r="H2813">
        <v>24.27</v>
      </c>
      <c r="I2813">
        <v>3</v>
      </c>
      <c r="J2813">
        <v>8.7371999999999996</v>
      </c>
      <c r="K2813">
        <v>2013</v>
      </c>
      <c r="L2813">
        <v>9</v>
      </c>
      <c r="M2813" t="s">
        <v>87</v>
      </c>
      <c r="N2813">
        <v>5</v>
      </c>
      <c r="O2813">
        <v>0</v>
      </c>
      <c r="P2813">
        <v>36</v>
      </c>
      <c r="Q2813">
        <v>8.09</v>
      </c>
      <c r="R2813" t="s">
        <v>26</v>
      </c>
      <c r="S2813" t="b">
        <v>0</v>
      </c>
      <c r="T2813" t="b">
        <v>0</v>
      </c>
    </row>
    <row r="2814" spans="1:20" x14ac:dyDescent="0.3">
      <c r="A2814" t="s">
        <v>3773</v>
      </c>
      <c r="B2814" s="1">
        <v>41226</v>
      </c>
      <c r="C2814" s="1">
        <v>41230</v>
      </c>
      <c r="D2814" t="s">
        <v>274</v>
      </c>
      <c r="E2814" t="s">
        <v>1137</v>
      </c>
      <c r="F2814" t="s">
        <v>33</v>
      </c>
      <c r="G2814" t="s">
        <v>3774</v>
      </c>
      <c r="H2814">
        <v>9.8719999999999999</v>
      </c>
      <c r="I2814">
        <v>2</v>
      </c>
      <c r="J2814">
        <v>3.4552</v>
      </c>
      <c r="K2814">
        <v>2012</v>
      </c>
      <c r="L2814">
        <v>11</v>
      </c>
      <c r="M2814" t="s">
        <v>70</v>
      </c>
      <c r="N2814">
        <v>13</v>
      </c>
      <c r="O2814">
        <v>4</v>
      </c>
      <c r="P2814">
        <v>35</v>
      </c>
      <c r="Q2814">
        <v>4.9359999999999999</v>
      </c>
      <c r="R2814" t="s">
        <v>26</v>
      </c>
      <c r="S2814" t="b">
        <v>0</v>
      </c>
      <c r="T2814" t="b">
        <v>0</v>
      </c>
    </row>
    <row r="2815" spans="1:20" x14ac:dyDescent="0.3">
      <c r="A2815" t="s">
        <v>3773</v>
      </c>
      <c r="B2815" s="1">
        <v>41226</v>
      </c>
      <c r="C2815" s="1">
        <v>41230</v>
      </c>
      <c r="D2815" t="s">
        <v>274</v>
      </c>
      <c r="E2815" t="s">
        <v>1137</v>
      </c>
      <c r="F2815" t="s">
        <v>72</v>
      </c>
      <c r="G2815" t="s">
        <v>3169</v>
      </c>
      <c r="H2815">
        <v>29.96</v>
      </c>
      <c r="I2815">
        <v>7</v>
      </c>
      <c r="J2815">
        <v>13.481999999999999</v>
      </c>
      <c r="K2815">
        <v>2012</v>
      </c>
      <c r="L2815">
        <v>11</v>
      </c>
      <c r="M2815" t="s">
        <v>70</v>
      </c>
      <c r="N2815">
        <v>13</v>
      </c>
      <c r="O2815">
        <v>4</v>
      </c>
      <c r="P2815">
        <v>45</v>
      </c>
      <c r="Q2815">
        <v>4.28</v>
      </c>
      <c r="R2815" t="s">
        <v>26</v>
      </c>
      <c r="S2815" t="b">
        <v>0</v>
      </c>
      <c r="T2815" t="b">
        <v>0</v>
      </c>
    </row>
    <row r="2816" spans="1:20" x14ac:dyDescent="0.3">
      <c r="A2816" t="s">
        <v>3775</v>
      </c>
      <c r="B2816" s="1">
        <v>41429</v>
      </c>
      <c r="C2816" s="1">
        <v>41432</v>
      </c>
      <c r="D2816" t="s">
        <v>863</v>
      </c>
      <c r="E2816" t="s">
        <v>22</v>
      </c>
      <c r="F2816" t="s">
        <v>174</v>
      </c>
      <c r="G2816" t="s">
        <v>2237</v>
      </c>
      <c r="H2816">
        <v>71.087999999999994</v>
      </c>
      <c r="I2816">
        <v>2</v>
      </c>
      <c r="J2816">
        <v>-1.7771999999999999</v>
      </c>
      <c r="K2816">
        <v>2013</v>
      </c>
      <c r="L2816">
        <v>6</v>
      </c>
      <c r="M2816" t="s">
        <v>25</v>
      </c>
      <c r="N2816">
        <v>4</v>
      </c>
      <c r="O2816">
        <v>3</v>
      </c>
      <c r="P2816">
        <v>-2.5</v>
      </c>
      <c r="Q2816">
        <v>35.543999999999997</v>
      </c>
      <c r="R2816" t="s">
        <v>26</v>
      </c>
      <c r="S2816" t="b">
        <v>1</v>
      </c>
      <c r="T2816" t="b">
        <v>0</v>
      </c>
    </row>
    <row r="2817" spans="1:20" x14ac:dyDescent="0.3">
      <c r="A2817" t="s">
        <v>3776</v>
      </c>
      <c r="B2817" s="1">
        <v>41968</v>
      </c>
      <c r="C2817" s="1">
        <v>41974</v>
      </c>
      <c r="D2817" t="s">
        <v>441</v>
      </c>
      <c r="E2817" t="s">
        <v>51</v>
      </c>
      <c r="F2817" t="s">
        <v>61</v>
      </c>
      <c r="G2817" t="s">
        <v>3138</v>
      </c>
      <c r="H2817">
        <v>223.58</v>
      </c>
      <c r="I2817">
        <v>14</v>
      </c>
      <c r="J2817">
        <v>87.196200000000005</v>
      </c>
      <c r="K2817">
        <v>2014</v>
      </c>
      <c r="L2817">
        <v>11</v>
      </c>
      <c r="M2817" t="s">
        <v>70</v>
      </c>
      <c r="N2817">
        <v>25</v>
      </c>
      <c r="O2817">
        <v>6</v>
      </c>
      <c r="P2817">
        <v>39</v>
      </c>
      <c r="Q2817">
        <v>15.97</v>
      </c>
      <c r="R2817" t="s">
        <v>26</v>
      </c>
      <c r="S2817" t="b">
        <v>0</v>
      </c>
      <c r="T2817" t="b">
        <v>1</v>
      </c>
    </row>
    <row r="2818" spans="1:20" x14ac:dyDescent="0.3">
      <c r="A2818" t="s">
        <v>3777</v>
      </c>
      <c r="B2818" s="1">
        <v>40905</v>
      </c>
      <c r="C2818" s="1">
        <v>40911</v>
      </c>
      <c r="D2818" t="s">
        <v>3778</v>
      </c>
      <c r="E2818" t="s">
        <v>1538</v>
      </c>
      <c r="F2818" t="s">
        <v>122</v>
      </c>
      <c r="G2818" t="s">
        <v>2354</v>
      </c>
      <c r="H2818">
        <v>51.15</v>
      </c>
      <c r="I2818">
        <v>5</v>
      </c>
      <c r="J2818">
        <v>13.298999999999999</v>
      </c>
      <c r="K2818">
        <v>2011</v>
      </c>
      <c r="L2818">
        <v>12</v>
      </c>
      <c r="M2818" t="s">
        <v>41</v>
      </c>
      <c r="N2818">
        <v>28</v>
      </c>
      <c r="O2818">
        <v>6</v>
      </c>
      <c r="P2818">
        <v>26</v>
      </c>
      <c r="Q2818">
        <v>10.23</v>
      </c>
      <c r="R2818" t="s">
        <v>26</v>
      </c>
      <c r="S2818" t="b">
        <v>0</v>
      </c>
      <c r="T2818" t="b">
        <v>0</v>
      </c>
    </row>
    <row r="2819" spans="1:20" x14ac:dyDescent="0.3">
      <c r="A2819" t="s">
        <v>3779</v>
      </c>
      <c r="B2819" s="1">
        <v>41011</v>
      </c>
      <c r="C2819" s="1">
        <v>41016</v>
      </c>
      <c r="D2819" t="s">
        <v>2874</v>
      </c>
      <c r="E2819" t="s">
        <v>39</v>
      </c>
      <c r="F2819" t="s">
        <v>45</v>
      </c>
      <c r="G2819" t="s">
        <v>2061</v>
      </c>
      <c r="H2819">
        <v>40.74</v>
      </c>
      <c r="I2819">
        <v>3</v>
      </c>
      <c r="J2819">
        <v>0.40739999999999998</v>
      </c>
      <c r="K2819">
        <v>2012</v>
      </c>
      <c r="L2819">
        <v>4</v>
      </c>
      <c r="M2819" t="s">
        <v>236</v>
      </c>
      <c r="N2819">
        <v>12</v>
      </c>
      <c r="O2819">
        <v>5</v>
      </c>
      <c r="P2819">
        <v>1</v>
      </c>
      <c r="Q2819">
        <v>13.58</v>
      </c>
      <c r="R2819" t="s">
        <v>26</v>
      </c>
      <c r="S2819" t="b">
        <v>0</v>
      </c>
      <c r="T2819" t="b">
        <v>0</v>
      </c>
    </row>
    <row r="2820" spans="1:20" x14ac:dyDescent="0.3">
      <c r="A2820" t="s">
        <v>3780</v>
      </c>
      <c r="B2820" s="1">
        <v>41257</v>
      </c>
      <c r="C2820" s="1">
        <v>41259</v>
      </c>
      <c r="D2820" t="s">
        <v>1843</v>
      </c>
      <c r="E2820" t="s">
        <v>22</v>
      </c>
      <c r="F2820" t="s">
        <v>33</v>
      </c>
      <c r="G2820" t="s">
        <v>3781</v>
      </c>
      <c r="H2820">
        <v>55.264000000000003</v>
      </c>
      <c r="I2820">
        <v>2</v>
      </c>
      <c r="J2820">
        <v>20.724</v>
      </c>
      <c r="K2820">
        <v>2012</v>
      </c>
      <c r="L2820">
        <v>12</v>
      </c>
      <c r="M2820" t="s">
        <v>41</v>
      </c>
      <c r="N2820">
        <v>14</v>
      </c>
      <c r="O2820">
        <v>2</v>
      </c>
      <c r="P2820">
        <v>37.5</v>
      </c>
      <c r="Q2820">
        <v>27.632000000000001</v>
      </c>
      <c r="R2820" t="s">
        <v>26</v>
      </c>
      <c r="S2820" t="b">
        <v>0</v>
      </c>
      <c r="T2820" t="b">
        <v>0</v>
      </c>
    </row>
    <row r="2821" spans="1:20" x14ac:dyDescent="0.3">
      <c r="A2821" t="s">
        <v>3780</v>
      </c>
      <c r="B2821" s="1">
        <v>41257</v>
      </c>
      <c r="C2821" s="1">
        <v>41259</v>
      </c>
      <c r="D2821" t="s">
        <v>1843</v>
      </c>
      <c r="E2821" t="s">
        <v>22</v>
      </c>
      <c r="F2821" t="s">
        <v>72</v>
      </c>
      <c r="G2821" t="s">
        <v>2711</v>
      </c>
      <c r="H2821">
        <v>6.48</v>
      </c>
      <c r="I2821">
        <v>1</v>
      </c>
      <c r="J2821">
        <v>3.1103999999999998</v>
      </c>
      <c r="K2821">
        <v>2012</v>
      </c>
      <c r="L2821">
        <v>12</v>
      </c>
      <c r="M2821" t="s">
        <v>41</v>
      </c>
      <c r="N2821">
        <v>14</v>
      </c>
      <c r="O2821">
        <v>2</v>
      </c>
      <c r="P2821">
        <v>48</v>
      </c>
      <c r="Q2821">
        <v>6.48</v>
      </c>
      <c r="R2821" t="s">
        <v>26</v>
      </c>
      <c r="S2821" t="b">
        <v>0</v>
      </c>
      <c r="T2821" t="b">
        <v>0</v>
      </c>
    </row>
    <row r="2822" spans="1:20" x14ac:dyDescent="0.3">
      <c r="A2822" t="s">
        <v>3780</v>
      </c>
      <c r="B2822" s="1">
        <v>41257</v>
      </c>
      <c r="C2822" s="1">
        <v>41259</v>
      </c>
      <c r="D2822" t="s">
        <v>1843</v>
      </c>
      <c r="E2822" t="s">
        <v>22</v>
      </c>
      <c r="F2822" t="s">
        <v>33</v>
      </c>
      <c r="G2822" t="s">
        <v>3540</v>
      </c>
      <c r="H2822">
        <v>34.247999999999998</v>
      </c>
      <c r="I2822">
        <v>3</v>
      </c>
      <c r="J2822">
        <v>11.5587</v>
      </c>
      <c r="K2822">
        <v>2012</v>
      </c>
      <c r="L2822">
        <v>12</v>
      </c>
      <c r="M2822" t="s">
        <v>41</v>
      </c>
      <c r="N2822">
        <v>14</v>
      </c>
      <c r="O2822">
        <v>2</v>
      </c>
      <c r="P2822">
        <v>33.75</v>
      </c>
      <c r="Q2822">
        <v>11.416</v>
      </c>
      <c r="R2822" t="s">
        <v>26</v>
      </c>
      <c r="S2822" t="b">
        <v>0</v>
      </c>
      <c r="T2822" t="b">
        <v>0</v>
      </c>
    </row>
    <row r="2823" spans="1:20" x14ac:dyDescent="0.3">
      <c r="A2823" t="s">
        <v>3780</v>
      </c>
      <c r="B2823" s="1">
        <v>41257</v>
      </c>
      <c r="C2823" s="1">
        <v>41259</v>
      </c>
      <c r="D2823" t="s">
        <v>1843</v>
      </c>
      <c r="E2823" t="s">
        <v>22</v>
      </c>
      <c r="F2823" t="s">
        <v>174</v>
      </c>
      <c r="G2823" t="s">
        <v>3782</v>
      </c>
      <c r="H2823">
        <v>273.56799999999998</v>
      </c>
      <c r="I2823">
        <v>2</v>
      </c>
      <c r="J2823">
        <v>10.258800000000001</v>
      </c>
      <c r="K2823">
        <v>2012</v>
      </c>
      <c r="L2823">
        <v>12</v>
      </c>
      <c r="M2823" t="s">
        <v>41</v>
      </c>
      <c r="N2823">
        <v>14</v>
      </c>
      <c r="O2823">
        <v>2</v>
      </c>
      <c r="P2823">
        <v>3.75</v>
      </c>
      <c r="Q2823">
        <v>136.78399999999999</v>
      </c>
      <c r="R2823" t="s">
        <v>26</v>
      </c>
      <c r="S2823" t="b">
        <v>0</v>
      </c>
      <c r="T2823" t="b">
        <v>1</v>
      </c>
    </row>
    <row r="2824" spans="1:20" x14ac:dyDescent="0.3">
      <c r="A2824" t="s">
        <v>3783</v>
      </c>
      <c r="B2824" s="1">
        <v>41919</v>
      </c>
      <c r="C2824" s="1">
        <v>41924</v>
      </c>
      <c r="D2824" t="s">
        <v>3623</v>
      </c>
      <c r="E2824" t="s">
        <v>2400</v>
      </c>
      <c r="F2824" t="s">
        <v>31</v>
      </c>
      <c r="G2824" t="s">
        <v>3235</v>
      </c>
      <c r="H2824">
        <v>9.3439999999999994</v>
      </c>
      <c r="I2824">
        <v>2</v>
      </c>
      <c r="J2824">
        <v>1.8688</v>
      </c>
      <c r="K2824">
        <v>2014</v>
      </c>
      <c r="L2824">
        <v>10</v>
      </c>
      <c r="M2824" t="s">
        <v>82</v>
      </c>
      <c r="N2824">
        <v>7</v>
      </c>
      <c r="O2824">
        <v>5</v>
      </c>
      <c r="P2824">
        <v>20</v>
      </c>
      <c r="Q2824">
        <v>4.6719999999999997</v>
      </c>
      <c r="R2824" t="s">
        <v>26</v>
      </c>
      <c r="S2824" t="b">
        <v>0</v>
      </c>
      <c r="T2824" t="b">
        <v>0</v>
      </c>
    </row>
    <row r="2825" spans="1:20" x14ac:dyDescent="0.3">
      <c r="A2825" t="s">
        <v>3784</v>
      </c>
      <c r="B2825" s="1">
        <v>41615</v>
      </c>
      <c r="C2825" s="1">
        <v>41619</v>
      </c>
      <c r="D2825" t="s">
        <v>3785</v>
      </c>
      <c r="E2825" t="s">
        <v>22</v>
      </c>
      <c r="F2825" t="s">
        <v>54</v>
      </c>
      <c r="G2825" t="s">
        <v>3786</v>
      </c>
      <c r="H2825">
        <v>271.95999999999998</v>
      </c>
      <c r="I2825">
        <v>5</v>
      </c>
      <c r="J2825">
        <v>27.196000000000002</v>
      </c>
      <c r="K2825">
        <v>2013</v>
      </c>
      <c r="L2825">
        <v>12</v>
      </c>
      <c r="M2825" t="s">
        <v>41</v>
      </c>
      <c r="N2825">
        <v>7</v>
      </c>
      <c r="O2825">
        <v>4</v>
      </c>
      <c r="P2825">
        <v>10</v>
      </c>
      <c r="Q2825">
        <v>54.392000000000003</v>
      </c>
      <c r="R2825" t="s">
        <v>26</v>
      </c>
      <c r="S2825" t="b">
        <v>0</v>
      </c>
      <c r="T2825" t="b">
        <v>1</v>
      </c>
    </row>
    <row r="2826" spans="1:20" x14ac:dyDescent="0.3">
      <c r="A2826" t="s">
        <v>3784</v>
      </c>
      <c r="B2826" s="1">
        <v>41615</v>
      </c>
      <c r="C2826" s="1">
        <v>41619</v>
      </c>
      <c r="D2826" t="s">
        <v>3785</v>
      </c>
      <c r="E2826" t="s">
        <v>22</v>
      </c>
      <c r="F2826" t="s">
        <v>31</v>
      </c>
      <c r="G2826" t="s">
        <v>3598</v>
      </c>
      <c r="H2826">
        <v>18.690000000000001</v>
      </c>
      <c r="I2826">
        <v>7</v>
      </c>
      <c r="J2826">
        <v>5.2332000000000001</v>
      </c>
      <c r="K2826">
        <v>2013</v>
      </c>
      <c r="L2826">
        <v>12</v>
      </c>
      <c r="M2826" t="s">
        <v>41</v>
      </c>
      <c r="N2826">
        <v>7</v>
      </c>
      <c r="O2826">
        <v>4</v>
      </c>
      <c r="P2826">
        <v>28</v>
      </c>
      <c r="Q2826">
        <v>2.67</v>
      </c>
      <c r="R2826" t="s">
        <v>26</v>
      </c>
      <c r="S2826" t="b">
        <v>0</v>
      </c>
      <c r="T2826" t="b">
        <v>0</v>
      </c>
    </row>
    <row r="2827" spans="1:20" x14ac:dyDescent="0.3">
      <c r="A2827" t="s">
        <v>3784</v>
      </c>
      <c r="B2827" s="1">
        <v>41615</v>
      </c>
      <c r="C2827" s="1">
        <v>41619</v>
      </c>
      <c r="D2827" t="s">
        <v>3785</v>
      </c>
      <c r="E2827" t="s">
        <v>22</v>
      </c>
      <c r="F2827" t="s">
        <v>72</v>
      </c>
      <c r="G2827" t="s">
        <v>457</v>
      </c>
      <c r="H2827">
        <v>13.36</v>
      </c>
      <c r="I2827">
        <v>2</v>
      </c>
      <c r="J2827">
        <v>6.4127999999999998</v>
      </c>
      <c r="K2827">
        <v>2013</v>
      </c>
      <c r="L2827">
        <v>12</v>
      </c>
      <c r="M2827" t="s">
        <v>41</v>
      </c>
      <c r="N2827">
        <v>7</v>
      </c>
      <c r="O2827">
        <v>4</v>
      </c>
      <c r="P2827">
        <v>48</v>
      </c>
      <c r="Q2827">
        <v>6.68</v>
      </c>
      <c r="R2827" t="s">
        <v>26</v>
      </c>
      <c r="S2827" t="b">
        <v>0</v>
      </c>
      <c r="T2827" t="b">
        <v>0</v>
      </c>
    </row>
    <row r="2828" spans="1:20" x14ac:dyDescent="0.3">
      <c r="A2828" t="s">
        <v>3784</v>
      </c>
      <c r="B2828" s="1">
        <v>41615</v>
      </c>
      <c r="C2828" s="1">
        <v>41619</v>
      </c>
      <c r="D2828" t="s">
        <v>3785</v>
      </c>
      <c r="E2828" t="s">
        <v>22</v>
      </c>
      <c r="F2828" t="s">
        <v>54</v>
      </c>
      <c r="G2828" t="s">
        <v>386</v>
      </c>
      <c r="H2828">
        <v>249.584</v>
      </c>
      <c r="I2828">
        <v>2</v>
      </c>
      <c r="J2828">
        <v>31.198</v>
      </c>
      <c r="K2828">
        <v>2013</v>
      </c>
      <c r="L2828">
        <v>12</v>
      </c>
      <c r="M2828" t="s">
        <v>41</v>
      </c>
      <c r="N2828">
        <v>7</v>
      </c>
      <c r="O2828">
        <v>4</v>
      </c>
      <c r="P2828">
        <v>12.5</v>
      </c>
      <c r="Q2828">
        <v>124.792</v>
      </c>
      <c r="R2828" t="s">
        <v>26</v>
      </c>
      <c r="S2828" t="b">
        <v>0</v>
      </c>
      <c r="T2828" t="b">
        <v>1</v>
      </c>
    </row>
    <row r="2829" spans="1:20" x14ac:dyDescent="0.3">
      <c r="A2829" t="s">
        <v>3784</v>
      </c>
      <c r="B2829" s="1">
        <v>41615</v>
      </c>
      <c r="C2829" s="1">
        <v>41619</v>
      </c>
      <c r="D2829" t="s">
        <v>3785</v>
      </c>
      <c r="E2829" t="s">
        <v>22</v>
      </c>
      <c r="F2829" t="s">
        <v>119</v>
      </c>
      <c r="G2829" t="s">
        <v>383</v>
      </c>
      <c r="H2829">
        <v>13.86</v>
      </c>
      <c r="I2829">
        <v>7</v>
      </c>
      <c r="J2829">
        <v>0</v>
      </c>
      <c r="K2829">
        <v>2013</v>
      </c>
      <c r="L2829">
        <v>12</v>
      </c>
      <c r="M2829" t="s">
        <v>41</v>
      </c>
      <c r="N2829">
        <v>7</v>
      </c>
      <c r="O2829">
        <v>4</v>
      </c>
      <c r="P2829">
        <v>0</v>
      </c>
      <c r="Q2829">
        <v>1.98</v>
      </c>
      <c r="R2829" t="s">
        <v>26</v>
      </c>
      <c r="S2829" t="b">
        <v>0</v>
      </c>
      <c r="T2829" t="b">
        <v>0</v>
      </c>
    </row>
    <row r="2830" spans="1:20" x14ac:dyDescent="0.3">
      <c r="A2830" t="s">
        <v>3784</v>
      </c>
      <c r="B2830" s="1">
        <v>41615</v>
      </c>
      <c r="C2830" s="1">
        <v>41619</v>
      </c>
      <c r="D2830" t="s">
        <v>3785</v>
      </c>
      <c r="E2830" t="s">
        <v>22</v>
      </c>
      <c r="F2830" t="s">
        <v>33</v>
      </c>
      <c r="G2830" t="s">
        <v>654</v>
      </c>
      <c r="H2830">
        <v>13.375999999999999</v>
      </c>
      <c r="I2830">
        <v>4</v>
      </c>
      <c r="J2830">
        <v>4.6816000000000004</v>
      </c>
      <c r="K2830">
        <v>2013</v>
      </c>
      <c r="L2830">
        <v>12</v>
      </c>
      <c r="M2830" t="s">
        <v>41</v>
      </c>
      <c r="N2830">
        <v>7</v>
      </c>
      <c r="O2830">
        <v>4</v>
      </c>
      <c r="P2830">
        <v>35</v>
      </c>
      <c r="Q2830">
        <v>3.3439999999999999</v>
      </c>
      <c r="R2830" t="s">
        <v>26</v>
      </c>
      <c r="S2830" t="b">
        <v>0</v>
      </c>
      <c r="T2830" t="b">
        <v>0</v>
      </c>
    </row>
    <row r="2831" spans="1:20" x14ac:dyDescent="0.3">
      <c r="A2831" t="s">
        <v>3784</v>
      </c>
      <c r="B2831" s="1">
        <v>41615</v>
      </c>
      <c r="C2831" s="1">
        <v>41619</v>
      </c>
      <c r="D2831" t="s">
        <v>3785</v>
      </c>
      <c r="E2831" t="s">
        <v>22</v>
      </c>
      <c r="F2831" t="s">
        <v>33</v>
      </c>
      <c r="G2831" t="s">
        <v>3094</v>
      </c>
      <c r="H2831">
        <v>437.47199999999998</v>
      </c>
      <c r="I2831">
        <v>14</v>
      </c>
      <c r="J2831">
        <v>153.11519999999999</v>
      </c>
      <c r="K2831">
        <v>2013</v>
      </c>
      <c r="L2831">
        <v>12</v>
      </c>
      <c r="M2831" t="s">
        <v>41</v>
      </c>
      <c r="N2831">
        <v>7</v>
      </c>
      <c r="O2831">
        <v>4</v>
      </c>
      <c r="P2831">
        <v>35</v>
      </c>
      <c r="Q2831">
        <v>31.248000000000001</v>
      </c>
      <c r="R2831" t="s">
        <v>26</v>
      </c>
      <c r="S2831" t="b">
        <v>0</v>
      </c>
      <c r="T2831" t="b">
        <v>1</v>
      </c>
    </row>
    <row r="2832" spans="1:20" x14ac:dyDescent="0.3">
      <c r="A2832" t="s">
        <v>3787</v>
      </c>
      <c r="B2832" s="1">
        <v>41547</v>
      </c>
      <c r="C2832" s="1">
        <v>41551</v>
      </c>
      <c r="D2832" t="s">
        <v>1929</v>
      </c>
      <c r="E2832" t="s">
        <v>22</v>
      </c>
      <c r="F2832" t="s">
        <v>61</v>
      </c>
      <c r="G2832" t="s">
        <v>1733</v>
      </c>
      <c r="H2832">
        <v>36.24</v>
      </c>
      <c r="I2832">
        <v>1</v>
      </c>
      <c r="J2832">
        <v>15.220800000000001</v>
      </c>
      <c r="K2832">
        <v>2013</v>
      </c>
      <c r="L2832">
        <v>9</v>
      </c>
      <c r="M2832" t="s">
        <v>87</v>
      </c>
      <c r="N2832">
        <v>30</v>
      </c>
      <c r="O2832">
        <v>4</v>
      </c>
      <c r="P2832">
        <v>42</v>
      </c>
      <c r="Q2832">
        <v>36.24</v>
      </c>
      <c r="R2832" t="s">
        <v>26</v>
      </c>
      <c r="S2832" t="b">
        <v>0</v>
      </c>
      <c r="T2832" t="b">
        <v>0</v>
      </c>
    </row>
    <row r="2833" spans="1:20" x14ac:dyDescent="0.3">
      <c r="A2833" t="s">
        <v>3788</v>
      </c>
      <c r="B2833" s="1">
        <v>41697</v>
      </c>
      <c r="C2833" s="1">
        <v>41702</v>
      </c>
      <c r="D2833" t="s">
        <v>147</v>
      </c>
      <c r="E2833" t="s">
        <v>336</v>
      </c>
      <c r="F2833" t="s">
        <v>29</v>
      </c>
      <c r="G2833" t="s">
        <v>2662</v>
      </c>
      <c r="H2833">
        <v>91.96</v>
      </c>
      <c r="I2833">
        <v>2</v>
      </c>
      <c r="J2833">
        <v>15.6332</v>
      </c>
      <c r="K2833">
        <v>2014</v>
      </c>
      <c r="L2833">
        <v>2</v>
      </c>
      <c r="M2833" t="s">
        <v>303</v>
      </c>
      <c r="N2833">
        <v>27</v>
      </c>
      <c r="O2833">
        <v>5</v>
      </c>
      <c r="P2833">
        <v>17</v>
      </c>
      <c r="Q2833">
        <v>45.98</v>
      </c>
      <c r="R2833" t="s">
        <v>26</v>
      </c>
      <c r="S2833" t="b">
        <v>0</v>
      </c>
      <c r="T2833" t="b">
        <v>0</v>
      </c>
    </row>
    <row r="2834" spans="1:20" x14ac:dyDescent="0.3">
      <c r="A2834" t="s">
        <v>3788</v>
      </c>
      <c r="B2834" s="1">
        <v>41697</v>
      </c>
      <c r="C2834" s="1">
        <v>41702</v>
      </c>
      <c r="D2834" t="s">
        <v>147</v>
      </c>
      <c r="E2834" t="s">
        <v>336</v>
      </c>
      <c r="F2834" t="s">
        <v>54</v>
      </c>
      <c r="G2834" t="s">
        <v>2415</v>
      </c>
      <c r="H2834">
        <v>258.57600000000002</v>
      </c>
      <c r="I2834">
        <v>2</v>
      </c>
      <c r="J2834">
        <v>19.3932</v>
      </c>
      <c r="K2834">
        <v>2014</v>
      </c>
      <c r="L2834">
        <v>2</v>
      </c>
      <c r="M2834" t="s">
        <v>303</v>
      </c>
      <c r="N2834">
        <v>27</v>
      </c>
      <c r="O2834">
        <v>5</v>
      </c>
      <c r="P2834">
        <v>7.5</v>
      </c>
      <c r="Q2834">
        <v>129.28800000000001</v>
      </c>
      <c r="R2834" t="s">
        <v>26</v>
      </c>
      <c r="S2834" t="b">
        <v>0</v>
      </c>
      <c r="T2834" t="b">
        <v>1</v>
      </c>
    </row>
    <row r="2835" spans="1:20" x14ac:dyDescent="0.3">
      <c r="A2835" t="s">
        <v>3788</v>
      </c>
      <c r="B2835" s="1">
        <v>41697</v>
      </c>
      <c r="C2835" s="1">
        <v>41702</v>
      </c>
      <c r="D2835" t="s">
        <v>147</v>
      </c>
      <c r="E2835" t="s">
        <v>336</v>
      </c>
      <c r="F2835" t="s">
        <v>72</v>
      </c>
      <c r="G2835" t="s">
        <v>3240</v>
      </c>
      <c r="H2835">
        <v>29.6</v>
      </c>
      <c r="I2835">
        <v>4</v>
      </c>
      <c r="J2835">
        <v>13.32</v>
      </c>
      <c r="K2835">
        <v>2014</v>
      </c>
      <c r="L2835">
        <v>2</v>
      </c>
      <c r="M2835" t="s">
        <v>303</v>
      </c>
      <c r="N2835">
        <v>27</v>
      </c>
      <c r="O2835">
        <v>5</v>
      </c>
      <c r="P2835">
        <v>45</v>
      </c>
      <c r="Q2835">
        <v>7.4</v>
      </c>
      <c r="R2835" t="s">
        <v>26</v>
      </c>
      <c r="S2835" t="b">
        <v>0</v>
      </c>
      <c r="T2835" t="b">
        <v>0</v>
      </c>
    </row>
    <row r="2836" spans="1:20" x14ac:dyDescent="0.3">
      <c r="A2836" t="s">
        <v>3789</v>
      </c>
      <c r="B2836" s="1">
        <v>41764</v>
      </c>
      <c r="C2836" s="1">
        <v>41769</v>
      </c>
      <c r="D2836" t="s">
        <v>1721</v>
      </c>
      <c r="E2836" t="s">
        <v>855</v>
      </c>
      <c r="F2836" t="s">
        <v>35</v>
      </c>
      <c r="G2836" t="s">
        <v>3790</v>
      </c>
      <c r="H2836">
        <v>243.16</v>
      </c>
      <c r="I2836">
        <v>2</v>
      </c>
      <c r="J2836">
        <v>72.947999999999993</v>
      </c>
      <c r="K2836">
        <v>2014</v>
      </c>
      <c r="L2836">
        <v>5</v>
      </c>
      <c r="M2836" t="s">
        <v>47</v>
      </c>
      <c r="N2836">
        <v>5</v>
      </c>
      <c r="O2836">
        <v>5</v>
      </c>
      <c r="P2836">
        <v>30</v>
      </c>
      <c r="Q2836">
        <v>121.58</v>
      </c>
      <c r="R2836" t="s">
        <v>26</v>
      </c>
      <c r="S2836" t="b">
        <v>0</v>
      </c>
      <c r="T2836" t="b">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anshiksingh593@gmail.com</cp:lastModifiedBy>
  <dcterms:created xsi:type="dcterms:W3CDTF">2026-04-11T22:31:59Z</dcterms:created>
  <dcterms:modified xsi:type="dcterms:W3CDTF">2026-05-08T09:26:24Z</dcterms:modified>
</cp:coreProperties>
</file>